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업무\36. 개발노트\원료비원인분석\data\"/>
    </mc:Choice>
  </mc:AlternateContent>
  <xr:revisionPtr revIDLastSave="0" documentId="13_ncr:1_{9A0746BA-50CB-4115-9A69-9D4AE9433390}" xr6:coauthVersionLast="36" xr6:coauthVersionMax="36" xr10:uidLastSave="{00000000-0000-0000-0000-000000000000}"/>
  <bookViews>
    <workbookView xWindow="0" yWindow="0" windowWidth="21570" windowHeight="7845" xr2:uid="{00000000-000D-0000-FFFF-FFFF00000000}"/>
  </bookViews>
  <sheets>
    <sheet name="단가사용_입력" sheetId="1" r:id="rId1"/>
    <sheet name="원료마스터_참고" sheetId="2" r:id="rId2"/>
    <sheet name="작성법" sheetId="3" r:id="rId3"/>
    <sheet name="Sheet1" sheetId="4" r:id="rId4"/>
    <sheet name="Sheet2" sheetId="5" r:id="rId5"/>
  </sheets>
  <definedNames>
    <definedName name="_xlnm._FilterDatabase" localSheetId="0" hidden="1">단가사용_입력!$A$1:$D$6426</definedName>
  </definedNames>
  <calcPr calcId="191029"/>
</workbook>
</file>

<file path=xl/calcChain.xml><?xml version="1.0" encoding="utf-8"?>
<calcChain xmlns="http://schemas.openxmlformats.org/spreadsheetml/2006/main">
  <c r="D3085" i="1" l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259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516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773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030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287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544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1801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058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315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2829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572" i="4"/>
</calcChain>
</file>

<file path=xl/sharedStrings.xml><?xml version="1.0" encoding="utf-8"?>
<sst xmlns="http://schemas.openxmlformats.org/spreadsheetml/2006/main" count="19503" uniqueCount="422">
  <si>
    <t>년월</t>
  </si>
  <si>
    <t>원료코드</t>
  </si>
  <si>
    <t>원료명</t>
  </si>
  <si>
    <t>단가(원/kg)</t>
  </si>
  <si>
    <t>1010101</t>
  </si>
  <si>
    <t>닭고기 MDCM</t>
  </si>
  <si>
    <t>1050801</t>
  </si>
  <si>
    <t>녹색 완두 통곡</t>
  </si>
  <si>
    <t>1010111</t>
  </si>
  <si>
    <t>닭고기가수분해단백질분말</t>
  </si>
  <si>
    <t>1010201</t>
  </si>
  <si>
    <t>오리고기 MDDM</t>
  </si>
  <si>
    <t>1010300</t>
  </si>
  <si>
    <t>소고기 잡육</t>
  </si>
  <si>
    <t>1010301</t>
  </si>
  <si>
    <t>1010302</t>
  </si>
  <si>
    <t>돼지고기</t>
  </si>
  <si>
    <t>1010303</t>
  </si>
  <si>
    <t>돼지간</t>
  </si>
  <si>
    <t>1010401</t>
  </si>
  <si>
    <t>연어 살코기</t>
  </si>
  <si>
    <t>1010405</t>
  </si>
  <si>
    <t>대구</t>
  </si>
  <si>
    <t>1010501</t>
  </si>
  <si>
    <t>닭간</t>
  </si>
  <si>
    <t>1010601</t>
  </si>
  <si>
    <t>닭가슴살 - 육계</t>
  </si>
  <si>
    <t>1010701</t>
  </si>
  <si>
    <t>치킨윙팁</t>
  </si>
  <si>
    <t>1010801</t>
  </si>
  <si>
    <t>양고기</t>
  </si>
  <si>
    <t>1010901</t>
  </si>
  <si>
    <t>참치살코기</t>
  </si>
  <si>
    <t>1020101</t>
  </si>
  <si>
    <t>계란 분말</t>
  </si>
  <si>
    <t>1020201</t>
  </si>
  <si>
    <t>계유 (벨기에)</t>
  </si>
  <si>
    <t>1020301</t>
  </si>
  <si>
    <t>카놀라유</t>
  </si>
  <si>
    <t>1020401</t>
  </si>
  <si>
    <t>우지</t>
  </si>
  <si>
    <t>1030201</t>
  </si>
  <si>
    <t>백미</t>
  </si>
  <si>
    <t>1030205</t>
  </si>
  <si>
    <t>계란껍질</t>
  </si>
  <si>
    <t>1030206</t>
  </si>
  <si>
    <t>사탕수수시럽</t>
  </si>
  <si>
    <t>1030207</t>
  </si>
  <si>
    <t>오트밀(쿠키용)분</t>
  </si>
  <si>
    <t>1030501</t>
  </si>
  <si>
    <t>콘그릿츠(옥분)</t>
  </si>
  <si>
    <t>1030601</t>
  </si>
  <si>
    <t>콘글루텐(식품용)</t>
  </si>
  <si>
    <t>1030801</t>
  </si>
  <si>
    <t>렌틸콩</t>
  </si>
  <si>
    <t>1040201</t>
  </si>
  <si>
    <t>타피오카 전분</t>
  </si>
  <si>
    <t>1040301</t>
  </si>
  <si>
    <t>완두 전분</t>
  </si>
  <si>
    <t>1050102</t>
  </si>
  <si>
    <t>오메가-3 오일</t>
  </si>
  <si>
    <t>1050301</t>
  </si>
  <si>
    <t>통고구마 분말</t>
  </si>
  <si>
    <t>1050401</t>
  </si>
  <si>
    <t>단호박분말</t>
  </si>
  <si>
    <t>1050501</t>
  </si>
  <si>
    <t>시금치 분말</t>
  </si>
  <si>
    <t>1050511</t>
  </si>
  <si>
    <t>케일 분말</t>
  </si>
  <si>
    <t>1050521</t>
  </si>
  <si>
    <t>양배추 분말</t>
  </si>
  <si>
    <t>1050531</t>
  </si>
  <si>
    <t>토마토 분말</t>
  </si>
  <si>
    <t>1050541</t>
  </si>
  <si>
    <t>강황분말</t>
  </si>
  <si>
    <t>1050551</t>
  </si>
  <si>
    <t>동결건조 당근</t>
  </si>
  <si>
    <t>1050561</t>
  </si>
  <si>
    <t>동결건조 단호박 - 트릿용</t>
  </si>
  <si>
    <t>1050571</t>
  </si>
  <si>
    <t>동결건조 닭고기</t>
  </si>
  <si>
    <t>1050581</t>
  </si>
  <si>
    <t>동결건조 연어</t>
  </si>
  <si>
    <t>1050591</t>
  </si>
  <si>
    <t>동결건조 브로컬리</t>
  </si>
  <si>
    <t>1050601</t>
  </si>
  <si>
    <t>치커리 이눌린</t>
  </si>
  <si>
    <t>1050701</t>
  </si>
  <si>
    <t>완두 단백(유럽산)</t>
  </si>
  <si>
    <t>1050702</t>
  </si>
  <si>
    <t>완두 단백(중국산)</t>
  </si>
  <si>
    <t>1050711</t>
  </si>
  <si>
    <t>농축대두단백질분말</t>
  </si>
  <si>
    <t>1050721</t>
  </si>
  <si>
    <t>흰색생선분말</t>
  </si>
  <si>
    <t>1050901</t>
  </si>
  <si>
    <t>병아리콩</t>
  </si>
  <si>
    <t>1060101</t>
  </si>
  <si>
    <t>아마인</t>
  </si>
  <si>
    <t>1060401</t>
  </si>
  <si>
    <t>마키베리 분말</t>
  </si>
  <si>
    <t>1060412</t>
  </si>
  <si>
    <t>블루베리 분말 (인투푸드)</t>
  </si>
  <si>
    <t>1060421</t>
  </si>
  <si>
    <t>아사이베리 분말</t>
  </si>
  <si>
    <t>1060441</t>
  </si>
  <si>
    <t>코코넛 분말</t>
  </si>
  <si>
    <t>1060451</t>
  </si>
  <si>
    <t>백년초 분말</t>
  </si>
  <si>
    <t>1070101</t>
  </si>
  <si>
    <t>타우린 (99%)</t>
  </si>
  <si>
    <t>1070301</t>
  </si>
  <si>
    <t>L-카르니틴 (98%)</t>
  </si>
  <si>
    <t>1070401</t>
  </si>
  <si>
    <t>DL-메티오닌 (99%)</t>
  </si>
  <si>
    <t>1070501</t>
  </si>
  <si>
    <t>L-라이신 염산염 (78%)</t>
  </si>
  <si>
    <t>1070701</t>
  </si>
  <si>
    <t>L-Tyrosine</t>
  </si>
  <si>
    <t>1080101</t>
  </si>
  <si>
    <t>염화콜린</t>
  </si>
  <si>
    <t>1080201</t>
  </si>
  <si>
    <t>소금</t>
  </si>
  <si>
    <t>1080301</t>
  </si>
  <si>
    <t>탄산칼슘</t>
  </si>
  <si>
    <t>1080401</t>
  </si>
  <si>
    <t>제이인산칼슘 (무수)</t>
  </si>
  <si>
    <t>1080411</t>
  </si>
  <si>
    <t>제일인산칼슘</t>
  </si>
  <si>
    <t>1080501</t>
  </si>
  <si>
    <t>염화칼륨</t>
  </si>
  <si>
    <t>1080602</t>
  </si>
  <si>
    <t>미네랄 믹스 (글란비아)</t>
  </si>
  <si>
    <t>1080702</t>
  </si>
  <si>
    <t>비타민 믹스 (글란비아)</t>
  </si>
  <si>
    <t>1090104</t>
  </si>
  <si>
    <t>천연색소 (보라), 분말</t>
  </si>
  <si>
    <t>1090112</t>
  </si>
  <si>
    <t>천연색소 (그린), 분말</t>
  </si>
  <si>
    <t>1090201</t>
  </si>
  <si>
    <t>식이유황(MSM)</t>
  </si>
  <si>
    <t>1090202</t>
  </si>
  <si>
    <t>마리골드 추출물</t>
  </si>
  <si>
    <t>1090203</t>
  </si>
  <si>
    <t>빌베리농축분말</t>
  </si>
  <si>
    <t>1090211</t>
  </si>
  <si>
    <t>초록입홍합 분말</t>
  </si>
  <si>
    <t>1090301</t>
  </si>
  <si>
    <t>로즈마리 추출물 (제조:DANISCO, 유통:비알디코리아)</t>
  </si>
  <si>
    <t>1090311</t>
  </si>
  <si>
    <t>녹차 추출물</t>
  </si>
  <si>
    <t>1090321</t>
  </si>
  <si>
    <t>천연 토코페롤</t>
  </si>
  <si>
    <t>1090401</t>
  </si>
  <si>
    <t>맥주 효모</t>
  </si>
  <si>
    <t>1090411</t>
  </si>
  <si>
    <t>글루타치온</t>
  </si>
  <si>
    <t>1090421</t>
  </si>
  <si>
    <t>유산균</t>
  </si>
  <si>
    <t>1090551</t>
  </si>
  <si>
    <t>디모단 (DANISCO, 유화제)</t>
  </si>
  <si>
    <t>1090602</t>
  </si>
  <si>
    <t>비트 식이섬유(스위스)</t>
  </si>
  <si>
    <t>1090611</t>
  </si>
  <si>
    <t>귀리 식이섬유</t>
  </si>
  <si>
    <t>1090701</t>
  </si>
  <si>
    <t>글루코사민 황산염</t>
  </si>
  <si>
    <t>1090901</t>
  </si>
  <si>
    <t>산성피로인산나트륨</t>
  </si>
  <si>
    <t>1091001</t>
  </si>
  <si>
    <t>레시틴</t>
  </si>
  <si>
    <t>1091002</t>
  </si>
  <si>
    <t>바나나-믹싱용</t>
  </si>
  <si>
    <t>1091003</t>
  </si>
  <si>
    <t>사과-믹싱용</t>
  </si>
  <si>
    <t>1091008</t>
  </si>
  <si>
    <t>난각막 분말</t>
  </si>
  <si>
    <t>1091009</t>
  </si>
  <si>
    <t>닭연골2형콜라겐(뮤코타당단백)</t>
  </si>
  <si>
    <t>1091010</t>
  </si>
  <si>
    <t>L시스틴</t>
  </si>
  <si>
    <t>1091011</t>
  </si>
  <si>
    <t>베타글루칸</t>
  </si>
  <si>
    <t>1091012</t>
  </si>
  <si>
    <t>피쉬콜라겐</t>
  </si>
  <si>
    <t>1091013</t>
  </si>
  <si>
    <t>크랜베리분말</t>
  </si>
  <si>
    <t>1600101</t>
  </si>
  <si>
    <t>현미(쌀과자)</t>
  </si>
  <si>
    <t>1600112</t>
  </si>
  <si>
    <t>아가베시럽</t>
  </si>
  <si>
    <t>1700005</t>
  </si>
  <si>
    <t>당근</t>
  </si>
  <si>
    <t>1700014</t>
  </si>
  <si>
    <t>냉동 브로컬리</t>
  </si>
  <si>
    <t>1700031</t>
  </si>
  <si>
    <t>쌀가루</t>
  </si>
  <si>
    <t>1700036</t>
  </si>
  <si>
    <t>캐롭 분말</t>
  </si>
  <si>
    <t>6000001</t>
  </si>
  <si>
    <t>더리얼 그린파워딜라이트 키블</t>
  </si>
  <si>
    <t>6000002</t>
  </si>
  <si>
    <t>더리얼 베리베리슈퍼러브 키블</t>
  </si>
  <si>
    <t>작성법</t>
  </si>
  <si>
    <t>■ 목적: 매달 원료 실적(단가·사용량·금액)을 한 파일에 계속 이어붙여 통합 업로드.</t>
  </si>
  <si>
    <t>■ 규칙</t>
  </si>
  <si>
    <t xml:space="preserve"> 1. 한 행 = 한 원료의 '한 달' 실적.</t>
  </si>
  <si>
    <t xml:space="preserve"> 2. [년월] YYYY-MM 형식. 예: 2026-07</t>
  </si>
  <si>
    <t xml:space="preserve"> 3. [원료코드] 는 조인 기준 키. '원료마스터_참고' 시트에서 코드를 그대로 사용.</t>
  </si>
  <si>
    <t xml:space="preserve"> 4. 월이 바뀌면 기존 행 아래에 계속 이어 붙이기(같은 년월 재업로드 시 덮어씀).</t>
  </si>
  <si>
    <t xml:space="preserve"> 5. [금액]은 ERP 실제 사용금액. 없으면 단가×사용량으로 채워도 됨.</t>
  </si>
  <si>
    <t>■ 업로드: 앱 &gt; 데이터 관리 &gt; '② 단가·사용량' 탭에 이 파일 그대로 올리기.</t>
  </si>
  <si>
    <t>2026-01</t>
    <phoneticPr fontId="5" type="noConversion"/>
  </si>
  <si>
    <t>소고기 분쇄육 (더 리얼)</t>
  </si>
  <si>
    <t>소고기 분쇄육 (GF)</t>
  </si>
  <si>
    <t>소 간</t>
  </si>
  <si>
    <t>닭간분말(부형제 포함)</t>
  </si>
  <si>
    <t>계유</t>
  </si>
  <si>
    <t>미강(볶음 식용)</t>
  </si>
  <si>
    <t>보리(분쇄)</t>
  </si>
  <si>
    <t>깐 귀리</t>
  </si>
  <si>
    <t>귀리</t>
  </si>
  <si>
    <t>당근분(쿠키)</t>
  </si>
  <si>
    <t>퀴노아</t>
  </si>
  <si>
    <t>비트미</t>
  </si>
  <si>
    <t>클로렐라미</t>
  </si>
  <si>
    <t>자색고구마쌀</t>
  </si>
  <si>
    <t>감자 전분</t>
  </si>
  <si>
    <t>해조분말</t>
  </si>
  <si>
    <t>표고버섯</t>
  </si>
  <si>
    <t>블루베리 분말</t>
  </si>
  <si>
    <t>L-라이신 염산염</t>
  </si>
  <si>
    <t>프로폴리스 분말</t>
  </si>
  <si>
    <t>제이인산칼슘</t>
  </si>
  <si>
    <t>미네랄 믹스</t>
  </si>
  <si>
    <t>개프리믹스 0.65</t>
  </si>
  <si>
    <t>비타민 믹스</t>
  </si>
  <si>
    <t>고양이 프리믹스 2.45</t>
  </si>
  <si>
    <t>로즈마리 추출물</t>
  </si>
  <si>
    <t>글리세린지방산에스테르(유화제)</t>
  </si>
  <si>
    <t>(코드사용중단)당근-믹싱용</t>
  </si>
  <si>
    <t>브로컬리-믹스용</t>
  </si>
  <si>
    <t>포도당</t>
  </si>
  <si>
    <t>갈색 설탕</t>
  </si>
  <si>
    <t>단호박쌀</t>
  </si>
  <si>
    <t>동결건조 자색고구마</t>
  </si>
  <si>
    <t>동결건조 단호박</t>
  </si>
  <si>
    <t>동결건조 당근 - 트릿용</t>
  </si>
  <si>
    <t>동결건조 고구마 - 트릿용</t>
  </si>
  <si>
    <t>리퀴드스모크</t>
  </si>
  <si>
    <t>동결건조 방울 양배추 - 트릿용</t>
  </si>
  <si>
    <t>동결건조 망고 - 트릿용</t>
  </si>
  <si>
    <t>닭심장</t>
  </si>
  <si>
    <t>오리심장</t>
  </si>
  <si>
    <t>오리간</t>
  </si>
  <si>
    <t>오리가슴살(안심)</t>
  </si>
  <si>
    <t>홍국분말</t>
  </si>
  <si>
    <t>사과 분말</t>
  </si>
  <si>
    <t>바나나 분말</t>
  </si>
  <si>
    <t>동결건조 바나나 칩</t>
  </si>
  <si>
    <t>동결건조 사과칩</t>
  </si>
  <si>
    <t>동결건조 블루베리 - 트릿용</t>
  </si>
  <si>
    <t xml:space="preserve">동결건조 딸기 - 트릿용 </t>
  </si>
  <si>
    <t>동결건조 바나나 - 트릿용</t>
  </si>
  <si>
    <t>찰흑현미(탱탱볼)</t>
  </si>
  <si>
    <t>시금치쌀</t>
  </si>
  <si>
    <t>슈가파우더</t>
  </si>
  <si>
    <t>난백분말</t>
  </si>
  <si>
    <t>리고땅콩버터</t>
  </si>
  <si>
    <t>계란</t>
  </si>
  <si>
    <t>오트밀</t>
  </si>
  <si>
    <t>민찌 닭안심</t>
  </si>
  <si>
    <t>민찌 소 우둔살(호주산)</t>
  </si>
  <si>
    <t xml:space="preserve">블루베리 </t>
  </si>
  <si>
    <t>노계(닭육수용)</t>
  </si>
  <si>
    <t>현미</t>
  </si>
  <si>
    <t>호박고구마</t>
  </si>
  <si>
    <t>그린빈스</t>
  </si>
  <si>
    <t>소고기 설도</t>
  </si>
  <si>
    <t>소고기 목심 - 퀴진용</t>
  </si>
  <si>
    <t>소고기 사태 - 퀴진용</t>
  </si>
  <si>
    <t>냉동단호박(껍질 없음)</t>
  </si>
  <si>
    <t>단호박</t>
  </si>
  <si>
    <t>크랜베리</t>
  </si>
  <si>
    <t>요거트</t>
  </si>
  <si>
    <t>애플민트</t>
  </si>
  <si>
    <t>파슬리 후레이크</t>
  </si>
  <si>
    <t>수삼</t>
  </si>
  <si>
    <t>건대추</t>
  </si>
  <si>
    <t>찹쌀</t>
  </si>
  <si>
    <t>냉동 단호박 슬라이스</t>
  </si>
  <si>
    <t>닭가슴살 세절육</t>
  </si>
  <si>
    <t>닭가슴살 - 노계</t>
  </si>
  <si>
    <t>닭안심</t>
  </si>
  <si>
    <t>더리얼 밀 닭고기</t>
  </si>
  <si>
    <t>더리얼 밀 연어</t>
  </si>
  <si>
    <t>더리얼 밀 소고기</t>
  </si>
  <si>
    <t>바나나</t>
  </si>
  <si>
    <t>꿀</t>
  </si>
  <si>
    <t>계피분말</t>
  </si>
  <si>
    <t>한천</t>
  </si>
  <si>
    <t>캐롭파우더</t>
  </si>
  <si>
    <t>찹쌀만두피</t>
  </si>
  <si>
    <t>양배추</t>
  </si>
  <si>
    <t>시금치</t>
  </si>
  <si>
    <t>떡국떡</t>
  </si>
  <si>
    <t>옥수수면</t>
  </si>
  <si>
    <t xml:space="preserve">락토프리우유 </t>
  </si>
  <si>
    <t>딸기</t>
  </si>
  <si>
    <t>코코넛슈가</t>
  </si>
  <si>
    <t>돈지방</t>
  </si>
  <si>
    <t>돼지고기(다짐육)</t>
  </si>
  <si>
    <t>세이지</t>
  </si>
  <si>
    <t>리코타치즈</t>
  </si>
  <si>
    <t>천일염</t>
  </si>
  <si>
    <t>혼합제재</t>
  </si>
  <si>
    <t>비트분말</t>
  </si>
  <si>
    <t>고구마페이스트</t>
  </si>
  <si>
    <t>더리얼 밀 양고기</t>
  </si>
  <si>
    <t>더리얼 밀 오리고기</t>
  </si>
  <si>
    <t>더리얼 밀 돼지고기</t>
  </si>
  <si>
    <t>케일</t>
  </si>
  <si>
    <t>토마토홀 - 퀴진용</t>
  </si>
  <si>
    <t>푸실리</t>
  </si>
  <si>
    <t>건바질 - 퀴진용</t>
  </si>
  <si>
    <t>셀러리 - 퀴진용</t>
  </si>
  <si>
    <t>더리얼 밀 GF 돼지</t>
  </si>
  <si>
    <t>더리얼 밀 GF 닭</t>
  </si>
  <si>
    <t>더리얼 밀 GF 오리</t>
  </si>
  <si>
    <t>더리얼 밀 GF 연어</t>
  </si>
  <si>
    <t>더리얼 밀 GF 소</t>
  </si>
  <si>
    <t>더리얼 밀 GF 양</t>
  </si>
  <si>
    <t>더리얼 밀 Cat 닭고기</t>
  </si>
  <si>
    <t>더리얼 밀 Cat 연어</t>
  </si>
  <si>
    <t>더리얼 밀 Cat 참치</t>
  </si>
  <si>
    <t>비트</t>
  </si>
  <si>
    <t>볼로네제소스 - 퀴진용</t>
  </si>
  <si>
    <t>카치아토라소스 - 퀴진용</t>
  </si>
  <si>
    <t>찹스테이크소스 - 퀴진용</t>
  </si>
  <si>
    <t>홍피망 - 퀴진용</t>
  </si>
  <si>
    <t>청피망 - 퀴진용</t>
  </si>
  <si>
    <t>양송이 - 퀴진용</t>
  </si>
  <si>
    <t>닭다리살 - 퀴진용</t>
  </si>
  <si>
    <t>냉동 블랙올리브 - 퀴진용</t>
  </si>
  <si>
    <t>방울토마토 - 퀴진용</t>
  </si>
  <si>
    <t>콘낄리에면 - 퀴진용</t>
  </si>
  <si>
    <t>냉동당근채 - 퀴진용</t>
  </si>
  <si>
    <t>닭육수 - 퀴진용</t>
  </si>
  <si>
    <t>황태육수 - 퀴진용</t>
  </si>
  <si>
    <t>소고기육수 - 퀴진용</t>
  </si>
  <si>
    <t>황태채 - 퀴진용</t>
  </si>
  <si>
    <t>건미역 - 퀴진용</t>
  </si>
  <si>
    <t>무 - 퀴진용</t>
  </si>
  <si>
    <t>참기름 - 퀴진용</t>
  </si>
  <si>
    <t>소고기 양지 - 퀴진용</t>
  </si>
  <si>
    <t>캐롭베이스소스 - 퀴진용</t>
  </si>
  <si>
    <t>중기찹쌀가루 - 퀴진용</t>
  </si>
  <si>
    <t>중기쌀가루1단계 - 퀴진용</t>
  </si>
  <si>
    <t>중기쌀가루2단계 - 퀴진용</t>
  </si>
  <si>
    <t>용가리멍치킨</t>
  </si>
  <si>
    <t>냉동 완두콩</t>
  </si>
  <si>
    <t>깐 녹두</t>
  </si>
  <si>
    <t>곤약가루</t>
  </si>
  <si>
    <t>코코넛크림</t>
  </si>
  <si>
    <t>마스카포네치즈</t>
  </si>
  <si>
    <t>냉동 고등어 - 퀴진용</t>
  </si>
  <si>
    <t>냉동 삼치 - 퀴진용</t>
  </si>
  <si>
    <t>냉동 명태 - 퀴진용</t>
  </si>
  <si>
    <t>맥시칸 양념 치킨 볼 - 반제품</t>
  </si>
  <si>
    <t>더리얼 당근케이크 (반제품)</t>
  </si>
  <si>
    <t>더리얼 단호박케이크 (반제품)</t>
  </si>
  <si>
    <t>더리얼 블루베리케이크 (반제품)</t>
  </si>
  <si>
    <t>닭가슴살F (반제품)</t>
  </si>
  <si>
    <t>더리얼 닭고기 만두 (반제품)</t>
  </si>
  <si>
    <t>더리얼 닭고기 손만두 (반제품)</t>
  </si>
  <si>
    <t>닭가슴살 냉동 큐브 (반제품)</t>
  </si>
  <si>
    <t>연어 냉동 큐브 (반제품)</t>
  </si>
  <si>
    <t>명태 냉동 큐브 (반제품)</t>
  </si>
  <si>
    <t>닭가슴살 동결건조 큐브 (반제품)</t>
  </si>
  <si>
    <t>연어 동결건조 큐브 (반제품)</t>
  </si>
  <si>
    <t>명태 동결건조 큐브 (반제품)</t>
  </si>
  <si>
    <t>감자전분(배합정밀도 테스트용)</t>
  </si>
  <si>
    <t>계유(사)</t>
  </si>
  <si>
    <t>2026-02</t>
    <phoneticPr fontId="5" type="noConversion"/>
  </si>
  <si>
    <t>2026-03</t>
    <phoneticPr fontId="5" type="noConversion"/>
  </si>
  <si>
    <t>2026-04</t>
    <phoneticPr fontId="5" type="noConversion"/>
  </si>
  <si>
    <t>2026-05</t>
    <phoneticPr fontId="5" type="noConversion"/>
  </si>
  <si>
    <t>2026-06</t>
    <phoneticPr fontId="5" type="noConversion"/>
  </si>
  <si>
    <t>2026-07</t>
    <phoneticPr fontId="5" type="noConversion"/>
  </si>
  <si>
    <t>2026-08</t>
  </si>
  <si>
    <t>2026-09</t>
  </si>
  <si>
    <t>2026-10</t>
  </si>
  <si>
    <t>2026-11</t>
  </si>
  <si>
    <t>2026-12</t>
  </si>
  <si>
    <t>2027-01</t>
    <phoneticPr fontId="5" type="noConversion"/>
  </si>
  <si>
    <t>2025-01</t>
  </si>
  <si>
    <t>2025-01</t>
    <phoneticPr fontId="5" type="noConversion"/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</si>
  <si>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</si>
  <si>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</si>
  <si>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</si>
  <si>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</si>
  <si>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</si>
  <si>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</si>
  <si>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</si>
  <si>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</si>
  <si>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</si>
  <si>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</si>
  <si>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</si>
  <si>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rPr>
        <sz val="10"/>
        <color theme="1"/>
        <rFont val="하림R"/>
        <family val="3"/>
        <charset val="129"/>
      </rPr>
      <t>202</t>
    </r>
    <r>
      <rPr>
        <sz val="10"/>
        <color theme="1"/>
        <rFont val="맑은 고딕"/>
        <family val="3"/>
        <charset val="129"/>
      </rPr>
      <t>4</t>
    </r>
    <r>
      <rPr>
        <sz val="10"/>
        <color theme="1"/>
        <rFont val="하림R"/>
        <family val="3"/>
        <charset val="129"/>
      </rPr>
      <t>년 12월</t>
    </r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</si>
  <si>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</si>
  <si>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</si>
  <si>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</si>
  <si>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</si>
  <si>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</si>
  <si>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</si>
  <si>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</si>
  <si>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</si>
  <si>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</si>
  <si>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</si>
  <si>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</si>
  <si>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</si>
  <si>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닭목뼈(사용중단)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</si>
</sst>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_-* #,##0_-;\-* #,##0_-;_-* &quot;-&quot;_-;_-@"/>
    <numFmt numFmtId="181" formatCode="_-&quot;₩&quot;* #,##0_-;\-&quot;₩&quot;* #,##0_-;_-&quot;₩&quot;* &quot;-&quot;_-;_-@_-"/>
    <numFmt numFmtId="182" formatCode="_-* #,##0_-;\-* #,##0_-;_-* &quot;-&quot;_-;_-@_-"/>
  </numFmts>
  <fonts count="16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theme="1"/>
      <name val="Malgun Gothic"/>
      <family val="3"/>
      <charset val="129"/>
    </font>
    <font>
      <sz val="10"/>
      <color theme="1"/>
      <name val="하림R"/>
      <family val="3"/>
      <charset val="129"/>
    </font>
    <font>
      <sz val="10"/>
      <color theme="1"/>
      <name val="맑은 고딕"/>
      <family val="3"/>
      <charset val="129"/>
    </font>
    <font>
      <sz val="10"/>
      <color indexed="8"/>
      <name val="Arial"/>
      <family val="2"/>
    </font>
    <font>
      <sz val="11"/>
      <color theme="1"/>
      <name val="맑은 고딕"/>
      <family val="3"/>
      <charset val="129"/>
      <scheme val="minor"/>
    </font>
    <font>
      <sz val="10"/>
      <name val="바탕체"/>
      <family val="1"/>
      <charset val="129"/>
    </font>
    <font>
      <sz val="10"/>
      <color rgb="FF000000"/>
      <name val="맑은 고딕"/>
      <family val="2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0CECE"/>
        <bgColor rgb="FFD0CE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206">
    <xf numFmtId="0" fontId="0" fillId="0" borderId="0"/>
    <xf numFmtId="0" fontId="7" fillId="0" borderId="0"/>
    <xf numFmtId="41" fontId="7" fillId="0" borderId="0" applyFont="0" applyFill="0" applyBorder="0" applyAlignment="0" applyProtection="0">
      <alignment vertical="center"/>
    </xf>
    <xf numFmtId="0" fontId="7" fillId="0" borderId="0"/>
    <xf numFmtId="0" fontId="11" fillId="0" borderId="0"/>
    <xf numFmtId="0" fontId="2" fillId="0" borderId="0">
      <alignment vertical="center"/>
    </xf>
    <xf numFmtId="0" fontId="12" fillId="0" borderId="0"/>
    <xf numFmtId="41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>
      <alignment vertical="center"/>
    </xf>
    <xf numFmtId="0" fontId="11" fillId="0" borderId="0"/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7" fillId="0" borderId="0"/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7" fillId="0" borderId="0"/>
    <xf numFmtId="41" fontId="7" fillId="0" borderId="0" applyFont="0" applyFill="0" applyBorder="0" applyAlignment="0" applyProtection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1" fillId="0" borderId="0"/>
    <xf numFmtId="0" fontId="11" fillId="0" borderId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0" fontId="11" fillId="0" borderId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1" fillId="0" borderId="0"/>
    <xf numFmtId="0" fontId="11" fillId="0" borderId="0"/>
    <xf numFmtId="41" fontId="11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1" fillId="0" borderId="0"/>
    <xf numFmtId="0" fontId="11" fillId="0" borderId="0"/>
    <xf numFmtId="41" fontId="11" fillId="0" borderId="0" applyFont="0" applyFill="0" applyBorder="0" applyAlignment="0" applyProtection="0"/>
    <xf numFmtId="0" fontId="11" fillId="0" borderId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0" fontId="12" fillId="0" borderId="0"/>
    <xf numFmtId="41" fontId="7" fillId="0" borderId="0" applyFont="0" applyFill="0" applyBorder="0" applyAlignment="0" applyProtection="0">
      <alignment vertical="center"/>
    </xf>
    <xf numFmtId="0" fontId="12" fillId="0" borderId="0"/>
    <xf numFmtId="41" fontId="7" fillId="0" borderId="0" applyFont="0" applyFill="0" applyBorder="0" applyAlignment="0" applyProtection="0">
      <alignment vertical="center"/>
    </xf>
    <xf numFmtId="0" fontId="7" fillId="0" borderId="0"/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0" fontId="12" fillId="0" borderId="0"/>
    <xf numFmtId="41" fontId="7" fillId="0" borderId="0" applyFont="0" applyFill="0" applyBorder="0" applyAlignment="0" applyProtection="0">
      <alignment vertical="center"/>
    </xf>
    <xf numFmtId="0" fontId="12" fillId="0" borderId="0"/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12" fillId="0" borderId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/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12" fillId="0" borderId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12" fillId="0" borderId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1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3" fillId="0" borderId="0" applyFont="0" applyFill="0" applyBorder="0" applyAlignment="0" applyProtection="0"/>
    <xf numFmtId="182" fontId="11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0" fontId="11" fillId="0" borderId="0"/>
    <xf numFmtId="182" fontId="11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182" fontId="12" fillId="0" borderId="0" applyFont="0" applyFill="0" applyBorder="0" applyAlignment="0" applyProtection="0">
      <alignment vertical="center"/>
    </xf>
    <xf numFmtId="182" fontId="11" fillId="0" borderId="0" applyFont="0" applyFill="0" applyBorder="0" applyAlignment="0" applyProtection="0"/>
    <xf numFmtId="182" fontId="11" fillId="0" borderId="0" applyFont="0" applyFill="0" applyBorder="0" applyAlignment="0" applyProtection="0"/>
    <xf numFmtId="0" fontId="14" fillId="0" borderId="0"/>
    <xf numFmtId="182" fontId="11" fillId="0" borderId="0" applyFont="0" applyFill="0" applyBorder="0" applyAlignment="0" applyProtection="0"/>
    <xf numFmtId="0" fontId="1" fillId="0" borderId="0">
      <alignment vertical="center"/>
    </xf>
    <xf numFmtId="182" fontId="1" fillId="0" borderId="0" applyFont="0" applyFill="0" applyBorder="0" applyAlignment="0" applyProtection="0">
      <alignment vertical="center"/>
    </xf>
    <xf numFmtId="0" fontId="15" fillId="0" borderId="0"/>
    <xf numFmtId="9" fontId="1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3" fontId="6" fillId="0" borderId="2" xfId="0" applyNumberFormat="1" applyFont="1" applyBorder="1"/>
    <xf numFmtId="49" fontId="4" fillId="0" borderId="2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" fontId="4" fillId="0" borderId="2" xfId="0" quotePrefix="1" applyNumberFormat="1" applyFont="1" applyBorder="1" applyAlignment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49" fontId="4" fillId="0" borderId="2" xfId="0" quotePrefix="1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 applyAlignment="1">
      <alignment vertical="center"/>
    </xf>
    <xf numFmtId="0" fontId="9" fillId="3" borderId="0" xfId="0" applyFont="1" applyFill="1" applyBorder="1" applyAlignment="1">
      <alignment horizontal="center" vertical="center" wrapText="1"/>
    </xf>
    <xf numFmtId="176" fontId="9" fillId="3" borderId="0" xfId="0" applyNumberFormat="1" applyFont="1" applyFill="1" applyBorder="1" applyAlignment="1">
      <alignment horizontal="center" vertical="center" wrapText="1"/>
    </xf>
    <xf numFmtId="176" fontId="8" fillId="0" borderId="0" xfId="0" applyNumberFormat="1" applyFont="1" applyAlignment="1">
      <alignment horizontal="right" vertical="center"/>
    </xf>
    <xf numFmtId="176" fontId="8" fillId="4" borderId="0" xfId="0" applyNumberFormat="1" applyFont="1" applyFill="1" applyAlignment="1">
      <alignment vertical="center"/>
    </xf>
    <xf numFmtId="3" fontId="0" fillId="0" borderId="0" xfId="0" applyNumberFormat="1"/>
    <xf numFmtId="176" fontId="8" fillId="0" borderId="0" xfId="0" applyNumberFormat="1" applyFont="1" applyAlignment="1">
      <alignment vertical="center"/>
    </xf>
  </cellXfs>
  <cellStyles count="5206">
    <cellStyle name="백분율 2" xfId="9" xr:uid="{00000000-0005-0000-0000-000031000000}"/>
    <cellStyle name="백분율 2 2" xfId="48" xr:uid="{5F4087D8-2433-4F2C-BCA5-FA75B5C4A934}"/>
    <cellStyle name="백분율 3" xfId="5202" xr:uid="{5FF57C19-519D-4627-91B0-93A45A1A28FF}"/>
    <cellStyle name="쉼표 [0] 10" xfId="58" xr:uid="{EC2FA967-686C-4441-97A9-2EC8976278A6}"/>
    <cellStyle name="쉼표 [0] 10 10" xfId="5194" xr:uid="{7BF00A14-8B02-4B51-BDD6-4DB4D4455682}"/>
    <cellStyle name="쉼표 [0] 10 11" xfId="1790" xr:uid="{EC2FA967-686C-4441-97A9-2EC8976278A6}"/>
    <cellStyle name="쉼표 [0] 10 2" xfId="104" xr:uid="{EC2FA967-686C-4441-97A9-2EC8976278A6}"/>
    <cellStyle name="쉼표 [0] 10 2 2" xfId="271" xr:uid="{EC2FA967-686C-4441-97A9-2EC8976278A6}"/>
    <cellStyle name="쉼표 [0] 10 2 2 2" xfId="682" xr:uid="{EC2FA967-686C-4441-97A9-2EC8976278A6}"/>
    <cellStyle name="쉼표 [0] 10 2 2 2 2" xfId="1742" xr:uid="{EC2FA967-686C-4441-97A9-2EC8976278A6}"/>
    <cellStyle name="쉼표 [0] 10 2 2 2 2 2" xfId="5168" xr:uid="{EC2FA967-686C-4441-97A9-2EC8976278A6}"/>
    <cellStyle name="쉼표 [0] 10 2 2 2 2 3" xfId="3455" xr:uid="{EC2FA967-686C-4441-97A9-2EC8976278A6}"/>
    <cellStyle name="쉼표 [0] 10 2 2 2 3" xfId="1092" xr:uid="{EC2FA967-686C-4441-97A9-2EC8976278A6}"/>
    <cellStyle name="쉼표 [0] 10 2 2 2 3 2" xfId="4520" xr:uid="{EC2FA967-686C-4441-97A9-2EC8976278A6}"/>
    <cellStyle name="쉼표 [0] 10 2 2 2 3 3" xfId="2807" xr:uid="{EC2FA967-686C-4441-97A9-2EC8976278A6}"/>
    <cellStyle name="쉼표 [0] 10 2 2 2 4" xfId="4111" xr:uid="{EC2FA967-686C-4441-97A9-2EC8976278A6}"/>
    <cellStyle name="쉼표 [0] 10 2 2 2 5" xfId="2398" xr:uid="{EC2FA967-686C-4441-97A9-2EC8976278A6}"/>
    <cellStyle name="쉼표 [0] 10 2 2 3" xfId="437" xr:uid="{EC2FA967-686C-4441-97A9-2EC8976278A6}"/>
    <cellStyle name="쉼표 [0] 10 2 2 3 2" xfId="1497" xr:uid="{EC2FA967-686C-4441-97A9-2EC8976278A6}"/>
    <cellStyle name="쉼표 [0] 10 2 2 3 2 2" xfId="4924" xr:uid="{EC2FA967-686C-4441-97A9-2EC8976278A6}"/>
    <cellStyle name="쉼표 [0] 10 2 2 3 2 3" xfId="3211" xr:uid="{EC2FA967-686C-4441-97A9-2EC8976278A6}"/>
    <cellStyle name="쉼표 [0] 10 2 2 3 3" xfId="3867" xr:uid="{EC2FA967-686C-4441-97A9-2EC8976278A6}"/>
    <cellStyle name="쉼표 [0] 10 2 2 3 4" xfId="2154" xr:uid="{EC2FA967-686C-4441-97A9-2EC8976278A6}"/>
    <cellStyle name="쉼표 [0] 10 2 2 4" xfId="1333" xr:uid="{EC2FA967-686C-4441-97A9-2EC8976278A6}"/>
    <cellStyle name="쉼표 [0] 10 2 2 4 2" xfId="4760" xr:uid="{EC2FA967-686C-4441-97A9-2EC8976278A6}"/>
    <cellStyle name="쉼표 [0] 10 2 2 4 3" xfId="3047" xr:uid="{EC2FA967-686C-4441-97A9-2EC8976278A6}"/>
    <cellStyle name="쉼표 [0] 10 2 2 5" xfId="848" xr:uid="{EC2FA967-686C-4441-97A9-2EC8976278A6}"/>
    <cellStyle name="쉼표 [0] 10 2 2 5 2" xfId="4276" xr:uid="{EC2FA967-686C-4441-97A9-2EC8976278A6}"/>
    <cellStyle name="쉼표 [0] 10 2 2 5 3" xfId="2563" xr:uid="{EC2FA967-686C-4441-97A9-2EC8976278A6}"/>
    <cellStyle name="쉼표 [0] 10 2 2 6" xfId="3703" xr:uid="{EC2FA967-686C-4441-97A9-2EC8976278A6}"/>
    <cellStyle name="쉼표 [0] 10 2 2 7" xfId="1990" xr:uid="{EC2FA967-686C-4441-97A9-2EC8976278A6}"/>
    <cellStyle name="쉼표 [0] 10 2 3" xfId="189" xr:uid="{EC2FA967-686C-4441-97A9-2EC8976278A6}"/>
    <cellStyle name="쉼표 [0] 10 2 3 2" xfId="600" xr:uid="{EC2FA967-686C-4441-97A9-2EC8976278A6}"/>
    <cellStyle name="쉼표 [0] 10 2 3 2 2" xfId="1660" xr:uid="{EC2FA967-686C-4441-97A9-2EC8976278A6}"/>
    <cellStyle name="쉼표 [0] 10 2 3 2 2 2" xfId="5086" xr:uid="{EC2FA967-686C-4441-97A9-2EC8976278A6}"/>
    <cellStyle name="쉼표 [0] 10 2 3 2 2 3" xfId="3373" xr:uid="{EC2FA967-686C-4441-97A9-2EC8976278A6}"/>
    <cellStyle name="쉼표 [0] 10 2 3 2 3" xfId="4029" xr:uid="{EC2FA967-686C-4441-97A9-2EC8976278A6}"/>
    <cellStyle name="쉼표 [0] 10 2 3 2 4" xfId="2316" xr:uid="{EC2FA967-686C-4441-97A9-2EC8976278A6}"/>
    <cellStyle name="쉼표 [0] 10 2 3 3" xfId="1252" xr:uid="{EC2FA967-686C-4441-97A9-2EC8976278A6}"/>
    <cellStyle name="쉼표 [0] 10 2 3 3 2" xfId="4679" xr:uid="{EC2FA967-686C-4441-97A9-2EC8976278A6}"/>
    <cellStyle name="쉼표 [0] 10 2 3 3 3" xfId="2966" xr:uid="{EC2FA967-686C-4441-97A9-2EC8976278A6}"/>
    <cellStyle name="쉼표 [0] 10 2 3 4" xfId="1010" xr:uid="{EC2FA967-686C-4441-97A9-2EC8976278A6}"/>
    <cellStyle name="쉼표 [0] 10 2 3 4 2" xfId="4438" xr:uid="{EC2FA967-686C-4441-97A9-2EC8976278A6}"/>
    <cellStyle name="쉼표 [0] 10 2 3 4 3" xfId="2725" xr:uid="{EC2FA967-686C-4441-97A9-2EC8976278A6}"/>
    <cellStyle name="쉼표 [0] 10 2 3 5" xfId="3621" xr:uid="{EC2FA967-686C-4441-97A9-2EC8976278A6}"/>
    <cellStyle name="쉼표 [0] 10 2 3 6" xfId="1908" xr:uid="{EC2FA967-686C-4441-97A9-2EC8976278A6}"/>
    <cellStyle name="쉼표 [0] 10 2 4" xfId="518" xr:uid="{EC2FA967-686C-4441-97A9-2EC8976278A6}"/>
    <cellStyle name="쉼표 [0] 10 2 4 2" xfId="1578" xr:uid="{EC2FA967-686C-4441-97A9-2EC8976278A6}"/>
    <cellStyle name="쉼표 [0] 10 2 4 2 2" xfId="5004" xr:uid="{EC2FA967-686C-4441-97A9-2EC8976278A6}"/>
    <cellStyle name="쉼표 [0] 10 2 4 2 3" xfId="3291" xr:uid="{EC2FA967-686C-4441-97A9-2EC8976278A6}"/>
    <cellStyle name="쉼표 [0] 10 2 4 3" xfId="928" xr:uid="{EC2FA967-686C-4441-97A9-2EC8976278A6}"/>
    <cellStyle name="쉼표 [0] 10 2 4 3 2" xfId="4356" xr:uid="{EC2FA967-686C-4441-97A9-2EC8976278A6}"/>
    <cellStyle name="쉼표 [0] 10 2 4 3 3" xfId="2643" xr:uid="{EC2FA967-686C-4441-97A9-2EC8976278A6}"/>
    <cellStyle name="쉼표 [0] 10 2 4 4" xfId="3947" xr:uid="{EC2FA967-686C-4441-97A9-2EC8976278A6}"/>
    <cellStyle name="쉼표 [0] 10 2 4 5" xfId="2234" xr:uid="{EC2FA967-686C-4441-97A9-2EC8976278A6}"/>
    <cellStyle name="쉼표 [0] 10 2 5" xfId="355" xr:uid="{EC2FA967-686C-4441-97A9-2EC8976278A6}"/>
    <cellStyle name="쉼표 [0] 10 2 5 2" xfId="1415" xr:uid="{EC2FA967-686C-4441-97A9-2EC8976278A6}"/>
    <cellStyle name="쉼표 [0] 10 2 5 2 2" xfId="4842" xr:uid="{EC2FA967-686C-4441-97A9-2EC8976278A6}"/>
    <cellStyle name="쉼표 [0] 10 2 5 2 3" xfId="3129" xr:uid="{EC2FA967-686C-4441-97A9-2EC8976278A6}"/>
    <cellStyle name="쉼표 [0] 10 2 5 3" xfId="3785" xr:uid="{EC2FA967-686C-4441-97A9-2EC8976278A6}"/>
    <cellStyle name="쉼표 [0] 10 2 5 4" xfId="2072" xr:uid="{EC2FA967-686C-4441-97A9-2EC8976278A6}"/>
    <cellStyle name="쉼표 [0] 10 2 6" xfId="1173" xr:uid="{EC2FA967-686C-4441-97A9-2EC8976278A6}"/>
    <cellStyle name="쉼표 [0] 10 2 6 2" xfId="4600" xr:uid="{EC2FA967-686C-4441-97A9-2EC8976278A6}"/>
    <cellStyle name="쉼표 [0] 10 2 6 3" xfId="2887" xr:uid="{EC2FA967-686C-4441-97A9-2EC8976278A6}"/>
    <cellStyle name="쉼표 [0] 10 2 7" xfId="766" xr:uid="{EC2FA967-686C-4441-97A9-2EC8976278A6}"/>
    <cellStyle name="쉼표 [0] 10 2 7 2" xfId="4194" xr:uid="{EC2FA967-686C-4441-97A9-2EC8976278A6}"/>
    <cellStyle name="쉼표 [0] 10 2 7 3" xfId="2481" xr:uid="{EC2FA967-686C-4441-97A9-2EC8976278A6}"/>
    <cellStyle name="쉼표 [0] 10 2 8" xfId="3539" xr:uid="{EC2FA967-686C-4441-97A9-2EC8976278A6}"/>
    <cellStyle name="쉼표 [0] 10 2 9" xfId="1826" xr:uid="{EC2FA967-686C-4441-97A9-2EC8976278A6}"/>
    <cellStyle name="쉼표 [0] 10 3" xfId="235" xr:uid="{EC2FA967-686C-4441-97A9-2EC8976278A6}"/>
    <cellStyle name="쉼표 [0] 10 3 2" xfId="646" xr:uid="{EC2FA967-686C-4441-97A9-2EC8976278A6}"/>
    <cellStyle name="쉼표 [0] 10 3 2 2" xfId="1706" xr:uid="{EC2FA967-686C-4441-97A9-2EC8976278A6}"/>
    <cellStyle name="쉼표 [0] 10 3 2 2 2" xfId="5132" xr:uid="{EC2FA967-686C-4441-97A9-2EC8976278A6}"/>
    <cellStyle name="쉼표 [0] 10 3 2 2 3" xfId="3419" xr:uid="{EC2FA967-686C-4441-97A9-2EC8976278A6}"/>
    <cellStyle name="쉼표 [0] 10 3 2 3" xfId="1056" xr:uid="{EC2FA967-686C-4441-97A9-2EC8976278A6}"/>
    <cellStyle name="쉼표 [0] 10 3 2 3 2" xfId="4484" xr:uid="{EC2FA967-686C-4441-97A9-2EC8976278A6}"/>
    <cellStyle name="쉼표 [0] 10 3 2 3 3" xfId="2771" xr:uid="{EC2FA967-686C-4441-97A9-2EC8976278A6}"/>
    <cellStyle name="쉼표 [0] 10 3 2 4" xfId="4075" xr:uid="{EC2FA967-686C-4441-97A9-2EC8976278A6}"/>
    <cellStyle name="쉼표 [0] 10 3 2 5" xfId="2362" xr:uid="{EC2FA967-686C-4441-97A9-2EC8976278A6}"/>
    <cellStyle name="쉼표 [0] 10 3 3" xfId="401" xr:uid="{EC2FA967-686C-4441-97A9-2EC8976278A6}"/>
    <cellStyle name="쉼표 [0] 10 3 3 2" xfId="1461" xr:uid="{EC2FA967-686C-4441-97A9-2EC8976278A6}"/>
    <cellStyle name="쉼표 [0] 10 3 3 2 2" xfId="4888" xr:uid="{EC2FA967-686C-4441-97A9-2EC8976278A6}"/>
    <cellStyle name="쉼표 [0] 10 3 3 2 3" xfId="3175" xr:uid="{EC2FA967-686C-4441-97A9-2EC8976278A6}"/>
    <cellStyle name="쉼표 [0] 10 3 3 3" xfId="3831" xr:uid="{EC2FA967-686C-4441-97A9-2EC8976278A6}"/>
    <cellStyle name="쉼표 [0] 10 3 3 4" xfId="2118" xr:uid="{EC2FA967-686C-4441-97A9-2EC8976278A6}"/>
    <cellStyle name="쉼표 [0] 10 3 4" xfId="1297" xr:uid="{EC2FA967-686C-4441-97A9-2EC8976278A6}"/>
    <cellStyle name="쉼표 [0] 10 3 4 2" xfId="4724" xr:uid="{EC2FA967-686C-4441-97A9-2EC8976278A6}"/>
    <cellStyle name="쉼표 [0] 10 3 4 3" xfId="3011" xr:uid="{EC2FA967-686C-4441-97A9-2EC8976278A6}"/>
    <cellStyle name="쉼표 [0] 10 3 5" xfId="812" xr:uid="{EC2FA967-686C-4441-97A9-2EC8976278A6}"/>
    <cellStyle name="쉼표 [0] 10 3 5 2" xfId="4240" xr:uid="{EC2FA967-686C-4441-97A9-2EC8976278A6}"/>
    <cellStyle name="쉼표 [0] 10 3 5 3" xfId="2527" xr:uid="{EC2FA967-686C-4441-97A9-2EC8976278A6}"/>
    <cellStyle name="쉼표 [0] 10 3 6" xfId="3667" xr:uid="{EC2FA967-686C-4441-97A9-2EC8976278A6}"/>
    <cellStyle name="쉼표 [0] 10 3 7" xfId="1954" xr:uid="{EC2FA967-686C-4441-97A9-2EC8976278A6}"/>
    <cellStyle name="쉼표 [0] 10 4" xfId="153" xr:uid="{EC2FA967-686C-4441-97A9-2EC8976278A6}"/>
    <cellStyle name="쉼표 [0] 10 4 2" xfId="564" xr:uid="{EC2FA967-686C-4441-97A9-2EC8976278A6}"/>
    <cellStyle name="쉼표 [0] 10 4 2 2" xfId="1624" xr:uid="{EC2FA967-686C-4441-97A9-2EC8976278A6}"/>
    <cellStyle name="쉼표 [0] 10 4 2 2 2" xfId="5050" xr:uid="{EC2FA967-686C-4441-97A9-2EC8976278A6}"/>
    <cellStyle name="쉼표 [0] 10 4 2 2 3" xfId="3337" xr:uid="{EC2FA967-686C-4441-97A9-2EC8976278A6}"/>
    <cellStyle name="쉼표 [0] 10 4 2 3" xfId="3993" xr:uid="{EC2FA967-686C-4441-97A9-2EC8976278A6}"/>
    <cellStyle name="쉼표 [0] 10 4 2 4" xfId="2280" xr:uid="{EC2FA967-686C-4441-97A9-2EC8976278A6}"/>
    <cellStyle name="쉼표 [0] 10 4 3" xfId="1216" xr:uid="{EC2FA967-686C-4441-97A9-2EC8976278A6}"/>
    <cellStyle name="쉼표 [0] 10 4 3 2" xfId="4643" xr:uid="{EC2FA967-686C-4441-97A9-2EC8976278A6}"/>
    <cellStyle name="쉼표 [0] 10 4 3 3" xfId="2930" xr:uid="{EC2FA967-686C-4441-97A9-2EC8976278A6}"/>
    <cellStyle name="쉼표 [0] 10 4 4" xfId="974" xr:uid="{EC2FA967-686C-4441-97A9-2EC8976278A6}"/>
    <cellStyle name="쉼표 [0] 10 4 4 2" xfId="4402" xr:uid="{EC2FA967-686C-4441-97A9-2EC8976278A6}"/>
    <cellStyle name="쉼표 [0] 10 4 4 3" xfId="2689" xr:uid="{EC2FA967-686C-4441-97A9-2EC8976278A6}"/>
    <cellStyle name="쉼표 [0] 10 4 5" xfId="3585" xr:uid="{EC2FA967-686C-4441-97A9-2EC8976278A6}"/>
    <cellStyle name="쉼표 [0] 10 4 6" xfId="1872" xr:uid="{EC2FA967-686C-4441-97A9-2EC8976278A6}"/>
    <cellStyle name="쉼표 [0] 10 5" xfId="482" xr:uid="{EC2FA967-686C-4441-97A9-2EC8976278A6}"/>
    <cellStyle name="쉼표 [0] 10 5 2" xfId="1542" xr:uid="{EC2FA967-686C-4441-97A9-2EC8976278A6}"/>
    <cellStyle name="쉼표 [0] 10 5 2 2" xfId="4968" xr:uid="{EC2FA967-686C-4441-97A9-2EC8976278A6}"/>
    <cellStyle name="쉼표 [0] 10 5 2 3" xfId="3255" xr:uid="{EC2FA967-686C-4441-97A9-2EC8976278A6}"/>
    <cellStyle name="쉼표 [0] 10 5 3" xfId="892" xr:uid="{EC2FA967-686C-4441-97A9-2EC8976278A6}"/>
    <cellStyle name="쉼표 [0] 10 5 3 2" xfId="4320" xr:uid="{EC2FA967-686C-4441-97A9-2EC8976278A6}"/>
    <cellStyle name="쉼표 [0] 10 5 3 3" xfId="2607" xr:uid="{EC2FA967-686C-4441-97A9-2EC8976278A6}"/>
    <cellStyle name="쉼표 [0] 10 5 4" xfId="3911" xr:uid="{EC2FA967-686C-4441-97A9-2EC8976278A6}"/>
    <cellStyle name="쉼표 [0] 10 5 5" xfId="2198" xr:uid="{EC2FA967-686C-4441-97A9-2EC8976278A6}"/>
    <cellStyle name="쉼표 [0] 10 6" xfId="319" xr:uid="{EC2FA967-686C-4441-97A9-2EC8976278A6}"/>
    <cellStyle name="쉼표 [0] 10 6 2" xfId="1379" xr:uid="{EC2FA967-686C-4441-97A9-2EC8976278A6}"/>
    <cellStyle name="쉼표 [0] 10 6 2 2" xfId="4806" xr:uid="{EC2FA967-686C-4441-97A9-2EC8976278A6}"/>
    <cellStyle name="쉼표 [0] 10 6 2 3" xfId="3093" xr:uid="{EC2FA967-686C-4441-97A9-2EC8976278A6}"/>
    <cellStyle name="쉼표 [0] 10 6 3" xfId="3749" xr:uid="{EC2FA967-686C-4441-97A9-2EC8976278A6}"/>
    <cellStyle name="쉼표 [0] 10 6 4" xfId="2036" xr:uid="{EC2FA967-686C-4441-97A9-2EC8976278A6}"/>
    <cellStyle name="쉼표 [0] 10 7" xfId="1137" xr:uid="{EC2FA967-686C-4441-97A9-2EC8976278A6}"/>
    <cellStyle name="쉼표 [0] 10 7 2" xfId="4564" xr:uid="{EC2FA967-686C-4441-97A9-2EC8976278A6}"/>
    <cellStyle name="쉼표 [0] 10 7 3" xfId="2851" xr:uid="{EC2FA967-686C-4441-97A9-2EC8976278A6}"/>
    <cellStyle name="쉼표 [0] 10 8" xfId="730" xr:uid="{EC2FA967-686C-4441-97A9-2EC8976278A6}"/>
    <cellStyle name="쉼표 [0] 10 8 2" xfId="4158" xr:uid="{EC2FA967-686C-4441-97A9-2EC8976278A6}"/>
    <cellStyle name="쉼표 [0] 10 8 3" xfId="2445" xr:uid="{EC2FA967-686C-4441-97A9-2EC8976278A6}"/>
    <cellStyle name="쉼표 [0] 10 9" xfId="3503" xr:uid="{EC2FA967-686C-4441-97A9-2EC8976278A6}"/>
    <cellStyle name="쉼표 [0] 11" xfId="61" xr:uid="{591E63E3-2001-40A9-8670-509707F34507}"/>
    <cellStyle name="쉼표 [0] 11 10" xfId="1791" xr:uid="{591E63E3-2001-40A9-8670-509707F34507}"/>
    <cellStyle name="쉼표 [0] 11 2" xfId="105" xr:uid="{591E63E3-2001-40A9-8670-509707F34507}"/>
    <cellStyle name="쉼표 [0] 11 2 2" xfId="272" xr:uid="{591E63E3-2001-40A9-8670-509707F34507}"/>
    <cellStyle name="쉼표 [0] 11 2 2 2" xfId="683" xr:uid="{591E63E3-2001-40A9-8670-509707F34507}"/>
    <cellStyle name="쉼표 [0] 11 2 2 2 2" xfId="1743" xr:uid="{591E63E3-2001-40A9-8670-509707F34507}"/>
    <cellStyle name="쉼표 [0] 11 2 2 2 2 2" xfId="5169" xr:uid="{591E63E3-2001-40A9-8670-509707F34507}"/>
    <cellStyle name="쉼표 [0] 11 2 2 2 2 3" xfId="3456" xr:uid="{591E63E3-2001-40A9-8670-509707F34507}"/>
    <cellStyle name="쉼표 [0] 11 2 2 2 3" xfId="1093" xr:uid="{591E63E3-2001-40A9-8670-509707F34507}"/>
    <cellStyle name="쉼표 [0] 11 2 2 2 3 2" xfId="4521" xr:uid="{591E63E3-2001-40A9-8670-509707F34507}"/>
    <cellStyle name="쉼표 [0] 11 2 2 2 3 3" xfId="2808" xr:uid="{591E63E3-2001-40A9-8670-509707F34507}"/>
    <cellStyle name="쉼표 [0] 11 2 2 2 4" xfId="4112" xr:uid="{591E63E3-2001-40A9-8670-509707F34507}"/>
    <cellStyle name="쉼표 [0] 11 2 2 2 5" xfId="2399" xr:uid="{591E63E3-2001-40A9-8670-509707F34507}"/>
    <cellStyle name="쉼표 [0] 11 2 2 3" xfId="438" xr:uid="{591E63E3-2001-40A9-8670-509707F34507}"/>
    <cellStyle name="쉼표 [0] 11 2 2 3 2" xfId="1498" xr:uid="{591E63E3-2001-40A9-8670-509707F34507}"/>
    <cellStyle name="쉼표 [0] 11 2 2 3 2 2" xfId="4925" xr:uid="{591E63E3-2001-40A9-8670-509707F34507}"/>
    <cellStyle name="쉼표 [0] 11 2 2 3 2 3" xfId="3212" xr:uid="{591E63E3-2001-40A9-8670-509707F34507}"/>
    <cellStyle name="쉼표 [0] 11 2 2 3 3" xfId="3868" xr:uid="{591E63E3-2001-40A9-8670-509707F34507}"/>
    <cellStyle name="쉼표 [0] 11 2 2 3 4" xfId="2155" xr:uid="{591E63E3-2001-40A9-8670-509707F34507}"/>
    <cellStyle name="쉼표 [0] 11 2 2 4" xfId="1334" xr:uid="{591E63E3-2001-40A9-8670-509707F34507}"/>
    <cellStyle name="쉼표 [0] 11 2 2 4 2" xfId="4761" xr:uid="{591E63E3-2001-40A9-8670-509707F34507}"/>
    <cellStyle name="쉼표 [0] 11 2 2 4 3" xfId="3048" xr:uid="{591E63E3-2001-40A9-8670-509707F34507}"/>
    <cellStyle name="쉼표 [0] 11 2 2 5" xfId="849" xr:uid="{591E63E3-2001-40A9-8670-509707F34507}"/>
    <cellStyle name="쉼표 [0] 11 2 2 5 2" xfId="4277" xr:uid="{591E63E3-2001-40A9-8670-509707F34507}"/>
    <cellStyle name="쉼표 [0] 11 2 2 5 3" xfId="2564" xr:uid="{591E63E3-2001-40A9-8670-509707F34507}"/>
    <cellStyle name="쉼표 [0] 11 2 2 6" xfId="3704" xr:uid="{591E63E3-2001-40A9-8670-509707F34507}"/>
    <cellStyle name="쉼표 [0] 11 2 2 7" xfId="1991" xr:uid="{591E63E3-2001-40A9-8670-509707F34507}"/>
    <cellStyle name="쉼표 [0] 11 2 3" xfId="190" xr:uid="{591E63E3-2001-40A9-8670-509707F34507}"/>
    <cellStyle name="쉼표 [0] 11 2 3 2" xfId="601" xr:uid="{591E63E3-2001-40A9-8670-509707F34507}"/>
    <cellStyle name="쉼표 [0] 11 2 3 2 2" xfId="1661" xr:uid="{591E63E3-2001-40A9-8670-509707F34507}"/>
    <cellStyle name="쉼표 [0] 11 2 3 2 2 2" xfId="5087" xr:uid="{591E63E3-2001-40A9-8670-509707F34507}"/>
    <cellStyle name="쉼표 [0] 11 2 3 2 2 3" xfId="3374" xr:uid="{591E63E3-2001-40A9-8670-509707F34507}"/>
    <cellStyle name="쉼표 [0] 11 2 3 2 3" xfId="4030" xr:uid="{591E63E3-2001-40A9-8670-509707F34507}"/>
    <cellStyle name="쉼표 [0] 11 2 3 2 4" xfId="2317" xr:uid="{591E63E3-2001-40A9-8670-509707F34507}"/>
    <cellStyle name="쉼표 [0] 11 2 3 3" xfId="1253" xr:uid="{591E63E3-2001-40A9-8670-509707F34507}"/>
    <cellStyle name="쉼표 [0] 11 2 3 3 2" xfId="4680" xr:uid="{591E63E3-2001-40A9-8670-509707F34507}"/>
    <cellStyle name="쉼표 [0] 11 2 3 3 3" xfId="2967" xr:uid="{591E63E3-2001-40A9-8670-509707F34507}"/>
    <cellStyle name="쉼표 [0] 11 2 3 4" xfId="1011" xr:uid="{591E63E3-2001-40A9-8670-509707F34507}"/>
    <cellStyle name="쉼표 [0] 11 2 3 4 2" xfId="4439" xr:uid="{591E63E3-2001-40A9-8670-509707F34507}"/>
    <cellStyle name="쉼표 [0] 11 2 3 4 3" xfId="2726" xr:uid="{591E63E3-2001-40A9-8670-509707F34507}"/>
    <cellStyle name="쉼표 [0] 11 2 3 5" xfId="3622" xr:uid="{591E63E3-2001-40A9-8670-509707F34507}"/>
    <cellStyle name="쉼표 [0] 11 2 3 6" xfId="1909" xr:uid="{591E63E3-2001-40A9-8670-509707F34507}"/>
    <cellStyle name="쉼표 [0] 11 2 4" xfId="519" xr:uid="{591E63E3-2001-40A9-8670-509707F34507}"/>
    <cellStyle name="쉼표 [0] 11 2 4 2" xfId="1579" xr:uid="{591E63E3-2001-40A9-8670-509707F34507}"/>
    <cellStyle name="쉼표 [0] 11 2 4 2 2" xfId="5005" xr:uid="{591E63E3-2001-40A9-8670-509707F34507}"/>
    <cellStyle name="쉼표 [0] 11 2 4 2 3" xfId="3292" xr:uid="{591E63E3-2001-40A9-8670-509707F34507}"/>
    <cellStyle name="쉼표 [0] 11 2 4 3" xfId="929" xr:uid="{591E63E3-2001-40A9-8670-509707F34507}"/>
    <cellStyle name="쉼표 [0] 11 2 4 3 2" xfId="4357" xr:uid="{591E63E3-2001-40A9-8670-509707F34507}"/>
    <cellStyle name="쉼표 [0] 11 2 4 3 3" xfId="2644" xr:uid="{591E63E3-2001-40A9-8670-509707F34507}"/>
    <cellStyle name="쉼표 [0] 11 2 4 4" xfId="3948" xr:uid="{591E63E3-2001-40A9-8670-509707F34507}"/>
    <cellStyle name="쉼표 [0] 11 2 4 5" xfId="2235" xr:uid="{591E63E3-2001-40A9-8670-509707F34507}"/>
    <cellStyle name="쉼표 [0] 11 2 5" xfId="356" xr:uid="{591E63E3-2001-40A9-8670-509707F34507}"/>
    <cellStyle name="쉼표 [0] 11 2 5 2" xfId="1416" xr:uid="{591E63E3-2001-40A9-8670-509707F34507}"/>
    <cellStyle name="쉼표 [0] 11 2 5 2 2" xfId="4843" xr:uid="{591E63E3-2001-40A9-8670-509707F34507}"/>
    <cellStyle name="쉼표 [0] 11 2 5 2 3" xfId="3130" xr:uid="{591E63E3-2001-40A9-8670-509707F34507}"/>
    <cellStyle name="쉼표 [0] 11 2 5 3" xfId="3786" xr:uid="{591E63E3-2001-40A9-8670-509707F34507}"/>
    <cellStyle name="쉼표 [0] 11 2 5 4" xfId="2073" xr:uid="{591E63E3-2001-40A9-8670-509707F34507}"/>
    <cellStyle name="쉼표 [0] 11 2 6" xfId="1174" xr:uid="{591E63E3-2001-40A9-8670-509707F34507}"/>
    <cellStyle name="쉼표 [0] 11 2 6 2" xfId="4601" xr:uid="{591E63E3-2001-40A9-8670-509707F34507}"/>
    <cellStyle name="쉼표 [0] 11 2 6 3" xfId="2888" xr:uid="{591E63E3-2001-40A9-8670-509707F34507}"/>
    <cellStyle name="쉼표 [0] 11 2 7" xfId="767" xr:uid="{591E63E3-2001-40A9-8670-509707F34507}"/>
    <cellStyle name="쉼표 [0] 11 2 7 2" xfId="4195" xr:uid="{591E63E3-2001-40A9-8670-509707F34507}"/>
    <cellStyle name="쉼표 [0] 11 2 7 3" xfId="2482" xr:uid="{591E63E3-2001-40A9-8670-509707F34507}"/>
    <cellStyle name="쉼표 [0] 11 2 8" xfId="3540" xr:uid="{591E63E3-2001-40A9-8670-509707F34507}"/>
    <cellStyle name="쉼표 [0] 11 2 9" xfId="1827" xr:uid="{591E63E3-2001-40A9-8670-509707F34507}"/>
    <cellStyle name="쉼표 [0] 11 3" xfId="236" xr:uid="{591E63E3-2001-40A9-8670-509707F34507}"/>
    <cellStyle name="쉼표 [0] 11 3 2" xfId="647" xr:uid="{591E63E3-2001-40A9-8670-509707F34507}"/>
    <cellStyle name="쉼표 [0] 11 3 2 2" xfId="1707" xr:uid="{591E63E3-2001-40A9-8670-509707F34507}"/>
    <cellStyle name="쉼표 [0] 11 3 2 2 2" xfId="5133" xr:uid="{591E63E3-2001-40A9-8670-509707F34507}"/>
    <cellStyle name="쉼표 [0] 11 3 2 2 3" xfId="3420" xr:uid="{591E63E3-2001-40A9-8670-509707F34507}"/>
    <cellStyle name="쉼표 [0] 11 3 2 3" xfId="1057" xr:uid="{591E63E3-2001-40A9-8670-509707F34507}"/>
    <cellStyle name="쉼표 [0] 11 3 2 3 2" xfId="4485" xr:uid="{591E63E3-2001-40A9-8670-509707F34507}"/>
    <cellStyle name="쉼표 [0] 11 3 2 3 3" xfId="2772" xr:uid="{591E63E3-2001-40A9-8670-509707F34507}"/>
    <cellStyle name="쉼표 [0] 11 3 2 4" xfId="4076" xr:uid="{591E63E3-2001-40A9-8670-509707F34507}"/>
    <cellStyle name="쉼표 [0] 11 3 2 5" xfId="2363" xr:uid="{591E63E3-2001-40A9-8670-509707F34507}"/>
    <cellStyle name="쉼표 [0] 11 3 3" xfId="402" xr:uid="{591E63E3-2001-40A9-8670-509707F34507}"/>
    <cellStyle name="쉼표 [0] 11 3 3 2" xfId="1462" xr:uid="{591E63E3-2001-40A9-8670-509707F34507}"/>
    <cellStyle name="쉼표 [0] 11 3 3 2 2" xfId="4889" xr:uid="{591E63E3-2001-40A9-8670-509707F34507}"/>
    <cellStyle name="쉼표 [0] 11 3 3 2 3" xfId="3176" xr:uid="{591E63E3-2001-40A9-8670-509707F34507}"/>
    <cellStyle name="쉼표 [0] 11 3 3 3" xfId="3832" xr:uid="{591E63E3-2001-40A9-8670-509707F34507}"/>
    <cellStyle name="쉼표 [0] 11 3 3 4" xfId="2119" xr:uid="{591E63E3-2001-40A9-8670-509707F34507}"/>
    <cellStyle name="쉼표 [0] 11 3 4" xfId="1298" xr:uid="{591E63E3-2001-40A9-8670-509707F34507}"/>
    <cellStyle name="쉼표 [0] 11 3 4 2" xfId="4725" xr:uid="{591E63E3-2001-40A9-8670-509707F34507}"/>
    <cellStyle name="쉼표 [0] 11 3 4 3" xfId="3012" xr:uid="{591E63E3-2001-40A9-8670-509707F34507}"/>
    <cellStyle name="쉼표 [0] 11 3 5" xfId="813" xr:uid="{591E63E3-2001-40A9-8670-509707F34507}"/>
    <cellStyle name="쉼표 [0] 11 3 5 2" xfId="4241" xr:uid="{591E63E3-2001-40A9-8670-509707F34507}"/>
    <cellStyle name="쉼표 [0] 11 3 5 3" xfId="2528" xr:uid="{591E63E3-2001-40A9-8670-509707F34507}"/>
    <cellStyle name="쉼표 [0] 11 3 6" xfId="3668" xr:uid="{591E63E3-2001-40A9-8670-509707F34507}"/>
    <cellStyle name="쉼표 [0] 11 3 7" xfId="1955" xr:uid="{591E63E3-2001-40A9-8670-509707F34507}"/>
    <cellStyle name="쉼표 [0] 11 4" xfId="154" xr:uid="{591E63E3-2001-40A9-8670-509707F34507}"/>
    <cellStyle name="쉼표 [0] 11 4 2" xfId="565" xr:uid="{591E63E3-2001-40A9-8670-509707F34507}"/>
    <cellStyle name="쉼표 [0] 11 4 2 2" xfId="1625" xr:uid="{591E63E3-2001-40A9-8670-509707F34507}"/>
    <cellStyle name="쉼표 [0] 11 4 2 2 2" xfId="5051" xr:uid="{591E63E3-2001-40A9-8670-509707F34507}"/>
    <cellStyle name="쉼표 [0] 11 4 2 2 3" xfId="3338" xr:uid="{591E63E3-2001-40A9-8670-509707F34507}"/>
    <cellStyle name="쉼표 [0] 11 4 2 3" xfId="3994" xr:uid="{591E63E3-2001-40A9-8670-509707F34507}"/>
    <cellStyle name="쉼표 [0] 11 4 2 4" xfId="2281" xr:uid="{591E63E3-2001-40A9-8670-509707F34507}"/>
    <cellStyle name="쉼표 [0] 11 4 3" xfId="1217" xr:uid="{591E63E3-2001-40A9-8670-509707F34507}"/>
    <cellStyle name="쉼표 [0] 11 4 3 2" xfId="4644" xr:uid="{591E63E3-2001-40A9-8670-509707F34507}"/>
    <cellStyle name="쉼표 [0] 11 4 3 3" xfId="2931" xr:uid="{591E63E3-2001-40A9-8670-509707F34507}"/>
    <cellStyle name="쉼표 [0] 11 4 4" xfId="975" xr:uid="{591E63E3-2001-40A9-8670-509707F34507}"/>
    <cellStyle name="쉼표 [0] 11 4 4 2" xfId="4403" xr:uid="{591E63E3-2001-40A9-8670-509707F34507}"/>
    <cellStyle name="쉼표 [0] 11 4 4 3" xfId="2690" xr:uid="{591E63E3-2001-40A9-8670-509707F34507}"/>
    <cellStyle name="쉼표 [0] 11 4 5" xfId="3586" xr:uid="{591E63E3-2001-40A9-8670-509707F34507}"/>
    <cellStyle name="쉼표 [0] 11 4 6" xfId="1873" xr:uid="{591E63E3-2001-40A9-8670-509707F34507}"/>
    <cellStyle name="쉼표 [0] 11 5" xfId="483" xr:uid="{591E63E3-2001-40A9-8670-509707F34507}"/>
    <cellStyle name="쉼표 [0] 11 5 2" xfId="1543" xr:uid="{591E63E3-2001-40A9-8670-509707F34507}"/>
    <cellStyle name="쉼표 [0] 11 5 2 2" xfId="4969" xr:uid="{591E63E3-2001-40A9-8670-509707F34507}"/>
    <cellStyle name="쉼표 [0] 11 5 2 3" xfId="3256" xr:uid="{591E63E3-2001-40A9-8670-509707F34507}"/>
    <cellStyle name="쉼표 [0] 11 5 3" xfId="893" xr:uid="{591E63E3-2001-40A9-8670-509707F34507}"/>
    <cellStyle name="쉼표 [0] 11 5 3 2" xfId="4321" xr:uid="{591E63E3-2001-40A9-8670-509707F34507}"/>
    <cellStyle name="쉼표 [0] 11 5 3 3" xfId="2608" xr:uid="{591E63E3-2001-40A9-8670-509707F34507}"/>
    <cellStyle name="쉼표 [0] 11 5 4" xfId="3912" xr:uid="{591E63E3-2001-40A9-8670-509707F34507}"/>
    <cellStyle name="쉼표 [0] 11 5 5" xfId="2199" xr:uid="{591E63E3-2001-40A9-8670-509707F34507}"/>
    <cellStyle name="쉼표 [0] 11 6" xfId="320" xr:uid="{591E63E3-2001-40A9-8670-509707F34507}"/>
    <cellStyle name="쉼표 [0] 11 6 2" xfId="1380" xr:uid="{591E63E3-2001-40A9-8670-509707F34507}"/>
    <cellStyle name="쉼표 [0] 11 6 2 2" xfId="4807" xr:uid="{591E63E3-2001-40A9-8670-509707F34507}"/>
    <cellStyle name="쉼표 [0] 11 6 2 3" xfId="3094" xr:uid="{591E63E3-2001-40A9-8670-509707F34507}"/>
    <cellStyle name="쉼표 [0] 11 6 3" xfId="3750" xr:uid="{591E63E3-2001-40A9-8670-509707F34507}"/>
    <cellStyle name="쉼표 [0] 11 6 4" xfId="2037" xr:uid="{591E63E3-2001-40A9-8670-509707F34507}"/>
    <cellStyle name="쉼표 [0] 11 7" xfId="1138" xr:uid="{591E63E3-2001-40A9-8670-509707F34507}"/>
    <cellStyle name="쉼표 [0] 11 7 2" xfId="4565" xr:uid="{591E63E3-2001-40A9-8670-509707F34507}"/>
    <cellStyle name="쉼표 [0] 11 7 3" xfId="2852" xr:uid="{591E63E3-2001-40A9-8670-509707F34507}"/>
    <cellStyle name="쉼표 [0] 11 8" xfId="731" xr:uid="{591E63E3-2001-40A9-8670-509707F34507}"/>
    <cellStyle name="쉼표 [0] 11 8 2" xfId="4159" xr:uid="{591E63E3-2001-40A9-8670-509707F34507}"/>
    <cellStyle name="쉼표 [0] 11 8 3" xfId="2446" xr:uid="{591E63E3-2001-40A9-8670-509707F34507}"/>
    <cellStyle name="쉼표 [0] 11 9" xfId="3504" xr:uid="{591E63E3-2001-40A9-8670-509707F34507}"/>
    <cellStyle name="쉼표 [0] 12" xfId="62" xr:uid="{9F88F672-60C8-4148-AF33-5F5436DFF311}"/>
    <cellStyle name="쉼표 [0] 12 10" xfId="1792" xr:uid="{9F88F672-60C8-4148-AF33-5F5436DFF311}"/>
    <cellStyle name="쉼표 [0] 12 2" xfId="106" xr:uid="{9F88F672-60C8-4148-AF33-5F5436DFF311}"/>
    <cellStyle name="쉼표 [0] 12 2 2" xfId="273" xr:uid="{9F88F672-60C8-4148-AF33-5F5436DFF311}"/>
    <cellStyle name="쉼표 [0] 12 2 2 2" xfId="684" xr:uid="{9F88F672-60C8-4148-AF33-5F5436DFF311}"/>
    <cellStyle name="쉼표 [0] 12 2 2 2 2" xfId="1744" xr:uid="{9F88F672-60C8-4148-AF33-5F5436DFF311}"/>
    <cellStyle name="쉼표 [0] 12 2 2 2 2 2" xfId="5170" xr:uid="{9F88F672-60C8-4148-AF33-5F5436DFF311}"/>
    <cellStyle name="쉼표 [0] 12 2 2 2 2 3" xfId="3457" xr:uid="{9F88F672-60C8-4148-AF33-5F5436DFF311}"/>
    <cellStyle name="쉼표 [0] 12 2 2 2 3" xfId="1094" xr:uid="{9F88F672-60C8-4148-AF33-5F5436DFF311}"/>
    <cellStyle name="쉼표 [0] 12 2 2 2 3 2" xfId="4522" xr:uid="{9F88F672-60C8-4148-AF33-5F5436DFF311}"/>
    <cellStyle name="쉼표 [0] 12 2 2 2 3 3" xfId="2809" xr:uid="{9F88F672-60C8-4148-AF33-5F5436DFF311}"/>
    <cellStyle name="쉼표 [0] 12 2 2 2 4" xfId="4113" xr:uid="{9F88F672-60C8-4148-AF33-5F5436DFF311}"/>
    <cellStyle name="쉼표 [0] 12 2 2 2 5" xfId="2400" xr:uid="{9F88F672-60C8-4148-AF33-5F5436DFF311}"/>
    <cellStyle name="쉼표 [0] 12 2 2 3" xfId="439" xr:uid="{9F88F672-60C8-4148-AF33-5F5436DFF311}"/>
    <cellStyle name="쉼표 [0] 12 2 2 3 2" xfId="1499" xr:uid="{9F88F672-60C8-4148-AF33-5F5436DFF311}"/>
    <cellStyle name="쉼표 [0] 12 2 2 3 2 2" xfId="4926" xr:uid="{9F88F672-60C8-4148-AF33-5F5436DFF311}"/>
    <cellStyle name="쉼표 [0] 12 2 2 3 2 3" xfId="3213" xr:uid="{9F88F672-60C8-4148-AF33-5F5436DFF311}"/>
    <cellStyle name="쉼표 [0] 12 2 2 3 3" xfId="3869" xr:uid="{9F88F672-60C8-4148-AF33-5F5436DFF311}"/>
    <cellStyle name="쉼표 [0] 12 2 2 3 4" xfId="2156" xr:uid="{9F88F672-60C8-4148-AF33-5F5436DFF311}"/>
    <cellStyle name="쉼표 [0] 12 2 2 4" xfId="1335" xr:uid="{9F88F672-60C8-4148-AF33-5F5436DFF311}"/>
    <cellStyle name="쉼표 [0] 12 2 2 4 2" xfId="4762" xr:uid="{9F88F672-60C8-4148-AF33-5F5436DFF311}"/>
    <cellStyle name="쉼표 [0] 12 2 2 4 3" xfId="3049" xr:uid="{9F88F672-60C8-4148-AF33-5F5436DFF311}"/>
    <cellStyle name="쉼표 [0] 12 2 2 5" xfId="850" xr:uid="{9F88F672-60C8-4148-AF33-5F5436DFF311}"/>
    <cellStyle name="쉼표 [0] 12 2 2 5 2" xfId="4278" xr:uid="{9F88F672-60C8-4148-AF33-5F5436DFF311}"/>
    <cellStyle name="쉼표 [0] 12 2 2 5 3" xfId="2565" xr:uid="{9F88F672-60C8-4148-AF33-5F5436DFF311}"/>
    <cellStyle name="쉼표 [0] 12 2 2 6" xfId="3705" xr:uid="{9F88F672-60C8-4148-AF33-5F5436DFF311}"/>
    <cellStyle name="쉼표 [0] 12 2 2 7" xfId="1992" xr:uid="{9F88F672-60C8-4148-AF33-5F5436DFF311}"/>
    <cellStyle name="쉼표 [0] 12 2 3" xfId="191" xr:uid="{9F88F672-60C8-4148-AF33-5F5436DFF311}"/>
    <cellStyle name="쉼표 [0] 12 2 3 2" xfId="602" xr:uid="{9F88F672-60C8-4148-AF33-5F5436DFF311}"/>
    <cellStyle name="쉼표 [0] 12 2 3 2 2" xfId="1662" xr:uid="{9F88F672-60C8-4148-AF33-5F5436DFF311}"/>
    <cellStyle name="쉼표 [0] 12 2 3 2 2 2" xfId="5088" xr:uid="{9F88F672-60C8-4148-AF33-5F5436DFF311}"/>
    <cellStyle name="쉼표 [0] 12 2 3 2 2 3" xfId="3375" xr:uid="{9F88F672-60C8-4148-AF33-5F5436DFF311}"/>
    <cellStyle name="쉼표 [0] 12 2 3 2 3" xfId="4031" xr:uid="{9F88F672-60C8-4148-AF33-5F5436DFF311}"/>
    <cellStyle name="쉼표 [0] 12 2 3 2 4" xfId="2318" xr:uid="{9F88F672-60C8-4148-AF33-5F5436DFF311}"/>
    <cellStyle name="쉼표 [0] 12 2 3 3" xfId="1254" xr:uid="{9F88F672-60C8-4148-AF33-5F5436DFF311}"/>
    <cellStyle name="쉼표 [0] 12 2 3 3 2" xfId="4681" xr:uid="{9F88F672-60C8-4148-AF33-5F5436DFF311}"/>
    <cellStyle name="쉼표 [0] 12 2 3 3 3" xfId="2968" xr:uid="{9F88F672-60C8-4148-AF33-5F5436DFF311}"/>
    <cellStyle name="쉼표 [0] 12 2 3 4" xfId="1012" xr:uid="{9F88F672-60C8-4148-AF33-5F5436DFF311}"/>
    <cellStyle name="쉼표 [0] 12 2 3 4 2" xfId="4440" xr:uid="{9F88F672-60C8-4148-AF33-5F5436DFF311}"/>
    <cellStyle name="쉼표 [0] 12 2 3 4 3" xfId="2727" xr:uid="{9F88F672-60C8-4148-AF33-5F5436DFF311}"/>
    <cellStyle name="쉼표 [0] 12 2 3 5" xfId="3623" xr:uid="{9F88F672-60C8-4148-AF33-5F5436DFF311}"/>
    <cellStyle name="쉼표 [0] 12 2 3 6" xfId="1910" xr:uid="{9F88F672-60C8-4148-AF33-5F5436DFF311}"/>
    <cellStyle name="쉼표 [0] 12 2 4" xfId="520" xr:uid="{9F88F672-60C8-4148-AF33-5F5436DFF311}"/>
    <cellStyle name="쉼표 [0] 12 2 4 2" xfId="1580" xr:uid="{9F88F672-60C8-4148-AF33-5F5436DFF311}"/>
    <cellStyle name="쉼표 [0] 12 2 4 2 2" xfId="5006" xr:uid="{9F88F672-60C8-4148-AF33-5F5436DFF311}"/>
    <cellStyle name="쉼표 [0] 12 2 4 2 3" xfId="3293" xr:uid="{9F88F672-60C8-4148-AF33-5F5436DFF311}"/>
    <cellStyle name="쉼표 [0] 12 2 4 3" xfId="930" xr:uid="{9F88F672-60C8-4148-AF33-5F5436DFF311}"/>
    <cellStyle name="쉼표 [0] 12 2 4 3 2" xfId="4358" xr:uid="{9F88F672-60C8-4148-AF33-5F5436DFF311}"/>
    <cellStyle name="쉼표 [0] 12 2 4 3 3" xfId="2645" xr:uid="{9F88F672-60C8-4148-AF33-5F5436DFF311}"/>
    <cellStyle name="쉼표 [0] 12 2 4 4" xfId="3949" xr:uid="{9F88F672-60C8-4148-AF33-5F5436DFF311}"/>
    <cellStyle name="쉼표 [0] 12 2 4 5" xfId="2236" xr:uid="{9F88F672-60C8-4148-AF33-5F5436DFF311}"/>
    <cellStyle name="쉼표 [0] 12 2 5" xfId="357" xr:uid="{9F88F672-60C8-4148-AF33-5F5436DFF311}"/>
    <cellStyle name="쉼표 [0] 12 2 5 2" xfId="1417" xr:uid="{9F88F672-60C8-4148-AF33-5F5436DFF311}"/>
    <cellStyle name="쉼표 [0] 12 2 5 2 2" xfId="4844" xr:uid="{9F88F672-60C8-4148-AF33-5F5436DFF311}"/>
    <cellStyle name="쉼표 [0] 12 2 5 2 3" xfId="3131" xr:uid="{9F88F672-60C8-4148-AF33-5F5436DFF311}"/>
    <cellStyle name="쉼표 [0] 12 2 5 3" xfId="3787" xr:uid="{9F88F672-60C8-4148-AF33-5F5436DFF311}"/>
    <cellStyle name="쉼표 [0] 12 2 5 4" xfId="2074" xr:uid="{9F88F672-60C8-4148-AF33-5F5436DFF311}"/>
    <cellStyle name="쉼표 [0] 12 2 6" xfId="1175" xr:uid="{9F88F672-60C8-4148-AF33-5F5436DFF311}"/>
    <cellStyle name="쉼표 [0] 12 2 6 2" xfId="4602" xr:uid="{9F88F672-60C8-4148-AF33-5F5436DFF311}"/>
    <cellStyle name="쉼표 [0] 12 2 6 3" xfId="2889" xr:uid="{9F88F672-60C8-4148-AF33-5F5436DFF311}"/>
    <cellStyle name="쉼표 [0] 12 2 7" xfId="768" xr:uid="{9F88F672-60C8-4148-AF33-5F5436DFF311}"/>
    <cellStyle name="쉼표 [0] 12 2 7 2" xfId="4196" xr:uid="{9F88F672-60C8-4148-AF33-5F5436DFF311}"/>
    <cellStyle name="쉼표 [0] 12 2 7 3" xfId="2483" xr:uid="{9F88F672-60C8-4148-AF33-5F5436DFF311}"/>
    <cellStyle name="쉼표 [0] 12 2 8" xfId="3541" xr:uid="{9F88F672-60C8-4148-AF33-5F5436DFF311}"/>
    <cellStyle name="쉼표 [0] 12 2 9" xfId="1828" xr:uid="{9F88F672-60C8-4148-AF33-5F5436DFF311}"/>
    <cellStyle name="쉼표 [0] 12 3" xfId="237" xr:uid="{9F88F672-60C8-4148-AF33-5F5436DFF311}"/>
    <cellStyle name="쉼표 [0] 12 3 2" xfId="648" xr:uid="{9F88F672-60C8-4148-AF33-5F5436DFF311}"/>
    <cellStyle name="쉼표 [0] 12 3 2 2" xfId="1708" xr:uid="{9F88F672-60C8-4148-AF33-5F5436DFF311}"/>
    <cellStyle name="쉼표 [0] 12 3 2 2 2" xfId="5134" xr:uid="{9F88F672-60C8-4148-AF33-5F5436DFF311}"/>
    <cellStyle name="쉼표 [0] 12 3 2 2 3" xfId="3421" xr:uid="{9F88F672-60C8-4148-AF33-5F5436DFF311}"/>
    <cellStyle name="쉼표 [0] 12 3 2 3" xfId="1058" xr:uid="{9F88F672-60C8-4148-AF33-5F5436DFF311}"/>
    <cellStyle name="쉼표 [0] 12 3 2 3 2" xfId="4486" xr:uid="{9F88F672-60C8-4148-AF33-5F5436DFF311}"/>
    <cellStyle name="쉼표 [0] 12 3 2 3 3" xfId="2773" xr:uid="{9F88F672-60C8-4148-AF33-5F5436DFF311}"/>
    <cellStyle name="쉼표 [0] 12 3 2 4" xfId="4077" xr:uid="{9F88F672-60C8-4148-AF33-5F5436DFF311}"/>
    <cellStyle name="쉼표 [0] 12 3 2 5" xfId="2364" xr:uid="{9F88F672-60C8-4148-AF33-5F5436DFF311}"/>
    <cellStyle name="쉼표 [0] 12 3 3" xfId="403" xr:uid="{9F88F672-60C8-4148-AF33-5F5436DFF311}"/>
    <cellStyle name="쉼표 [0] 12 3 3 2" xfId="1463" xr:uid="{9F88F672-60C8-4148-AF33-5F5436DFF311}"/>
    <cellStyle name="쉼표 [0] 12 3 3 2 2" xfId="4890" xr:uid="{9F88F672-60C8-4148-AF33-5F5436DFF311}"/>
    <cellStyle name="쉼표 [0] 12 3 3 2 3" xfId="3177" xr:uid="{9F88F672-60C8-4148-AF33-5F5436DFF311}"/>
    <cellStyle name="쉼표 [0] 12 3 3 3" xfId="3833" xr:uid="{9F88F672-60C8-4148-AF33-5F5436DFF311}"/>
    <cellStyle name="쉼표 [0] 12 3 3 4" xfId="2120" xr:uid="{9F88F672-60C8-4148-AF33-5F5436DFF311}"/>
    <cellStyle name="쉼표 [0] 12 3 4" xfId="1299" xr:uid="{9F88F672-60C8-4148-AF33-5F5436DFF311}"/>
    <cellStyle name="쉼표 [0] 12 3 4 2" xfId="4726" xr:uid="{9F88F672-60C8-4148-AF33-5F5436DFF311}"/>
    <cellStyle name="쉼표 [0] 12 3 4 3" xfId="3013" xr:uid="{9F88F672-60C8-4148-AF33-5F5436DFF311}"/>
    <cellStyle name="쉼표 [0] 12 3 5" xfId="814" xr:uid="{9F88F672-60C8-4148-AF33-5F5436DFF311}"/>
    <cellStyle name="쉼표 [0] 12 3 5 2" xfId="4242" xr:uid="{9F88F672-60C8-4148-AF33-5F5436DFF311}"/>
    <cellStyle name="쉼표 [0] 12 3 5 3" xfId="2529" xr:uid="{9F88F672-60C8-4148-AF33-5F5436DFF311}"/>
    <cellStyle name="쉼표 [0] 12 3 6" xfId="3669" xr:uid="{9F88F672-60C8-4148-AF33-5F5436DFF311}"/>
    <cellStyle name="쉼표 [0] 12 3 7" xfId="1956" xr:uid="{9F88F672-60C8-4148-AF33-5F5436DFF311}"/>
    <cellStyle name="쉼표 [0] 12 4" xfId="155" xr:uid="{9F88F672-60C8-4148-AF33-5F5436DFF311}"/>
    <cellStyle name="쉼표 [0] 12 4 2" xfId="566" xr:uid="{9F88F672-60C8-4148-AF33-5F5436DFF311}"/>
    <cellStyle name="쉼표 [0] 12 4 2 2" xfId="1626" xr:uid="{9F88F672-60C8-4148-AF33-5F5436DFF311}"/>
    <cellStyle name="쉼표 [0] 12 4 2 2 2" xfId="5052" xr:uid="{9F88F672-60C8-4148-AF33-5F5436DFF311}"/>
    <cellStyle name="쉼표 [0] 12 4 2 2 3" xfId="3339" xr:uid="{9F88F672-60C8-4148-AF33-5F5436DFF311}"/>
    <cellStyle name="쉼표 [0] 12 4 2 3" xfId="3995" xr:uid="{9F88F672-60C8-4148-AF33-5F5436DFF311}"/>
    <cellStyle name="쉼표 [0] 12 4 2 4" xfId="2282" xr:uid="{9F88F672-60C8-4148-AF33-5F5436DFF311}"/>
    <cellStyle name="쉼표 [0] 12 4 3" xfId="1218" xr:uid="{9F88F672-60C8-4148-AF33-5F5436DFF311}"/>
    <cellStyle name="쉼표 [0] 12 4 3 2" xfId="4645" xr:uid="{9F88F672-60C8-4148-AF33-5F5436DFF311}"/>
    <cellStyle name="쉼표 [0] 12 4 3 3" xfId="2932" xr:uid="{9F88F672-60C8-4148-AF33-5F5436DFF311}"/>
    <cellStyle name="쉼표 [0] 12 4 4" xfId="976" xr:uid="{9F88F672-60C8-4148-AF33-5F5436DFF311}"/>
    <cellStyle name="쉼표 [0] 12 4 4 2" xfId="4404" xr:uid="{9F88F672-60C8-4148-AF33-5F5436DFF311}"/>
    <cellStyle name="쉼표 [0] 12 4 4 3" xfId="2691" xr:uid="{9F88F672-60C8-4148-AF33-5F5436DFF311}"/>
    <cellStyle name="쉼표 [0] 12 4 5" xfId="3587" xr:uid="{9F88F672-60C8-4148-AF33-5F5436DFF311}"/>
    <cellStyle name="쉼표 [0] 12 4 6" xfId="1874" xr:uid="{9F88F672-60C8-4148-AF33-5F5436DFF311}"/>
    <cellStyle name="쉼표 [0] 12 5" xfId="484" xr:uid="{9F88F672-60C8-4148-AF33-5F5436DFF311}"/>
    <cellStyle name="쉼표 [0] 12 5 2" xfId="1544" xr:uid="{9F88F672-60C8-4148-AF33-5F5436DFF311}"/>
    <cellStyle name="쉼표 [0] 12 5 2 2" xfId="4970" xr:uid="{9F88F672-60C8-4148-AF33-5F5436DFF311}"/>
    <cellStyle name="쉼표 [0] 12 5 2 3" xfId="3257" xr:uid="{9F88F672-60C8-4148-AF33-5F5436DFF311}"/>
    <cellStyle name="쉼표 [0] 12 5 3" xfId="894" xr:uid="{9F88F672-60C8-4148-AF33-5F5436DFF311}"/>
    <cellStyle name="쉼표 [0] 12 5 3 2" xfId="4322" xr:uid="{9F88F672-60C8-4148-AF33-5F5436DFF311}"/>
    <cellStyle name="쉼표 [0] 12 5 3 3" xfId="2609" xr:uid="{9F88F672-60C8-4148-AF33-5F5436DFF311}"/>
    <cellStyle name="쉼표 [0] 12 5 4" xfId="3913" xr:uid="{9F88F672-60C8-4148-AF33-5F5436DFF311}"/>
    <cellStyle name="쉼표 [0] 12 5 5" xfId="2200" xr:uid="{9F88F672-60C8-4148-AF33-5F5436DFF311}"/>
    <cellStyle name="쉼표 [0] 12 6" xfId="321" xr:uid="{9F88F672-60C8-4148-AF33-5F5436DFF311}"/>
    <cellStyle name="쉼표 [0] 12 6 2" xfId="1381" xr:uid="{9F88F672-60C8-4148-AF33-5F5436DFF311}"/>
    <cellStyle name="쉼표 [0] 12 6 2 2" xfId="4808" xr:uid="{9F88F672-60C8-4148-AF33-5F5436DFF311}"/>
    <cellStyle name="쉼표 [0] 12 6 2 3" xfId="3095" xr:uid="{9F88F672-60C8-4148-AF33-5F5436DFF311}"/>
    <cellStyle name="쉼표 [0] 12 6 3" xfId="3751" xr:uid="{9F88F672-60C8-4148-AF33-5F5436DFF311}"/>
    <cellStyle name="쉼표 [0] 12 6 4" xfId="2038" xr:uid="{9F88F672-60C8-4148-AF33-5F5436DFF311}"/>
    <cellStyle name="쉼표 [0] 12 7" xfId="1139" xr:uid="{9F88F672-60C8-4148-AF33-5F5436DFF311}"/>
    <cellStyle name="쉼표 [0] 12 7 2" xfId="4566" xr:uid="{9F88F672-60C8-4148-AF33-5F5436DFF311}"/>
    <cellStyle name="쉼표 [0] 12 7 3" xfId="2853" xr:uid="{9F88F672-60C8-4148-AF33-5F5436DFF311}"/>
    <cellStyle name="쉼표 [0] 12 8" xfId="732" xr:uid="{9F88F672-60C8-4148-AF33-5F5436DFF311}"/>
    <cellStyle name="쉼표 [0] 12 8 2" xfId="4160" xr:uid="{9F88F672-60C8-4148-AF33-5F5436DFF311}"/>
    <cellStyle name="쉼표 [0] 12 8 3" xfId="2447" xr:uid="{9F88F672-60C8-4148-AF33-5F5436DFF311}"/>
    <cellStyle name="쉼표 [0] 12 9" xfId="3505" xr:uid="{9F88F672-60C8-4148-AF33-5F5436DFF311}"/>
    <cellStyle name="쉼표 [0] 13" xfId="63" xr:uid="{19B660B6-ACAA-4BD4-A116-BAA707A8ED25}"/>
    <cellStyle name="쉼표 [0] 13 10" xfId="1793" xr:uid="{19B660B6-ACAA-4BD4-A116-BAA707A8ED25}"/>
    <cellStyle name="쉼표 [0] 13 2" xfId="107" xr:uid="{19B660B6-ACAA-4BD4-A116-BAA707A8ED25}"/>
    <cellStyle name="쉼표 [0] 13 2 2" xfId="274" xr:uid="{19B660B6-ACAA-4BD4-A116-BAA707A8ED25}"/>
    <cellStyle name="쉼표 [0] 13 2 2 2" xfId="685" xr:uid="{19B660B6-ACAA-4BD4-A116-BAA707A8ED25}"/>
    <cellStyle name="쉼표 [0] 13 2 2 2 2" xfId="1745" xr:uid="{19B660B6-ACAA-4BD4-A116-BAA707A8ED25}"/>
    <cellStyle name="쉼표 [0] 13 2 2 2 2 2" xfId="5171" xr:uid="{19B660B6-ACAA-4BD4-A116-BAA707A8ED25}"/>
    <cellStyle name="쉼표 [0] 13 2 2 2 2 3" xfId="3458" xr:uid="{19B660B6-ACAA-4BD4-A116-BAA707A8ED25}"/>
    <cellStyle name="쉼표 [0] 13 2 2 2 3" xfId="1095" xr:uid="{19B660B6-ACAA-4BD4-A116-BAA707A8ED25}"/>
    <cellStyle name="쉼표 [0] 13 2 2 2 3 2" xfId="4523" xr:uid="{19B660B6-ACAA-4BD4-A116-BAA707A8ED25}"/>
    <cellStyle name="쉼표 [0] 13 2 2 2 3 3" xfId="2810" xr:uid="{19B660B6-ACAA-4BD4-A116-BAA707A8ED25}"/>
    <cellStyle name="쉼표 [0] 13 2 2 2 4" xfId="4114" xr:uid="{19B660B6-ACAA-4BD4-A116-BAA707A8ED25}"/>
    <cellStyle name="쉼표 [0] 13 2 2 2 5" xfId="2401" xr:uid="{19B660B6-ACAA-4BD4-A116-BAA707A8ED25}"/>
    <cellStyle name="쉼표 [0] 13 2 2 3" xfId="440" xr:uid="{19B660B6-ACAA-4BD4-A116-BAA707A8ED25}"/>
    <cellStyle name="쉼표 [0] 13 2 2 3 2" xfId="1500" xr:uid="{19B660B6-ACAA-4BD4-A116-BAA707A8ED25}"/>
    <cellStyle name="쉼표 [0] 13 2 2 3 2 2" xfId="4927" xr:uid="{19B660B6-ACAA-4BD4-A116-BAA707A8ED25}"/>
    <cellStyle name="쉼표 [0] 13 2 2 3 2 3" xfId="3214" xr:uid="{19B660B6-ACAA-4BD4-A116-BAA707A8ED25}"/>
    <cellStyle name="쉼표 [0] 13 2 2 3 3" xfId="3870" xr:uid="{19B660B6-ACAA-4BD4-A116-BAA707A8ED25}"/>
    <cellStyle name="쉼표 [0] 13 2 2 3 4" xfId="2157" xr:uid="{19B660B6-ACAA-4BD4-A116-BAA707A8ED25}"/>
    <cellStyle name="쉼표 [0] 13 2 2 4" xfId="1336" xr:uid="{19B660B6-ACAA-4BD4-A116-BAA707A8ED25}"/>
    <cellStyle name="쉼표 [0] 13 2 2 4 2" xfId="4763" xr:uid="{19B660B6-ACAA-4BD4-A116-BAA707A8ED25}"/>
    <cellStyle name="쉼표 [0] 13 2 2 4 3" xfId="3050" xr:uid="{19B660B6-ACAA-4BD4-A116-BAA707A8ED25}"/>
    <cellStyle name="쉼표 [0] 13 2 2 5" xfId="851" xr:uid="{19B660B6-ACAA-4BD4-A116-BAA707A8ED25}"/>
    <cellStyle name="쉼표 [0] 13 2 2 5 2" xfId="4279" xr:uid="{19B660B6-ACAA-4BD4-A116-BAA707A8ED25}"/>
    <cellStyle name="쉼표 [0] 13 2 2 5 3" xfId="2566" xr:uid="{19B660B6-ACAA-4BD4-A116-BAA707A8ED25}"/>
    <cellStyle name="쉼표 [0] 13 2 2 6" xfId="3706" xr:uid="{19B660B6-ACAA-4BD4-A116-BAA707A8ED25}"/>
    <cellStyle name="쉼표 [0] 13 2 2 7" xfId="1993" xr:uid="{19B660B6-ACAA-4BD4-A116-BAA707A8ED25}"/>
    <cellStyle name="쉼표 [0] 13 2 3" xfId="192" xr:uid="{19B660B6-ACAA-4BD4-A116-BAA707A8ED25}"/>
    <cellStyle name="쉼표 [0] 13 2 3 2" xfId="603" xr:uid="{19B660B6-ACAA-4BD4-A116-BAA707A8ED25}"/>
    <cellStyle name="쉼표 [0] 13 2 3 2 2" xfId="1663" xr:uid="{19B660B6-ACAA-4BD4-A116-BAA707A8ED25}"/>
    <cellStyle name="쉼표 [0] 13 2 3 2 2 2" xfId="5089" xr:uid="{19B660B6-ACAA-4BD4-A116-BAA707A8ED25}"/>
    <cellStyle name="쉼표 [0] 13 2 3 2 2 3" xfId="3376" xr:uid="{19B660B6-ACAA-4BD4-A116-BAA707A8ED25}"/>
    <cellStyle name="쉼표 [0] 13 2 3 2 3" xfId="4032" xr:uid="{19B660B6-ACAA-4BD4-A116-BAA707A8ED25}"/>
    <cellStyle name="쉼표 [0] 13 2 3 2 4" xfId="2319" xr:uid="{19B660B6-ACAA-4BD4-A116-BAA707A8ED25}"/>
    <cellStyle name="쉼표 [0] 13 2 3 3" xfId="1255" xr:uid="{19B660B6-ACAA-4BD4-A116-BAA707A8ED25}"/>
    <cellStyle name="쉼표 [0] 13 2 3 3 2" xfId="4682" xr:uid="{19B660B6-ACAA-4BD4-A116-BAA707A8ED25}"/>
    <cellStyle name="쉼표 [0] 13 2 3 3 3" xfId="2969" xr:uid="{19B660B6-ACAA-4BD4-A116-BAA707A8ED25}"/>
    <cellStyle name="쉼표 [0] 13 2 3 4" xfId="1013" xr:uid="{19B660B6-ACAA-4BD4-A116-BAA707A8ED25}"/>
    <cellStyle name="쉼표 [0] 13 2 3 4 2" xfId="4441" xr:uid="{19B660B6-ACAA-4BD4-A116-BAA707A8ED25}"/>
    <cellStyle name="쉼표 [0] 13 2 3 4 3" xfId="2728" xr:uid="{19B660B6-ACAA-4BD4-A116-BAA707A8ED25}"/>
    <cellStyle name="쉼표 [0] 13 2 3 5" xfId="3624" xr:uid="{19B660B6-ACAA-4BD4-A116-BAA707A8ED25}"/>
    <cellStyle name="쉼표 [0] 13 2 3 6" xfId="1911" xr:uid="{19B660B6-ACAA-4BD4-A116-BAA707A8ED25}"/>
    <cellStyle name="쉼표 [0] 13 2 4" xfId="521" xr:uid="{19B660B6-ACAA-4BD4-A116-BAA707A8ED25}"/>
    <cellStyle name="쉼표 [0] 13 2 4 2" xfId="1581" xr:uid="{19B660B6-ACAA-4BD4-A116-BAA707A8ED25}"/>
    <cellStyle name="쉼표 [0] 13 2 4 2 2" xfId="5007" xr:uid="{19B660B6-ACAA-4BD4-A116-BAA707A8ED25}"/>
    <cellStyle name="쉼표 [0] 13 2 4 2 3" xfId="3294" xr:uid="{19B660B6-ACAA-4BD4-A116-BAA707A8ED25}"/>
    <cellStyle name="쉼표 [0] 13 2 4 3" xfId="931" xr:uid="{19B660B6-ACAA-4BD4-A116-BAA707A8ED25}"/>
    <cellStyle name="쉼표 [0] 13 2 4 3 2" xfId="4359" xr:uid="{19B660B6-ACAA-4BD4-A116-BAA707A8ED25}"/>
    <cellStyle name="쉼표 [0] 13 2 4 3 3" xfId="2646" xr:uid="{19B660B6-ACAA-4BD4-A116-BAA707A8ED25}"/>
    <cellStyle name="쉼표 [0] 13 2 4 4" xfId="3950" xr:uid="{19B660B6-ACAA-4BD4-A116-BAA707A8ED25}"/>
    <cellStyle name="쉼표 [0] 13 2 4 5" xfId="2237" xr:uid="{19B660B6-ACAA-4BD4-A116-BAA707A8ED25}"/>
    <cellStyle name="쉼표 [0] 13 2 5" xfId="358" xr:uid="{19B660B6-ACAA-4BD4-A116-BAA707A8ED25}"/>
    <cellStyle name="쉼표 [0] 13 2 5 2" xfId="1418" xr:uid="{19B660B6-ACAA-4BD4-A116-BAA707A8ED25}"/>
    <cellStyle name="쉼표 [0] 13 2 5 2 2" xfId="4845" xr:uid="{19B660B6-ACAA-4BD4-A116-BAA707A8ED25}"/>
    <cellStyle name="쉼표 [0] 13 2 5 2 3" xfId="3132" xr:uid="{19B660B6-ACAA-4BD4-A116-BAA707A8ED25}"/>
    <cellStyle name="쉼표 [0] 13 2 5 3" xfId="3788" xr:uid="{19B660B6-ACAA-4BD4-A116-BAA707A8ED25}"/>
    <cellStyle name="쉼표 [0] 13 2 5 4" xfId="2075" xr:uid="{19B660B6-ACAA-4BD4-A116-BAA707A8ED25}"/>
    <cellStyle name="쉼표 [0] 13 2 6" xfId="1176" xr:uid="{19B660B6-ACAA-4BD4-A116-BAA707A8ED25}"/>
    <cellStyle name="쉼표 [0] 13 2 6 2" xfId="4603" xr:uid="{19B660B6-ACAA-4BD4-A116-BAA707A8ED25}"/>
    <cellStyle name="쉼표 [0] 13 2 6 3" xfId="2890" xr:uid="{19B660B6-ACAA-4BD4-A116-BAA707A8ED25}"/>
    <cellStyle name="쉼표 [0] 13 2 7" xfId="769" xr:uid="{19B660B6-ACAA-4BD4-A116-BAA707A8ED25}"/>
    <cellStyle name="쉼표 [0] 13 2 7 2" xfId="4197" xr:uid="{19B660B6-ACAA-4BD4-A116-BAA707A8ED25}"/>
    <cellStyle name="쉼표 [0] 13 2 7 3" xfId="2484" xr:uid="{19B660B6-ACAA-4BD4-A116-BAA707A8ED25}"/>
    <cellStyle name="쉼표 [0] 13 2 8" xfId="3542" xr:uid="{19B660B6-ACAA-4BD4-A116-BAA707A8ED25}"/>
    <cellStyle name="쉼표 [0] 13 2 9" xfId="1829" xr:uid="{19B660B6-ACAA-4BD4-A116-BAA707A8ED25}"/>
    <cellStyle name="쉼표 [0] 13 3" xfId="238" xr:uid="{19B660B6-ACAA-4BD4-A116-BAA707A8ED25}"/>
    <cellStyle name="쉼표 [0] 13 3 2" xfId="649" xr:uid="{19B660B6-ACAA-4BD4-A116-BAA707A8ED25}"/>
    <cellStyle name="쉼표 [0] 13 3 2 2" xfId="1709" xr:uid="{19B660B6-ACAA-4BD4-A116-BAA707A8ED25}"/>
    <cellStyle name="쉼표 [0] 13 3 2 2 2" xfId="5135" xr:uid="{19B660B6-ACAA-4BD4-A116-BAA707A8ED25}"/>
    <cellStyle name="쉼표 [0] 13 3 2 2 3" xfId="3422" xr:uid="{19B660B6-ACAA-4BD4-A116-BAA707A8ED25}"/>
    <cellStyle name="쉼표 [0] 13 3 2 3" xfId="1059" xr:uid="{19B660B6-ACAA-4BD4-A116-BAA707A8ED25}"/>
    <cellStyle name="쉼표 [0] 13 3 2 3 2" xfId="4487" xr:uid="{19B660B6-ACAA-4BD4-A116-BAA707A8ED25}"/>
    <cellStyle name="쉼표 [0] 13 3 2 3 3" xfId="2774" xr:uid="{19B660B6-ACAA-4BD4-A116-BAA707A8ED25}"/>
    <cellStyle name="쉼표 [0] 13 3 2 4" xfId="4078" xr:uid="{19B660B6-ACAA-4BD4-A116-BAA707A8ED25}"/>
    <cellStyle name="쉼표 [0] 13 3 2 5" xfId="2365" xr:uid="{19B660B6-ACAA-4BD4-A116-BAA707A8ED25}"/>
    <cellStyle name="쉼표 [0] 13 3 3" xfId="404" xr:uid="{19B660B6-ACAA-4BD4-A116-BAA707A8ED25}"/>
    <cellStyle name="쉼표 [0] 13 3 3 2" xfId="1464" xr:uid="{19B660B6-ACAA-4BD4-A116-BAA707A8ED25}"/>
    <cellStyle name="쉼표 [0] 13 3 3 2 2" xfId="4891" xr:uid="{19B660B6-ACAA-4BD4-A116-BAA707A8ED25}"/>
    <cellStyle name="쉼표 [0] 13 3 3 2 3" xfId="3178" xr:uid="{19B660B6-ACAA-4BD4-A116-BAA707A8ED25}"/>
    <cellStyle name="쉼표 [0] 13 3 3 3" xfId="3834" xr:uid="{19B660B6-ACAA-4BD4-A116-BAA707A8ED25}"/>
    <cellStyle name="쉼표 [0] 13 3 3 4" xfId="2121" xr:uid="{19B660B6-ACAA-4BD4-A116-BAA707A8ED25}"/>
    <cellStyle name="쉼표 [0] 13 3 4" xfId="1300" xr:uid="{19B660B6-ACAA-4BD4-A116-BAA707A8ED25}"/>
    <cellStyle name="쉼표 [0] 13 3 4 2" xfId="4727" xr:uid="{19B660B6-ACAA-4BD4-A116-BAA707A8ED25}"/>
    <cellStyle name="쉼표 [0] 13 3 4 3" xfId="3014" xr:uid="{19B660B6-ACAA-4BD4-A116-BAA707A8ED25}"/>
    <cellStyle name="쉼표 [0] 13 3 5" xfId="815" xr:uid="{19B660B6-ACAA-4BD4-A116-BAA707A8ED25}"/>
    <cellStyle name="쉼표 [0] 13 3 5 2" xfId="4243" xr:uid="{19B660B6-ACAA-4BD4-A116-BAA707A8ED25}"/>
    <cellStyle name="쉼표 [0] 13 3 5 3" xfId="2530" xr:uid="{19B660B6-ACAA-4BD4-A116-BAA707A8ED25}"/>
    <cellStyle name="쉼표 [0] 13 3 6" xfId="3670" xr:uid="{19B660B6-ACAA-4BD4-A116-BAA707A8ED25}"/>
    <cellStyle name="쉼표 [0] 13 3 7" xfId="1957" xr:uid="{19B660B6-ACAA-4BD4-A116-BAA707A8ED25}"/>
    <cellStyle name="쉼표 [0] 13 4" xfId="156" xr:uid="{19B660B6-ACAA-4BD4-A116-BAA707A8ED25}"/>
    <cellStyle name="쉼표 [0] 13 4 2" xfId="567" xr:uid="{19B660B6-ACAA-4BD4-A116-BAA707A8ED25}"/>
    <cellStyle name="쉼표 [0] 13 4 2 2" xfId="1627" xr:uid="{19B660B6-ACAA-4BD4-A116-BAA707A8ED25}"/>
    <cellStyle name="쉼표 [0] 13 4 2 2 2" xfId="5053" xr:uid="{19B660B6-ACAA-4BD4-A116-BAA707A8ED25}"/>
    <cellStyle name="쉼표 [0] 13 4 2 2 3" xfId="3340" xr:uid="{19B660B6-ACAA-4BD4-A116-BAA707A8ED25}"/>
    <cellStyle name="쉼표 [0] 13 4 2 3" xfId="3996" xr:uid="{19B660B6-ACAA-4BD4-A116-BAA707A8ED25}"/>
    <cellStyle name="쉼표 [0] 13 4 2 4" xfId="2283" xr:uid="{19B660B6-ACAA-4BD4-A116-BAA707A8ED25}"/>
    <cellStyle name="쉼표 [0] 13 4 3" xfId="1219" xr:uid="{19B660B6-ACAA-4BD4-A116-BAA707A8ED25}"/>
    <cellStyle name="쉼표 [0] 13 4 3 2" xfId="4646" xr:uid="{19B660B6-ACAA-4BD4-A116-BAA707A8ED25}"/>
    <cellStyle name="쉼표 [0] 13 4 3 3" xfId="2933" xr:uid="{19B660B6-ACAA-4BD4-A116-BAA707A8ED25}"/>
    <cellStyle name="쉼표 [0] 13 4 4" xfId="977" xr:uid="{19B660B6-ACAA-4BD4-A116-BAA707A8ED25}"/>
    <cellStyle name="쉼표 [0] 13 4 4 2" xfId="4405" xr:uid="{19B660B6-ACAA-4BD4-A116-BAA707A8ED25}"/>
    <cellStyle name="쉼표 [0] 13 4 4 3" xfId="2692" xr:uid="{19B660B6-ACAA-4BD4-A116-BAA707A8ED25}"/>
    <cellStyle name="쉼표 [0] 13 4 5" xfId="3588" xr:uid="{19B660B6-ACAA-4BD4-A116-BAA707A8ED25}"/>
    <cellStyle name="쉼표 [0] 13 4 6" xfId="1875" xr:uid="{19B660B6-ACAA-4BD4-A116-BAA707A8ED25}"/>
    <cellStyle name="쉼표 [0] 13 5" xfId="485" xr:uid="{19B660B6-ACAA-4BD4-A116-BAA707A8ED25}"/>
    <cellStyle name="쉼표 [0] 13 5 2" xfId="1545" xr:uid="{19B660B6-ACAA-4BD4-A116-BAA707A8ED25}"/>
    <cellStyle name="쉼표 [0] 13 5 2 2" xfId="4971" xr:uid="{19B660B6-ACAA-4BD4-A116-BAA707A8ED25}"/>
    <cellStyle name="쉼표 [0] 13 5 2 3" xfId="3258" xr:uid="{19B660B6-ACAA-4BD4-A116-BAA707A8ED25}"/>
    <cellStyle name="쉼표 [0] 13 5 3" xfId="895" xr:uid="{19B660B6-ACAA-4BD4-A116-BAA707A8ED25}"/>
    <cellStyle name="쉼표 [0] 13 5 3 2" xfId="4323" xr:uid="{19B660B6-ACAA-4BD4-A116-BAA707A8ED25}"/>
    <cellStyle name="쉼표 [0] 13 5 3 3" xfId="2610" xr:uid="{19B660B6-ACAA-4BD4-A116-BAA707A8ED25}"/>
    <cellStyle name="쉼표 [0] 13 5 4" xfId="3914" xr:uid="{19B660B6-ACAA-4BD4-A116-BAA707A8ED25}"/>
    <cellStyle name="쉼표 [0] 13 5 5" xfId="2201" xr:uid="{19B660B6-ACAA-4BD4-A116-BAA707A8ED25}"/>
    <cellStyle name="쉼표 [0] 13 6" xfId="322" xr:uid="{19B660B6-ACAA-4BD4-A116-BAA707A8ED25}"/>
    <cellStyle name="쉼표 [0] 13 6 2" xfId="1382" xr:uid="{19B660B6-ACAA-4BD4-A116-BAA707A8ED25}"/>
    <cellStyle name="쉼표 [0] 13 6 2 2" xfId="4809" xr:uid="{19B660B6-ACAA-4BD4-A116-BAA707A8ED25}"/>
    <cellStyle name="쉼표 [0] 13 6 2 3" xfId="3096" xr:uid="{19B660B6-ACAA-4BD4-A116-BAA707A8ED25}"/>
    <cellStyle name="쉼표 [0] 13 6 3" xfId="3752" xr:uid="{19B660B6-ACAA-4BD4-A116-BAA707A8ED25}"/>
    <cellStyle name="쉼표 [0] 13 6 4" xfId="2039" xr:uid="{19B660B6-ACAA-4BD4-A116-BAA707A8ED25}"/>
    <cellStyle name="쉼표 [0] 13 7" xfId="1140" xr:uid="{19B660B6-ACAA-4BD4-A116-BAA707A8ED25}"/>
    <cellStyle name="쉼표 [0] 13 7 2" xfId="4567" xr:uid="{19B660B6-ACAA-4BD4-A116-BAA707A8ED25}"/>
    <cellStyle name="쉼표 [0] 13 7 3" xfId="2854" xr:uid="{19B660B6-ACAA-4BD4-A116-BAA707A8ED25}"/>
    <cellStyle name="쉼표 [0] 13 8" xfId="733" xr:uid="{19B660B6-ACAA-4BD4-A116-BAA707A8ED25}"/>
    <cellStyle name="쉼표 [0] 13 8 2" xfId="4161" xr:uid="{19B660B6-ACAA-4BD4-A116-BAA707A8ED25}"/>
    <cellStyle name="쉼표 [0] 13 8 3" xfId="2448" xr:uid="{19B660B6-ACAA-4BD4-A116-BAA707A8ED25}"/>
    <cellStyle name="쉼표 [0] 13 9" xfId="3506" xr:uid="{19B660B6-ACAA-4BD4-A116-BAA707A8ED25}"/>
    <cellStyle name="쉼표 [0] 14" xfId="66" xr:uid="{E9101224-AABB-4175-A106-516EDCBE2FC6}"/>
    <cellStyle name="쉼표 [0] 14 10" xfId="1794" xr:uid="{E9101224-AABB-4175-A106-516EDCBE2FC6}"/>
    <cellStyle name="쉼표 [0] 14 2" xfId="108" xr:uid="{E9101224-AABB-4175-A106-516EDCBE2FC6}"/>
    <cellStyle name="쉼표 [0] 14 2 2" xfId="275" xr:uid="{E9101224-AABB-4175-A106-516EDCBE2FC6}"/>
    <cellStyle name="쉼표 [0] 14 2 2 2" xfId="686" xr:uid="{E9101224-AABB-4175-A106-516EDCBE2FC6}"/>
    <cellStyle name="쉼표 [0] 14 2 2 2 2" xfId="1746" xr:uid="{E9101224-AABB-4175-A106-516EDCBE2FC6}"/>
    <cellStyle name="쉼표 [0] 14 2 2 2 2 2" xfId="5172" xr:uid="{E9101224-AABB-4175-A106-516EDCBE2FC6}"/>
    <cellStyle name="쉼표 [0] 14 2 2 2 2 3" xfId="3459" xr:uid="{E9101224-AABB-4175-A106-516EDCBE2FC6}"/>
    <cellStyle name="쉼표 [0] 14 2 2 2 3" xfId="1096" xr:uid="{E9101224-AABB-4175-A106-516EDCBE2FC6}"/>
    <cellStyle name="쉼표 [0] 14 2 2 2 3 2" xfId="4524" xr:uid="{E9101224-AABB-4175-A106-516EDCBE2FC6}"/>
    <cellStyle name="쉼표 [0] 14 2 2 2 3 3" xfId="2811" xr:uid="{E9101224-AABB-4175-A106-516EDCBE2FC6}"/>
    <cellStyle name="쉼표 [0] 14 2 2 2 4" xfId="4115" xr:uid="{E9101224-AABB-4175-A106-516EDCBE2FC6}"/>
    <cellStyle name="쉼표 [0] 14 2 2 2 5" xfId="2402" xr:uid="{E9101224-AABB-4175-A106-516EDCBE2FC6}"/>
    <cellStyle name="쉼표 [0] 14 2 2 3" xfId="441" xr:uid="{E9101224-AABB-4175-A106-516EDCBE2FC6}"/>
    <cellStyle name="쉼표 [0] 14 2 2 3 2" xfId="1501" xr:uid="{E9101224-AABB-4175-A106-516EDCBE2FC6}"/>
    <cellStyle name="쉼표 [0] 14 2 2 3 2 2" xfId="4928" xr:uid="{E9101224-AABB-4175-A106-516EDCBE2FC6}"/>
    <cellStyle name="쉼표 [0] 14 2 2 3 2 3" xfId="3215" xr:uid="{E9101224-AABB-4175-A106-516EDCBE2FC6}"/>
    <cellStyle name="쉼표 [0] 14 2 2 3 3" xfId="3871" xr:uid="{E9101224-AABB-4175-A106-516EDCBE2FC6}"/>
    <cellStyle name="쉼표 [0] 14 2 2 3 4" xfId="2158" xr:uid="{E9101224-AABB-4175-A106-516EDCBE2FC6}"/>
    <cellStyle name="쉼표 [0] 14 2 2 4" xfId="1337" xr:uid="{E9101224-AABB-4175-A106-516EDCBE2FC6}"/>
    <cellStyle name="쉼표 [0] 14 2 2 4 2" xfId="4764" xr:uid="{E9101224-AABB-4175-A106-516EDCBE2FC6}"/>
    <cellStyle name="쉼표 [0] 14 2 2 4 3" xfId="3051" xr:uid="{E9101224-AABB-4175-A106-516EDCBE2FC6}"/>
    <cellStyle name="쉼표 [0] 14 2 2 5" xfId="852" xr:uid="{E9101224-AABB-4175-A106-516EDCBE2FC6}"/>
    <cellStyle name="쉼표 [0] 14 2 2 5 2" xfId="4280" xr:uid="{E9101224-AABB-4175-A106-516EDCBE2FC6}"/>
    <cellStyle name="쉼표 [0] 14 2 2 5 3" xfId="2567" xr:uid="{E9101224-AABB-4175-A106-516EDCBE2FC6}"/>
    <cellStyle name="쉼표 [0] 14 2 2 6" xfId="3707" xr:uid="{E9101224-AABB-4175-A106-516EDCBE2FC6}"/>
    <cellStyle name="쉼표 [0] 14 2 2 7" xfId="1994" xr:uid="{E9101224-AABB-4175-A106-516EDCBE2FC6}"/>
    <cellStyle name="쉼표 [0] 14 2 3" xfId="193" xr:uid="{E9101224-AABB-4175-A106-516EDCBE2FC6}"/>
    <cellStyle name="쉼표 [0] 14 2 3 2" xfId="604" xr:uid="{E9101224-AABB-4175-A106-516EDCBE2FC6}"/>
    <cellStyle name="쉼표 [0] 14 2 3 2 2" xfId="1664" xr:uid="{E9101224-AABB-4175-A106-516EDCBE2FC6}"/>
    <cellStyle name="쉼표 [0] 14 2 3 2 2 2" xfId="5090" xr:uid="{E9101224-AABB-4175-A106-516EDCBE2FC6}"/>
    <cellStyle name="쉼표 [0] 14 2 3 2 2 3" xfId="3377" xr:uid="{E9101224-AABB-4175-A106-516EDCBE2FC6}"/>
    <cellStyle name="쉼표 [0] 14 2 3 2 3" xfId="4033" xr:uid="{E9101224-AABB-4175-A106-516EDCBE2FC6}"/>
    <cellStyle name="쉼표 [0] 14 2 3 2 4" xfId="2320" xr:uid="{E9101224-AABB-4175-A106-516EDCBE2FC6}"/>
    <cellStyle name="쉼표 [0] 14 2 3 3" xfId="1256" xr:uid="{E9101224-AABB-4175-A106-516EDCBE2FC6}"/>
    <cellStyle name="쉼표 [0] 14 2 3 3 2" xfId="4683" xr:uid="{E9101224-AABB-4175-A106-516EDCBE2FC6}"/>
    <cellStyle name="쉼표 [0] 14 2 3 3 3" xfId="2970" xr:uid="{E9101224-AABB-4175-A106-516EDCBE2FC6}"/>
    <cellStyle name="쉼표 [0] 14 2 3 4" xfId="1014" xr:uid="{E9101224-AABB-4175-A106-516EDCBE2FC6}"/>
    <cellStyle name="쉼표 [0] 14 2 3 4 2" xfId="4442" xr:uid="{E9101224-AABB-4175-A106-516EDCBE2FC6}"/>
    <cellStyle name="쉼표 [0] 14 2 3 4 3" xfId="2729" xr:uid="{E9101224-AABB-4175-A106-516EDCBE2FC6}"/>
    <cellStyle name="쉼표 [0] 14 2 3 5" xfId="3625" xr:uid="{E9101224-AABB-4175-A106-516EDCBE2FC6}"/>
    <cellStyle name="쉼표 [0] 14 2 3 6" xfId="1912" xr:uid="{E9101224-AABB-4175-A106-516EDCBE2FC6}"/>
    <cellStyle name="쉼표 [0] 14 2 4" xfId="522" xr:uid="{E9101224-AABB-4175-A106-516EDCBE2FC6}"/>
    <cellStyle name="쉼표 [0] 14 2 4 2" xfId="1582" xr:uid="{E9101224-AABB-4175-A106-516EDCBE2FC6}"/>
    <cellStyle name="쉼표 [0] 14 2 4 2 2" xfId="5008" xr:uid="{E9101224-AABB-4175-A106-516EDCBE2FC6}"/>
    <cellStyle name="쉼표 [0] 14 2 4 2 3" xfId="3295" xr:uid="{E9101224-AABB-4175-A106-516EDCBE2FC6}"/>
    <cellStyle name="쉼표 [0] 14 2 4 3" xfId="932" xr:uid="{E9101224-AABB-4175-A106-516EDCBE2FC6}"/>
    <cellStyle name="쉼표 [0] 14 2 4 3 2" xfId="4360" xr:uid="{E9101224-AABB-4175-A106-516EDCBE2FC6}"/>
    <cellStyle name="쉼표 [0] 14 2 4 3 3" xfId="2647" xr:uid="{E9101224-AABB-4175-A106-516EDCBE2FC6}"/>
    <cellStyle name="쉼표 [0] 14 2 4 4" xfId="3951" xr:uid="{E9101224-AABB-4175-A106-516EDCBE2FC6}"/>
    <cellStyle name="쉼표 [0] 14 2 4 5" xfId="2238" xr:uid="{E9101224-AABB-4175-A106-516EDCBE2FC6}"/>
    <cellStyle name="쉼표 [0] 14 2 5" xfId="359" xr:uid="{E9101224-AABB-4175-A106-516EDCBE2FC6}"/>
    <cellStyle name="쉼표 [0] 14 2 5 2" xfId="1419" xr:uid="{E9101224-AABB-4175-A106-516EDCBE2FC6}"/>
    <cellStyle name="쉼표 [0] 14 2 5 2 2" xfId="4846" xr:uid="{E9101224-AABB-4175-A106-516EDCBE2FC6}"/>
    <cellStyle name="쉼표 [0] 14 2 5 2 3" xfId="3133" xr:uid="{E9101224-AABB-4175-A106-516EDCBE2FC6}"/>
    <cellStyle name="쉼표 [0] 14 2 5 3" xfId="3789" xr:uid="{E9101224-AABB-4175-A106-516EDCBE2FC6}"/>
    <cellStyle name="쉼표 [0] 14 2 5 4" xfId="2076" xr:uid="{E9101224-AABB-4175-A106-516EDCBE2FC6}"/>
    <cellStyle name="쉼표 [0] 14 2 6" xfId="1177" xr:uid="{E9101224-AABB-4175-A106-516EDCBE2FC6}"/>
    <cellStyle name="쉼표 [0] 14 2 6 2" xfId="4604" xr:uid="{E9101224-AABB-4175-A106-516EDCBE2FC6}"/>
    <cellStyle name="쉼표 [0] 14 2 6 3" xfId="2891" xr:uid="{E9101224-AABB-4175-A106-516EDCBE2FC6}"/>
    <cellStyle name="쉼표 [0] 14 2 7" xfId="770" xr:uid="{E9101224-AABB-4175-A106-516EDCBE2FC6}"/>
    <cellStyle name="쉼표 [0] 14 2 7 2" xfId="4198" xr:uid="{E9101224-AABB-4175-A106-516EDCBE2FC6}"/>
    <cellStyle name="쉼표 [0] 14 2 7 3" xfId="2485" xr:uid="{E9101224-AABB-4175-A106-516EDCBE2FC6}"/>
    <cellStyle name="쉼표 [0] 14 2 8" xfId="3543" xr:uid="{E9101224-AABB-4175-A106-516EDCBE2FC6}"/>
    <cellStyle name="쉼표 [0] 14 2 9" xfId="1830" xr:uid="{E9101224-AABB-4175-A106-516EDCBE2FC6}"/>
    <cellStyle name="쉼표 [0] 14 3" xfId="239" xr:uid="{E9101224-AABB-4175-A106-516EDCBE2FC6}"/>
    <cellStyle name="쉼표 [0] 14 3 2" xfId="650" xr:uid="{E9101224-AABB-4175-A106-516EDCBE2FC6}"/>
    <cellStyle name="쉼표 [0] 14 3 2 2" xfId="1710" xr:uid="{E9101224-AABB-4175-A106-516EDCBE2FC6}"/>
    <cellStyle name="쉼표 [0] 14 3 2 2 2" xfId="5136" xr:uid="{E9101224-AABB-4175-A106-516EDCBE2FC6}"/>
    <cellStyle name="쉼표 [0] 14 3 2 2 3" xfId="3423" xr:uid="{E9101224-AABB-4175-A106-516EDCBE2FC6}"/>
    <cellStyle name="쉼표 [0] 14 3 2 3" xfId="1060" xr:uid="{E9101224-AABB-4175-A106-516EDCBE2FC6}"/>
    <cellStyle name="쉼표 [0] 14 3 2 3 2" xfId="4488" xr:uid="{E9101224-AABB-4175-A106-516EDCBE2FC6}"/>
    <cellStyle name="쉼표 [0] 14 3 2 3 3" xfId="2775" xr:uid="{E9101224-AABB-4175-A106-516EDCBE2FC6}"/>
    <cellStyle name="쉼표 [0] 14 3 2 4" xfId="4079" xr:uid="{E9101224-AABB-4175-A106-516EDCBE2FC6}"/>
    <cellStyle name="쉼표 [0] 14 3 2 5" xfId="2366" xr:uid="{E9101224-AABB-4175-A106-516EDCBE2FC6}"/>
    <cellStyle name="쉼표 [0] 14 3 3" xfId="405" xr:uid="{E9101224-AABB-4175-A106-516EDCBE2FC6}"/>
    <cellStyle name="쉼표 [0] 14 3 3 2" xfId="1465" xr:uid="{E9101224-AABB-4175-A106-516EDCBE2FC6}"/>
    <cellStyle name="쉼표 [0] 14 3 3 2 2" xfId="4892" xr:uid="{E9101224-AABB-4175-A106-516EDCBE2FC6}"/>
    <cellStyle name="쉼표 [0] 14 3 3 2 3" xfId="3179" xr:uid="{E9101224-AABB-4175-A106-516EDCBE2FC6}"/>
    <cellStyle name="쉼표 [0] 14 3 3 3" xfId="3835" xr:uid="{E9101224-AABB-4175-A106-516EDCBE2FC6}"/>
    <cellStyle name="쉼표 [0] 14 3 3 4" xfId="2122" xr:uid="{E9101224-AABB-4175-A106-516EDCBE2FC6}"/>
    <cellStyle name="쉼표 [0] 14 3 4" xfId="1301" xr:uid="{E9101224-AABB-4175-A106-516EDCBE2FC6}"/>
    <cellStyle name="쉼표 [0] 14 3 4 2" xfId="4728" xr:uid="{E9101224-AABB-4175-A106-516EDCBE2FC6}"/>
    <cellStyle name="쉼표 [0] 14 3 4 3" xfId="3015" xr:uid="{E9101224-AABB-4175-A106-516EDCBE2FC6}"/>
    <cellStyle name="쉼표 [0] 14 3 5" xfId="816" xr:uid="{E9101224-AABB-4175-A106-516EDCBE2FC6}"/>
    <cellStyle name="쉼표 [0] 14 3 5 2" xfId="4244" xr:uid="{E9101224-AABB-4175-A106-516EDCBE2FC6}"/>
    <cellStyle name="쉼표 [0] 14 3 5 3" xfId="2531" xr:uid="{E9101224-AABB-4175-A106-516EDCBE2FC6}"/>
    <cellStyle name="쉼표 [0] 14 3 6" xfId="3671" xr:uid="{E9101224-AABB-4175-A106-516EDCBE2FC6}"/>
    <cellStyle name="쉼표 [0] 14 3 7" xfId="1958" xr:uid="{E9101224-AABB-4175-A106-516EDCBE2FC6}"/>
    <cellStyle name="쉼표 [0] 14 4" xfId="157" xr:uid="{E9101224-AABB-4175-A106-516EDCBE2FC6}"/>
    <cellStyle name="쉼표 [0] 14 4 2" xfId="568" xr:uid="{E9101224-AABB-4175-A106-516EDCBE2FC6}"/>
    <cellStyle name="쉼표 [0] 14 4 2 2" xfId="1628" xr:uid="{E9101224-AABB-4175-A106-516EDCBE2FC6}"/>
    <cellStyle name="쉼표 [0] 14 4 2 2 2" xfId="5054" xr:uid="{E9101224-AABB-4175-A106-516EDCBE2FC6}"/>
    <cellStyle name="쉼표 [0] 14 4 2 2 3" xfId="3341" xr:uid="{E9101224-AABB-4175-A106-516EDCBE2FC6}"/>
    <cellStyle name="쉼표 [0] 14 4 2 3" xfId="3997" xr:uid="{E9101224-AABB-4175-A106-516EDCBE2FC6}"/>
    <cellStyle name="쉼표 [0] 14 4 2 4" xfId="2284" xr:uid="{E9101224-AABB-4175-A106-516EDCBE2FC6}"/>
    <cellStyle name="쉼표 [0] 14 4 3" xfId="1220" xr:uid="{E9101224-AABB-4175-A106-516EDCBE2FC6}"/>
    <cellStyle name="쉼표 [0] 14 4 3 2" xfId="4647" xr:uid="{E9101224-AABB-4175-A106-516EDCBE2FC6}"/>
    <cellStyle name="쉼표 [0] 14 4 3 3" xfId="2934" xr:uid="{E9101224-AABB-4175-A106-516EDCBE2FC6}"/>
    <cellStyle name="쉼표 [0] 14 4 4" xfId="978" xr:uid="{E9101224-AABB-4175-A106-516EDCBE2FC6}"/>
    <cellStyle name="쉼표 [0] 14 4 4 2" xfId="4406" xr:uid="{E9101224-AABB-4175-A106-516EDCBE2FC6}"/>
    <cellStyle name="쉼표 [0] 14 4 4 3" xfId="2693" xr:uid="{E9101224-AABB-4175-A106-516EDCBE2FC6}"/>
    <cellStyle name="쉼표 [0] 14 4 5" xfId="3589" xr:uid="{E9101224-AABB-4175-A106-516EDCBE2FC6}"/>
    <cellStyle name="쉼표 [0] 14 4 6" xfId="1876" xr:uid="{E9101224-AABB-4175-A106-516EDCBE2FC6}"/>
    <cellStyle name="쉼표 [0] 14 5" xfId="486" xr:uid="{E9101224-AABB-4175-A106-516EDCBE2FC6}"/>
    <cellStyle name="쉼표 [0] 14 5 2" xfId="1546" xr:uid="{E9101224-AABB-4175-A106-516EDCBE2FC6}"/>
    <cellStyle name="쉼표 [0] 14 5 2 2" xfId="4972" xr:uid="{E9101224-AABB-4175-A106-516EDCBE2FC6}"/>
    <cellStyle name="쉼표 [0] 14 5 2 3" xfId="3259" xr:uid="{E9101224-AABB-4175-A106-516EDCBE2FC6}"/>
    <cellStyle name="쉼표 [0] 14 5 3" xfId="896" xr:uid="{E9101224-AABB-4175-A106-516EDCBE2FC6}"/>
    <cellStyle name="쉼표 [0] 14 5 3 2" xfId="4324" xr:uid="{E9101224-AABB-4175-A106-516EDCBE2FC6}"/>
    <cellStyle name="쉼표 [0] 14 5 3 3" xfId="2611" xr:uid="{E9101224-AABB-4175-A106-516EDCBE2FC6}"/>
    <cellStyle name="쉼표 [0] 14 5 4" xfId="3915" xr:uid="{E9101224-AABB-4175-A106-516EDCBE2FC6}"/>
    <cellStyle name="쉼표 [0] 14 5 5" xfId="2202" xr:uid="{E9101224-AABB-4175-A106-516EDCBE2FC6}"/>
    <cellStyle name="쉼표 [0] 14 6" xfId="323" xr:uid="{E9101224-AABB-4175-A106-516EDCBE2FC6}"/>
    <cellStyle name="쉼표 [0] 14 6 2" xfId="1383" xr:uid="{E9101224-AABB-4175-A106-516EDCBE2FC6}"/>
    <cellStyle name="쉼표 [0] 14 6 2 2" xfId="4810" xr:uid="{E9101224-AABB-4175-A106-516EDCBE2FC6}"/>
    <cellStyle name="쉼표 [0] 14 6 2 3" xfId="3097" xr:uid="{E9101224-AABB-4175-A106-516EDCBE2FC6}"/>
    <cellStyle name="쉼표 [0] 14 6 3" xfId="3753" xr:uid="{E9101224-AABB-4175-A106-516EDCBE2FC6}"/>
    <cellStyle name="쉼표 [0] 14 6 4" xfId="2040" xr:uid="{E9101224-AABB-4175-A106-516EDCBE2FC6}"/>
    <cellStyle name="쉼표 [0] 14 7" xfId="1141" xr:uid="{E9101224-AABB-4175-A106-516EDCBE2FC6}"/>
    <cellStyle name="쉼표 [0] 14 7 2" xfId="4568" xr:uid="{E9101224-AABB-4175-A106-516EDCBE2FC6}"/>
    <cellStyle name="쉼표 [0] 14 7 3" xfId="2855" xr:uid="{E9101224-AABB-4175-A106-516EDCBE2FC6}"/>
    <cellStyle name="쉼표 [0] 14 8" xfId="734" xr:uid="{E9101224-AABB-4175-A106-516EDCBE2FC6}"/>
    <cellStyle name="쉼표 [0] 14 8 2" xfId="4162" xr:uid="{E9101224-AABB-4175-A106-516EDCBE2FC6}"/>
    <cellStyle name="쉼표 [0] 14 8 3" xfId="2449" xr:uid="{E9101224-AABB-4175-A106-516EDCBE2FC6}"/>
    <cellStyle name="쉼표 [0] 14 9" xfId="3507" xr:uid="{E9101224-AABB-4175-A106-516EDCBE2FC6}"/>
    <cellStyle name="쉼표 [0] 15" xfId="68" xr:uid="{89035913-8D14-4E6B-977E-41B33C0EA87C}"/>
    <cellStyle name="쉼표 [0] 15 10" xfId="3508" xr:uid="{89035913-8D14-4E6B-977E-41B33C0EA87C}"/>
    <cellStyle name="쉼표 [0] 15 11" xfId="1795" xr:uid="{89035913-8D14-4E6B-977E-41B33C0EA87C}"/>
    <cellStyle name="쉼표 [0] 15 2" xfId="73" xr:uid="{149EC672-B757-41FA-8B29-E37F3A389DCD}"/>
    <cellStyle name="쉼표 [0] 15 2 10" xfId="1798" xr:uid="{149EC672-B757-41FA-8B29-E37F3A389DCD}"/>
    <cellStyle name="쉼표 [0] 15 2 2" xfId="112" xr:uid="{149EC672-B757-41FA-8B29-E37F3A389DCD}"/>
    <cellStyle name="쉼표 [0] 15 2 2 2" xfId="279" xr:uid="{149EC672-B757-41FA-8B29-E37F3A389DCD}"/>
    <cellStyle name="쉼표 [0] 15 2 2 2 2" xfId="690" xr:uid="{149EC672-B757-41FA-8B29-E37F3A389DCD}"/>
    <cellStyle name="쉼표 [0] 15 2 2 2 2 2" xfId="1750" xr:uid="{149EC672-B757-41FA-8B29-E37F3A389DCD}"/>
    <cellStyle name="쉼표 [0] 15 2 2 2 2 2 2" xfId="5176" xr:uid="{149EC672-B757-41FA-8B29-E37F3A389DCD}"/>
    <cellStyle name="쉼표 [0] 15 2 2 2 2 2 3" xfId="3463" xr:uid="{149EC672-B757-41FA-8B29-E37F3A389DCD}"/>
    <cellStyle name="쉼표 [0] 15 2 2 2 2 3" xfId="1100" xr:uid="{149EC672-B757-41FA-8B29-E37F3A389DCD}"/>
    <cellStyle name="쉼표 [0] 15 2 2 2 2 3 2" xfId="4528" xr:uid="{149EC672-B757-41FA-8B29-E37F3A389DCD}"/>
    <cellStyle name="쉼표 [0] 15 2 2 2 2 3 3" xfId="2815" xr:uid="{149EC672-B757-41FA-8B29-E37F3A389DCD}"/>
    <cellStyle name="쉼표 [0] 15 2 2 2 2 4" xfId="4119" xr:uid="{149EC672-B757-41FA-8B29-E37F3A389DCD}"/>
    <cellStyle name="쉼표 [0] 15 2 2 2 2 5" xfId="2406" xr:uid="{149EC672-B757-41FA-8B29-E37F3A389DCD}"/>
    <cellStyle name="쉼표 [0] 15 2 2 2 3" xfId="445" xr:uid="{149EC672-B757-41FA-8B29-E37F3A389DCD}"/>
    <cellStyle name="쉼표 [0] 15 2 2 2 3 2" xfId="1505" xr:uid="{149EC672-B757-41FA-8B29-E37F3A389DCD}"/>
    <cellStyle name="쉼표 [0] 15 2 2 2 3 2 2" xfId="4932" xr:uid="{149EC672-B757-41FA-8B29-E37F3A389DCD}"/>
    <cellStyle name="쉼표 [0] 15 2 2 2 3 2 3" xfId="3219" xr:uid="{149EC672-B757-41FA-8B29-E37F3A389DCD}"/>
    <cellStyle name="쉼표 [0] 15 2 2 2 3 3" xfId="3875" xr:uid="{149EC672-B757-41FA-8B29-E37F3A389DCD}"/>
    <cellStyle name="쉼표 [0] 15 2 2 2 3 4" xfId="2162" xr:uid="{149EC672-B757-41FA-8B29-E37F3A389DCD}"/>
    <cellStyle name="쉼표 [0] 15 2 2 2 4" xfId="1341" xr:uid="{149EC672-B757-41FA-8B29-E37F3A389DCD}"/>
    <cellStyle name="쉼표 [0] 15 2 2 2 4 2" xfId="4768" xr:uid="{149EC672-B757-41FA-8B29-E37F3A389DCD}"/>
    <cellStyle name="쉼표 [0] 15 2 2 2 4 3" xfId="3055" xr:uid="{149EC672-B757-41FA-8B29-E37F3A389DCD}"/>
    <cellStyle name="쉼표 [0] 15 2 2 2 5" xfId="856" xr:uid="{149EC672-B757-41FA-8B29-E37F3A389DCD}"/>
    <cellStyle name="쉼표 [0] 15 2 2 2 5 2" xfId="4284" xr:uid="{149EC672-B757-41FA-8B29-E37F3A389DCD}"/>
    <cellStyle name="쉼표 [0] 15 2 2 2 5 3" xfId="2571" xr:uid="{149EC672-B757-41FA-8B29-E37F3A389DCD}"/>
    <cellStyle name="쉼표 [0] 15 2 2 2 6" xfId="3711" xr:uid="{149EC672-B757-41FA-8B29-E37F3A389DCD}"/>
    <cellStyle name="쉼표 [0] 15 2 2 2 7" xfId="1998" xr:uid="{149EC672-B757-41FA-8B29-E37F3A389DCD}"/>
    <cellStyle name="쉼표 [0] 15 2 2 3" xfId="197" xr:uid="{149EC672-B757-41FA-8B29-E37F3A389DCD}"/>
    <cellStyle name="쉼표 [0] 15 2 2 3 2" xfId="608" xr:uid="{149EC672-B757-41FA-8B29-E37F3A389DCD}"/>
    <cellStyle name="쉼표 [0] 15 2 2 3 2 2" xfId="1668" xr:uid="{149EC672-B757-41FA-8B29-E37F3A389DCD}"/>
    <cellStyle name="쉼표 [0] 15 2 2 3 2 2 2" xfId="5094" xr:uid="{149EC672-B757-41FA-8B29-E37F3A389DCD}"/>
    <cellStyle name="쉼표 [0] 15 2 2 3 2 2 3" xfId="3381" xr:uid="{149EC672-B757-41FA-8B29-E37F3A389DCD}"/>
    <cellStyle name="쉼표 [0] 15 2 2 3 2 3" xfId="4037" xr:uid="{149EC672-B757-41FA-8B29-E37F3A389DCD}"/>
    <cellStyle name="쉼표 [0] 15 2 2 3 2 4" xfId="2324" xr:uid="{149EC672-B757-41FA-8B29-E37F3A389DCD}"/>
    <cellStyle name="쉼표 [0] 15 2 2 3 3" xfId="1260" xr:uid="{149EC672-B757-41FA-8B29-E37F3A389DCD}"/>
    <cellStyle name="쉼표 [0] 15 2 2 3 3 2" xfId="4687" xr:uid="{149EC672-B757-41FA-8B29-E37F3A389DCD}"/>
    <cellStyle name="쉼표 [0] 15 2 2 3 3 3" xfId="2974" xr:uid="{149EC672-B757-41FA-8B29-E37F3A389DCD}"/>
    <cellStyle name="쉼표 [0] 15 2 2 3 4" xfId="1018" xr:uid="{149EC672-B757-41FA-8B29-E37F3A389DCD}"/>
    <cellStyle name="쉼표 [0] 15 2 2 3 4 2" xfId="4446" xr:uid="{149EC672-B757-41FA-8B29-E37F3A389DCD}"/>
    <cellStyle name="쉼표 [0] 15 2 2 3 4 3" xfId="2733" xr:uid="{149EC672-B757-41FA-8B29-E37F3A389DCD}"/>
    <cellStyle name="쉼표 [0] 15 2 2 3 5" xfId="3629" xr:uid="{149EC672-B757-41FA-8B29-E37F3A389DCD}"/>
    <cellStyle name="쉼표 [0] 15 2 2 3 6" xfId="1916" xr:uid="{149EC672-B757-41FA-8B29-E37F3A389DCD}"/>
    <cellStyle name="쉼표 [0] 15 2 2 4" xfId="526" xr:uid="{149EC672-B757-41FA-8B29-E37F3A389DCD}"/>
    <cellStyle name="쉼표 [0] 15 2 2 4 2" xfId="1586" xr:uid="{149EC672-B757-41FA-8B29-E37F3A389DCD}"/>
    <cellStyle name="쉼표 [0] 15 2 2 4 2 2" xfId="5012" xr:uid="{149EC672-B757-41FA-8B29-E37F3A389DCD}"/>
    <cellStyle name="쉼표 [0] 15 2 2 4 2 3" xfId="3299" xr:uid="{149EC672-B757-41FA-8B29-E37F3A389DCD}"/>
    <cellStyle name="쉼표 [0] 15 2 2 4 3" xfId="936" xr:uid="{149EC672-B757-41FA-8B29-E37F3A389DCD}"/>
    <cellStyle name="쉼표 [0] 15 2 2 4 3 2" xfId="4364" xr:uid="{149EC672-B757-41FA-8B29-E37F3A389DCD}"/>
    <cellStyle name="쉼표 [0] 15 2 2 4 3 3" xfId="2651" xr:uid="{149EC672-B757-41FA-8B29-E37F3A389DCD}"/>
    <cellStyle name="쉼표 [0] 15 2 2 4 4" xfId="3955" xr:uid="{149EC672-B757-41FA-8B29-E37F3A389DCD}"/>
    <cellStyle name="쉼표 [0] 15 2 2 4 5" xfId="2242" xr:uid="{149EC672-B757-41FA-8B29-E37F3A389DCD}"/>
    <cellStyle name="쉼표 [0] 15 2 2 5" xfId="363" xr:uid="{149EC672-B757-41FA-8B29-E37F3A389DCD}"/>
    <cellStyle name="쉼표 [0] 15 2 2 5 2" xfId="1423" xr:uid="{149EC672-B757-41FA-8B29-E37F3A389DCD}"/>
    <cellStyle name="쉼표 [0] 15 2 2 5 2 2" xfId="4850" xr:uid="{149EC672-B757-41FA-8B29-E37F3A389DCD}"/>
    <cellStyle name="쉼표 [0] 15 2 2 5 2 3" xfId="3137" xr:uid="{149EC672-B757-41FA-8B29-E37F3A389DCD}"/>
    <cellStyle name="쉼표 [0] 15 2 2 5 3" xfId="3793" xr:uid="{149EC672-B757-41FA-8B29-E37F3A389DCD}"/>
    <cellStyle name="쉼표 [0] 15 2 2 5 4" xfId="2080" xr:uid="{149EC672-B757-41FA-8B29-E37F3A389DCD}"/>
    <cellStyle name="쉼표 [0] 15 2 2 6" xfId="1181" xr:uid="{149EC672-B757-41FA-8B29-E37F3A389DCD}"/>
    <cellStyle name="쉼표 [0] 15 2 2 6 2" xfId="4608" xr:uid="{149EC672-B757-41FA-8B29-E37F3A389DCD}"/>
    <cellStyle name="쉼표 [0] 15 2 2 6 3" xfId="2895" xr:uid="{149EC672-B757-41FA-8B29-E37F3A389DCD}"/>
    <cellStyle name="쉼표 [0] 15 2 2 7" xfId="774" xr:uid="{149EC672-B757-41FA-8B29-E37F3A389DCD}"/>
    <cellStyle name="쉼표 [0] 15 2 2 7 2" xfId="4202" xr:uid="{149EC672-B757-41FA-8B29-E37F3A389DCD}"/>
    <cellStyle name="쉼표 [0] 15 2 2 7 3" xfId="2489" xr:uid="{149EC672-B757-41FA-8B29-E37F3A389DCD}"/>
    <cellStyle name="쉼표 [0] 15 2 2 8" xfId="3547" xr:uid="{149EC672-B757-41FA-8B29-E37F3A389DCD}"/>
    <cellStyle name="쉼표 [0] 15 2 2 9" xfId="1834" xr:uid="{149EC672-B757-41FA-8B29-E37F3A389DCD}"/>
    <cellStyle name="쉼표 [0] 15 2 3" xfId="243" xr:uid="{149EC672-B757-41FA-8B29-E37F3A389DCD}"/>
    <cellStyle name="쉼표 [0] 15 2 3 2" xfId="654" xr:uid="{149EC672-B757-41FA-8B29-E37F3A389DCD}"/>
    <cellStyle name="쉼표 [0] 15 2 3 2 2" xfId="1714" xr:uid="{149EC672-B757-41FA-8B29-E37F3A389DCD}"/>
    <cellStyle name="쉼표 [0] 15 2 3 2 2 2" xfId="5140" xr:uid="{149EC672-B757-41FA-8B29-E37F3A389DCD}"/>
    <cellStyle name="쉼표 [0] 15 2 3 2 2 3" xfId="3427" xr:uid="{149EC672-B757-41FA-8B29-E37F3A389DCD}"/>
    <cellStyle name="쉼표 [0] 15 2 3 2 3" xfId="1064" xr:uid="{149EC672-B757-41FA-8B29-E37F3A389DCD}"/>
    <cellStyle name="쉼표 [0] 15 2 3 2 3 2" xfId="4492" xr:uid="{149EC672-B757-41FA-8B29-E37F3A389DCD}"/>
    <cellStyle name="쉼표 [0] 15 2 3 2 3 3" xfId="2779" xr:uid="{149EC672-B757-41FA-8B29-E37F3A389DCD}"/>
    <cellStyle name="쉼표 [0] 15 2 3 2 4" xfId="4083" xr:uid="{149EC672-B757-41FA-8B29-E37F3A389DCD}"/>
    <cellStyle name="쉼표 [0] 15 2 3 2 5" xfId="2370" xr:uid="{149EC672-B757-41FA-8B29-E37F3A389DCD}"/>
    <cellStyle name="쉼표 [0] 15 2 3 3" xfId="409" xr:uid="{149EC672-B757-41FA-8B29-E37F3A389DCD}"/>
    <cellStyle name="쉼표 [0] 15 2 3 3 2" xfId="1469" xr:uid="{149EC672-B757-41FA-8B29-E37F3A389DCD}"/>
    <cellStyle name="쉼표 [0] 15 2 3 3 2 2" xfId="4896" xr:uid="{149EC672-B757-41FA-8B29-E37F3A389DCD}"/>
    <cellStyle name="쉼표 [0] 15 2 3 3 2 3" xfId="3183" xr:uid="{149EC672-B757-41FA-8B29-E37F3A389DCD}"/>
    <cellStyle name="쉼표 [0] 15 2 3 3 3" xfId="3839" xr:uid="{149EC672-B757-41FA-8B29-E37F3A389DCD}"/>
    <cellStyle name="쉼표 [0] 15 2 3 3 4" xfId="2126" xr:uid="{149EC672-B757-41FA-8B29-E37F3A389DCD}"/>
    <cellStyle name="쉼표 [0] 15 2 3 4" xfId="1305" xr:uid="{149EC672-B757-41FA-8B29-E37F3A389DCD}"/>
    <cellStyle name="쉼표 [0] 15 2 3 4 2" xfId="4732" xr:uid="{149EC672-B757-41FA-8B29-E37F3A389DCD}"/>
    <cellStyle name="쉼표 [0] 15 2 3 4 3" xfId="3019" xr:uid="{149EC672-B757-41FA-8B29-E37F3A389DCD}"/>
    <cellStyle name="쉼표 [0] 15 2 3 5" xfId="820" xr:uid="{149EC672-B757-41FA-8B29-E37F3A389DCD}"/>
    <cellStyle name="쉼표 [0] 15 2 3 5 2" xfId="4248" xr:uid="{149EC672-B757-41FA-8B29-E37F3A389DCD}"/>
    <cellStyle name="쉼표 [0] 15 2 3 5 3" xfId="2535" xr:uid="{149EC672-B757-41FA-8B29-E37F3A389DCD}"/>
    <cellStyle name="쉼표 [0] 15 2 3 6" xfId="3675" xr:uid="{149EC672-B757-41FA-8B29-E37F3A389DCD}"/>
    <cellStyle name="쉼표 [0] 15 2 3 7" xfId="1962" xr:uid="{149EC672-B757-41FA-8B29-E37F3A389DCD}"/>
    <cellStyle name="쉼표 [0] 15 2 4" xfId="161" xr:uid="{149EC672-B757-41FA-8B29-E37F3A389DCD}"/>
    <cellStyle name="쉼표 [0] 15 2 4 2" xfId="572" xr:uid="{149EC672-B757-41FA-8B29-E37F3A389DCD}"/>
    <cellStyle name="쉼표 [0] 15 2 4 2 2" xfId="1632" xr:uid="{149EC672-B757-41FA-8B29-E37F3A389DCD}"/>
    <cellStyle name="쉼표 [0] 15 2 4 2 2 2" xfId="5058" xr:uid="{149EC672-B757-41FA-8B29-E37F3A389DCD}"/>
    <cellStyle name="쉼표 [0] 15 2 4 2 2 3" xfId="3345" xr:uid="{149EC672-B757-41FA-8B29-E37F3A389DCD}"/>
    <cellStyle name="쉼표 [0] 15 2 4 2 3" xfId="4001" xr:uid="{149EC672-B757-41FA-8B29-E37F3A389DCD}"/>
    <cellStyle name="쉼표 [0] 15 2 4 2 4" xfId="2288" xr:uid="{149EC672-B757-41FA-8B29-E37F3A389DCD}"/>
    <cellStyle name="쉼표 [0] 15 2 4 3" xfId="1224" xr:uid="{149EC672-B757-41FA-8B29-E37F3A389DCD}"/>
    <cellStyle name="쉼표 [0] 15 2 4 3 2" xfId="4651" xr:uid="{149EC672-B757-41FA-8B29-E37F3A389DCD}"/>
    <cellStyle name="쉼표 [0] 15 2 4 3 3" xfId="2938" xr:uid="{149EC672-B757-41FA-8B29-E37F3A389DCD}"/>
    <cellStyle name="쉼표 [0] 15 2 4 4" xfId="982" xr:uid="{149EC672-B757-41FA-8B29-E37F3A389DCD}"/>
    <cellStyle name="쉼표 [0] 15 2 4 4 2" xfId="4410" xr:uid="{149EC672-B757-41FA-8B29-E37F3A389DCD}"/>
    <cellStyle name="쉼표 [0] 15 2 4 4 3" xfId="2697" xr:uid="{149EC672-B757-41FA-8B29-E37F3A389DCD}"/>
    <cellStyle name="쉼표 [0] 15 2 4 5" xfId="3593" xr:uid="{149EC672-B757-41FA-8B29-E37F3A389DCD}"/>
    <cellStyle name="쉼표 [0] 15 2 4 6" xfId="1880" xr:uid="{149EC672-B757-41FA-8B29-E37F3A389DCD}"/>
    <cellStyle name="쉼표 [0] 15 2 5" xfId="490" xr:uid="{149EC672-B757-41FA-8B29-E37F3A389DCD}"/>
    <cellStyle name="쉼표 [0] 15 2 5 2" xfId="1550" xr:uid="{149EC672-B757-41FA-8B29-E37F3A389DCD}"/>
    <cellStyle name="쉼표 [0] 15 2 5 2 2" xfId="4976" xr:uid="{149EC672-B757-41FA-8B29-E37F3A389DCD}"/>
    <cellStyle name="쉼표 [0] 15 2 5 2 3" xfId="3263" xr:uid="{149EC672-B757-41FA-8B29-E37F3A389DCD}"/>
    <cellStyle name="쉼표 [0] 15 2 5 3" xfId="900" xr:uid="{149EC672-B757-41FA-8B29-E37F3A389DCD}"/>
    <cellStyle name="쉼표 [0] 15 2 5 3 2" xfId="4328" xr:uid="{149EC672-B757-41FA-8B29-E37F3A389DCD}"/>
    <cellStyle name="쉼표 [0] 15 2 5 3 3" xfId="2615" xr:uid="{149EC672-B757-41FA-8B29-E37F3A389DCD}"/>
    <cellStyle name="쉼표 [0] 15 2 5 4" xfId="3919" xr:uid="{149EC672-B757-41FA-8B29-E37F3A389DCD}"/>
    <cellStyle name="쉼표 [0] 15 2 5 5" xfId="2206" xr:uid="{149EC672-B757-41FA-8B29-E37F3A389DCD}"/>
    <cellStyle name="쉼표 [0] 15 2 6" xfId="327" xr:uid="{149EC672-B757-41FA-8B29-E37F3A389DCD}"/>
    <cellStyle name="쉼표 [0] 15 2 6 2" xfId="1387" xr:uid="{149EC672-B757-41FA-8B29-E37F3A389DCD}"/>
    <cellStyle name="쉼표 [0] 15 2 6 2 2" xfId="4814" xr:uid="{149EC672-B757-41FA-8B29-E37F3A389DCD}"/>
    <cellStyle name="쉼표 [0] 15 2 6 2 3" xfId="3101" xr:uid="{149EC672-B757-41FA-8B29-E37F3A389DCD}"/>
    <cellStyle name="쉼표 [0] 15 2 6 3" xfId="3757" xr:uid="{149EC672-B757-41FA-8B29-E37F3A389DCD}"/>
    <cellStyle name="쉼표 [0] 15 2 6 4" xfId="2044" xr:uid="{149EC672-B757-41FA-8B29-E37F3A389DCD}"/>
    <cellStyle name="쉼표 [0] 15 2 7" xfId="1145" xr:uid="{149EC672-B757-41FA-8B29-E37F3A389DCD}"/>
    <cellStyle name="쉼표 [0] 15 2 7 2" xfId="4572" xr:uid="{149EC672-B757-41FA-8B29-E37F3A389DCD}"/>
    <cellStyle name="쉼표 [0] 15 2 7 3" xfId="2859" xr:uid="{149EC672-B757-41FA-8B29-E37F3A389DCD}"/>
    <cellStyle name="쉼표 [0] 15 2 8" xfId="738" xr:uid="{149EC672-B757-41FA-8B29-E37F3A389DCD}"/>
    <cellStyle name="쉼표 [0] 15 2 8 2" xfId="4166" xr:uid="{149EC672-B757-41FA-8B29-E37F3A389DCD}"/>
    <cellStyle name="쉼표 [0] 15 2 8 3" xfId="2453" xr:uid="{149EC672-B757-41FA-8B29-E37F3A389DCD}"/>
    <cellStyle name="쉼표 [0] 15 2 9" xfId="3511" xr:uid="{149EC672-B757-41FA-8B29-E37F3A389DCD}"/>
    <cellStyle name="쉼표 [0] 15 3" xfId="109" xr:uid="{89035913-8D14-4E6B-977E-41B33C0EA87C}"/>
    <cellStyle name="쉼표 [0] 15 3 2" xfId="276" xr:uid="{89035913-8D14-4E6B-977E-41B33C0EA87C}"/>
    <cellStyle name="쉼표 [0] 15 3 2 2" xfId="687" xr:uid="{89035913-8D14-4E6B-977E-41B33C0EA87C}"/>
    <cellStyle name="쉼표 [0] 15 3 2 2 2" xfId="1747" xr:uid="{89035913-8D14-4E6B-977E-41B33C0EA87C}"/>
    <cellStyle name="쉼표 [0] 15 3 2 2 2 2" xfId="5173" xr:uid="{89035913-8D14-4E6B-977E-41B33C0EA87C}"/>
    <cellStyle name="쉼표 [0] 15 3 2 2 2 3" xfId="3460" xr:uid="{89035913-8D14-4E6B-977E-41B33C0EA87C}"/>
    <cellStyle name="쉼표 [0] 15 3 2 2 3" xfId="1097" xr:uid="{89035913-8D14-4E6B-977E-41B33C0EA87C}"/>
    <cellStyle name="쉼표 [0] 15 3 2 2 3 2" xfId="4525" xr:uid="{89035913-8D14-4E6B-977E-41B33C0EA87C}"/>
    <cellStyle name="쉼표 [0] 15 3 2 2 3 3" xfId="2812" xr:uid="{89035913-8D14-4E6B-977E-41B33C0EA87C}"/>
    <cellStyle name="쉼표 [0] 15 3 2 2 4" xfId="4116" xr:uid="{89035913-8D14-4E6B-977E-41B33C0EA87C}"/>
    <cellStyle name="쉼표 [0] 15 3 2 2 5" xfId="2403" xr:uid="{89035913-8D14-4E6B-977E-41B33C0EA87C}"/>
    <cellStyle name="쉼표 [0] 15 3 2 3" xfId="442" xr:uid="{89035913-8D14-4E6B-977E-41B33C0EA87C}"/>
    <cellStyle name="쉼표 [0] 15 3 2 3 2" xfId="1502" xr:uid="{89035913-8D14-4E6B-977E-41B33C0EA87C}"/>
    <cellStyle name="쉼표 [0] 15 3 2 3 2 2" xfId="4929" xr:uid="{89035913-8D14-4E6B-977E-41B33C0EA87C}"/>
    <cellStyle name="쉼표 [0] 15 3 2 3 2 3" xfId="3216" xr:uid="{89035913-8D14-4E6B-977E-41B33C0EA87C}"/>
    <cellStyle name="쉼표 [0] 15 3 2 3 3" xfId="3872" xr:uid="{89035913-8D14-4E6B-977E-41B33C0EA87C}"/>
    <cellStyle name="쉼표 [0] 15 3 2 3 4" xfId="2159" xr:uid="{89035913-8D14-4E6B-977E-41B33C0EA87C}"/>
    <cellStyle name="쉼표 [0] 15 3 2 4" xfId="1338" xr:uid="{89035913-8D14-4E6B-977E-41B33C0EA87C}"/>
    <cellStyle name="쉼표 [0] 15 3 2 4 2" xfId="4765" xr:uid="{89035913-8D14-4E6B-977E-41B33C0EA87C}"/>
    <cellStyle name="쉼표 [0] 15 3 2 4 3" xfId="3052" xr:uid="{89035913-8D14-4E6B-977E-41B33C0EA87C}"/>
    <cellStyle name="쉼표 [0] 15 3 2 5" xfId="853" xr:uid="{89035913-8D14-4E6B-977E-41B33C0EA87C}"/>
    <cellStyle name="쉼표 [0] 15 3 2 5 2" xfId="4281" xr:uid="{89035913-8D14-4E6B-977E-41B33C0EA87C}"/>
    <cellStyle name="쉼표 [0] 15 3 2 5 3" xfId="2568" xr:uid="{89035913-8D14-4E6B-977E-41B33C0EA87C}"/>
    <cellStyle name="쉼표 [0] 15 3 2 6" xfId="3708" xr:uid="{89035913-8D14-4E6B-977E-41B33C0EA87C}"/>
    <cellStyle name="쉼표 [0] 15 3 2 7" xfId="1995" xr:uid="{89035913-8D14-4E6B-977E-41B33C0EA87C}"/>
    <cellStyle name="쉼표 [0] 15 3 3" xfId="194" xr:uid="{89035913-8D14-4E6B-977E-41B33C0EA87C}"/>
    <cellStyle name="쉼표 [0] 15 3 3 2" xfId="605" xr:uid="{89035913-8D14-4E6B-977E-41B33C0EA87C}"/>
    <cellStyle name="쉼표 [0] 15 3 3 2 2" xfId="1665" xr:uid="{89035913-8D14-4E6B-977E-41B33C0EA87C}"/>
    <cellStyle name="쉼표 [0] 15 3 3 2 2 2" xfId="5091" xr:uid="{89035913-8D14-4E6B-977E-41B33C0EA87C}"/>
    <cellStyle name="쉼표 [0] 15 3 3 2 2 3" xfId="3378" xr:uid="{89035913-8D14-4E6B-977E-41B33C0EA87C}"/>
    <cellStyle name="쉼표 [0] 15 3 3 2 3" xfId="4034" xr:uid="{89035913-8D14-4E6B-977E-41B33C0EA87C}"/>
    <cellStyle name="쉼표 [0] 15 3 3 2 4" xfId="2321" xr:uid="{89035913-8D14-4E6B-977E-41B33C0EA87C}"/>
    <cellStyle name="쉼표 [0] 15 3 3 3" xfId="1257" xr:uid="{89035913-8D14-4E6B-977E-41B33C0EA87C}"/>
    <cellStyle name="쉼표 [0] 15 3 3 3 2" xfId="4684" xr:uid="{89035913-8D14-4E6B-977E-41B33C0EA87C}"/>
    <cellStyle name="쉼표 [0] 15 3 3 3 3" xfId="2971" xr:uid="{89035913-8D14-4E6B-977E-41B33C0EA87C}"/>
    <cellStyle name="쉼표 [0] 15 3 3 4" xfId="1015" xr:uid="{89035913-8D14-4E6B-977E-41B33C0EA87C}"/>
    <cellStyle name="쉼표 [0] 15 3 3 4 2" xfId="4443" xr:uid="{89035913-8D14-4E6B-977E-41B33C0EA87C}"/>
    <cellStyle name="쉼표 [0] 15 3 3 4 3" xfId="2730" xr:uid="{89035913-8D14-4E6B-977E-41B33C0EA87C}"/>
    <cellStyle name="쉼표 [0] 15 3 3 5" xfId="3626" xr:uid="{89035913-8D14-4E6B-977E-41B33C0EA87C}"/>
    <cellStyle name="쉼표 [0] 15 3 3 6" xfId="1913" xr:uid="{89035913-8D14-4E6B-977E-41B33C0EA87C}"/>
    <cellStyle name="쉼표 [0] 15 3 4" xfId="523" xr:uid="{89035913-8D14-4E6B-977E-41B33C0EA87C}"/>
    <cellStyle name="쉼표 [0] 15 3 4 2" xfId="1583" xr:uid="{89035913-8D14-4E6B-977E-41B33C0EA87C}"/>
    <cellStyle name="쉼표 [0] 15 3 4 2 2" xfId="5009" xr:uid="{89035913-8D14-4E6B-977E-41B33C0EA87C}"/>
    <cellStyle name="쉼표 [0] 15 3 4 2 3" xfId="3296" xr:uid="{89035913-8D14-4E6B-977E-41B33C0EA87C}"/>
    <cellStyle name="쉼표 [0] 15 3 4 3" xfId="933" xr:uid="{89035913-8D14-4E6B-977E-41B33C0EA87C}"/>
    <cellStyle name="쉼표 [0] 15 3 4 3 2" xfId="4361" xr:uid="{89035913-8D14-4E6B-977E-41B33C0EA87C}"/>
    <cellStyle name="쉼표 [0] 15 3 4 3 3" xfId="2648" xr:uid="{89035913-8D14-4E6B-977E-41B33C0EA87C}"/>
    <cellStyle name="쉼표 [0] 15 3 4 4" xfId="3952" xr:uid="{89035913-8D14-4E6B-977E-41B33C0EA87C}"/>
    <cellStyle name="쉼표 [0] 15 3 4 5" xfId="2239" xr:uid="{89035913-8D14-4E6B-977E-41B33C0EA87C}"/>
    <cellStyle name="쉼표 [0] 15 3 5" xfId="360" xr:uid="{89035913-8D14-4E6B-977E-41B33C0EA87C}"/>
    <cellStyle name="쉼표 [0] 15 3 5 2" xfId="1420" xr:uid="{89035913-8D14-4E6B-977E-41B33C0EA87C}"/>
    <cellStyle name="쉼표 [0] 15 3 5 2 2" xfId="4847" xr:uid="{89035913-8D14-4E6B-977E-41B33C0EA87C}"/>
    <cellStyle name="쉼표 [0] 15 3 5 2 3" xfId="3134" xr:uid="{89035913-8D14-4E6B-977E-41B33C0EA87C}"/>
    <cellStyle name="쉼표 [0] 15 3 5 3" xfId="3790" xr:uid="{89035913-8D14-4E6B-977E-41B33C0EA87C}"/>
    <cellStyle name="쉼표 [0] 15 3 5 4" xfId="2077" xr:uid="{89035913-8D14-4E6B-977E-41B33C0EA87C}"/>
    <cellStyle name="쉼표 [0] 15 3 6" xfId="1178" xr:uid="{89035913-8D14-4E6B-977E-41B33C0EA87C}"/>
    <cellStyle name="쉼표 [0] 15 3 6 2" xfId="4605" xr:uid="{89035913-8D14-4E6B-977E-41B33C0EA87C}"/>
    <cellStyle name="쉼표 [0] 15 3 6 3" xfId="2892" xr:uid="{89035913-8D14-4E6B-977E-41B33C0EA87C}"/>
    <cellStyle name="쉼표 [0] 15 3 7" xfId="771" xr:uid="{89035913-8D14-4E6B-977E-41B33C0EA87C}"/>
    <cellStyle name="쉼표 [0] 15 3 7 2" xfId="4199" xr:uid="{89035913-8D14-4E6B-977E-41B33C0EA87C}"/>
    <cellStyle name="쉼표 [0] 15 3 7 3" xfId="2486" xr:uid="{89035913-8D14-4E6B-977E-41B33C0EA87C}"/>
    <cellStyle name="쉼표 [0] 15 3 8" xfId="3544" xr:uid="{89035913-8D14-4E6B-977E-41B33C0EA87C}"/>
    <cellStyle name="쉼표 [0] 15 3 9" xfId="1831" xr:uid="{89035913-8D14-4E6B-977E-41B33C0EA87C}"/>
    <cellStyle name="쉼표 [0] 15 4" xfId="240" xr:uid="{89035913-8D14-4E6B-977E-41B33C0EA87C}"/>
    <cellStyle name="쉼표 [0] 15 4 2" xfId="651" xr:uid="{89035913-8D14-4E6B-977E-41B33C0EA87C}"/>
    <cellStyle name="쉼표 [0] 15 4 2 2" xfId="1711" xr:uid="{89035913-8D14-4E6B-977E-41B33C0EA87C}"/>
    <cellStyle name="쉼표 [0] 15 4 2 2 2" xfId="5137" xr:uid="{89035913-8D14-4E6B-977E-41B33C0EA87C}"/>
    <cellStyle name="쉼표 [0] 15 4 2 2 3" xfId="3424" xr:uid="{89035913-8D14-4E6B-977E-41B33C0EA87C}"/>
    <cellStyle name="쉼표 [0] 15 4 2 3" xfId="1061" xr:uid="{89035913-8D14-4E6B-977E-41B33C0EA87C}"/>
    <cellStyle name="쉼표 [0] 15 4 2 3 2" xfId="4489" xr:uid="{89035913-8D14-4E6B-977E-41B33C0EA87C}"/>
    <cellStyle name="쉼표 [0] 15 4 2 3 3" xfId="2776" xr:uid="{89035913-8D14-4E6B-977E-41B33C0EA87C}"/>
    <cellStyle name="쉼표 [0] 15 4 2 4" xfId="4080" xr:uid="{89035913-8D14-4E6B-977E-41B33C0EA87C}"/>
    <cellStyle name="쉼표 [0] 15 4 2 5" xfId="2367" xr:uid="{89035913-8D14-4E6B-977E-41B33C0EA87C}"/>
    <cellStyle name="쉼표 [0] 15 4 3" xfId="406" xr:uid="{89035913-8D14-4E6B-977E-41B33C0EA87C}"/>
    <cellStyle name="쉼표 [0] 15 4 3 2" xfId="1466" xr:uid="{89035913-8D14-4E6B-977E-41B33C0EA87C}"/>
    <cellStyle name="쉼표 [0] 15 4 3 2 2" xfId="4893" xr:uid="{89035913-8D14-4E6B-977E-41B33C0EA87C}"/>
    <cellStyle name="쉼표 [0] 15 4 3 2 3" xfId="3180" xr:uid="{89035913-8D14-4E6B-977E-41B33C0EA87C}"/>
    <cellStyle name="쉼표 [0] 15 4 3 3" xfId="3836" xr:uid="{89035913-8D14-4E6B-977E-41B33C0EA87C}"/>
    <cellStyle name="쉼표 [0] 15 4 3 4" xfId="2123" xr:uid="{89035913-8D14-4E6B-977E-41B33C0EA87C}"/>
    <cellStyle name="쉼표 [0] 15 4 4" xfId="1302" xr:uid="{89035913-8D14-4E6B-977E-41B33C0EA87C}"/>
    <cellStyle name="쉼표 [0] 15 4 4 2" xfId="4729" xr:uid="{89035913-8D14-4E6B-977E-41B33C0EA87C}"/>
    <cellStyle name="쉼표 [0] 15 4 4 3" xfId="3016" xr:uid="{89035913-8D14-4E6B-977E-41B33C0EA87C}"/>
    <cellStyle name="쉼표 [0] 15 4 5" xfId="817" xr:uid="{89035913-8D14-4E6B-977E-41B33C0EA87C}"/>
    <cellStyle name="쉼표 [0] 15 4 5 2" xfId="4245" xr:uid="{89035913-8D14-4E6B-977E-41B33C0EA87C}"/>
    <cellStyle name="쉼표 [0] 15 4 5 3" xfId="2532" xr:uid="{89035913-8D14-4E6B-977E-41B33C0EA87C}"/>
    <cellStyle name="쉼표 [0] 15 4 6" xfId="3672" xr:uid="{89035913-8D14-4E6B-977E-41B33C0EA87C}"/>
    <cellStyle name="쉼표 [0] 15 4 7" xfId="1959" xr:uid="{89035913-8D14-4E6B-977E-41B33C0EA87C}"/>
    <cellStyle name="쉼표 [0] 15 5" xfId="158" xr:uid="{89035913-8D14-4E6B-977E-41B33C0EA87C}"/>
    <cellStyle name="쉼표 [0] 15 5 2" xfId="569" xr:uid="{89035913-8D14-4E6B-977E-41B33C0EA87C}"/>
    <cellStyle name="쉼표 [0] 15 5 2 2" xfId="1629" xr:uid="{89035913-8D14-4E6B-977E-41B33C0EA87C}"/>
    <cellStyle name="쉼표 [0] 15 5 2 2 2" xfId="5055" xr:uid="{89035913-8D14-4E6B-977E-41B33C0EA87C}"/>
    <cellStyle name="쉼표 [0] 15 5 2 2 3" xfId="3342" xr:uid="{89035913-8D14-4E6B-977E-41B33C0EA87C}"/>
    <cellStyle name="쉼표 [0] 15 5 2 3" xfId="3998" xr:uid="{89035913-8D14-4E6B-977E-41B33C0EA87C}"/>
    <cellStyle name="쉼표 [0] 15 5 2 4" xfId="2285" xr:uid="{89035913-8D14-4E6B-977E-41B33C0EA87C}"/>
    <cellStyle name="쉼표 [0] 15 5 3" xfId="1221" xr:uid="{89035913-8D14-4E6B-977E-41B33C0EA87C}"/>
    <cellStyle name="쉼표 [0] 15 5 3 2" xfId="4648" xr:uid="{89035913-8D14-4E6B-977E-41B33C0EA87C}"/>
    <cellStyle name="쉼표 [0] 15 5 3 3" xfId="2935" xr:uid="{89035913-8D14-4E6B-977E-41B33C0EA87C}"/>
    <cellStyle name="쉼표 [0] 15 5 4" xfId="979" xr:uid="{89035913-8D14-4E6B-977E-41B33C0EA87C}"/>
    <cellStyle name="쉼표 [0] 15 5 4 2" xfId="4407" xr:uid="{89035913-8D14-4E6B-977E-41B33C0EA87C}"/>
    <cellStyle name="쉼표 [0] 15 5 4 3" xfId="2694" xr:uid="{89035913-8D14-4E6B-977E-41B33C0EA87C}"/>
    <cellStyle name="쉼표 [0] 15 5 5" xfId="3590" xr:uid="{89035913-8D14-4E6B-977E-41B33C0EA87C}"/>
    <cellStyle name="쉼표 [0] 15 5 6" xfId="1877" xr:uid="{89035913-8D14-4E6B-977E-41B33C0EA87C}"/>
    <cellStyle name="쉼표 [0] 15 6" xfId="487" xr:uid="{89035913-8D14-4E6B-977E-41B33C0EA87C}"/>
    <cellStyle name="쉼표 [0] 15 6 2" xfId="1547" xr:uid="{89035913-8D14-4E6B-977E-41B33C0EA87C}"/>
    <cellStyle name="쉼표 [0] 15 6 2 2" xfId="4973" xr:uid="{89035913-8D14-4E6B-977E-41B33C0EA87C}"/>
    <cellStyle name="쉼표 [0] 15 6 2 3" xfId="3260" xr:uid="{89035913-8D14-4E6B-977E-41B33C0EA87C}"/>
    <cellStyle name="쉼표 [0] 15 6 3" xfId="897" xr:uid="{89035913-8D14-4E6B-977E-41B33C0EA87C}"/>
    <cellStyle name="쉼표 [0] 15 6 3 2" xfId="4325" xr:uid="{89035913-8D14-4E6B-977E-41B33C0EA87C}"/>
    <cellStyle name="쉼표 [0] 15 6 3 3" xfId="2612" xr:uid="{89035913-8D14-4E6B-977E-41B33C0EA87C}"/>
    <cellStyle name="쉼표 [0] 15 6 4" xfId="3916" xr:uid="{89035913-8D14-4E6B-977E-41B33C0EA87C}"/>
    <cellStyle name="쉼표 [0] 15 6 5" xfId="2203" xr:uid="{89035913-8D14-4E6B-977E-41B33C0EA87C}"/>
    <cellStyle name="쉼표 [0] 15 7" xfId="324" xr:uid="{89035913-8D14-4E6B-977E-41B33C0EA87C}"/>
    <cellStyle name="쉼표 [0] 15 7 2" xfId="1384" xr:uid="{89035913-8D14-4E6B-977E-41B33C0EA87C}"/>
    <cellStyle name="쉼표 [0] 15 7 2 2" xfId="4811" xr:uid="{89035913-8D14-4E6B-977E-41B33C0EA87C}"/>
    <cellStyle name="쉼표 [0] 15 7 2 3" xfId="3098" xr:uid="{89035913-8D14-4E6B-977E-41B33C0EA87C}"/>
    <cellStyle name="쉼표 [0] 15 7 3" xfId="3754" xr:uid="{89035913-8D14-4E6B-977E-41B33C0EA87C}"/>
    <cellStyle name="쉼표 [0] 15 7 4" xfId="2041" xr:uid="{89035913-8D14-4E6B-977E-41B33C0EA87C}"/>
    <cellStyle name="쉼표 [0] 15 8" xfId="1142" xr:uid="{89035913-8D14-4E6B-977E-41B33C0EA87C}"/>
    <cellStyle name="쉼표 [0] 15 8 2" xfId="4569" xr:uid="{89035913-8D14-4E6B-977E-41B33C0EA87C}"/>
    <cellStyle name="쉼표 [0] 15 8 3" xfId="2856" xr:uid="{89035913-8D14-4E6B-977E-41B33C0EA87C}"/>
    <cellStyle name="쉼표 [0] 15 9" xfId="735" xr:uid="{89035913-8D14-4E6B-977E-41B33C0EA87C}"/>
    <cellStyle name="쉼표 [0] 15 9 2" xfId="4163" xr:uid="{89035913-8D14-4E6B-977E-41B33C0EA87C}"/>
    <cellStyle name="쉼표 [0] 15 9 3" xfId="2450" xr:uid="{89035913-8D14-4E6B-977E-41B33C0EA87C}"/>
    <cellStyle name="쉼표 [0] 16" xfId="70" xr:uid="{9DF77479-F743-42CE-B553-53075B23B9D5}"/>
    <cellStyle name="쉼표 [0] 16 10" xfId="3509" xr:uid="{9DF77479-F743-42CE-B553-53075B23B9D5}"/>
    <cellStyle name="쉼표 [0] 16 11" xfId="1796" xr:uid="{9DF77479-F743-42CE-B553-53075B23B9D5}"/>
    <cellStyle name="쉼표 [0] 16 2" xfId="74" xr:uid="{069B9B96-C8BD-4AD2-8982-F823B4461277}"/>
    <cellStyle name="쉼표 [0] 16 2 10" xfId="1799" xr:uid="{069B9B96-C8BD-4AD2-8982-F823B4461277}"/>
    <cellStyle name="쉼표 [0] 16 2 2" xfId="113" xr:uid="{069B9B96-C8BD-4AD2-8982-F823B4461277}"/>
    <cellStyle name="쉼표 [0] 16 2 2 2" xfId="280" xr:uid="{069B9B96-C8BD-4AD2-8982-F823B4461277}"/>
    <cellStyle name="쉼표 [0] 16 2 2 2 2" xfId="691" xr:uid="{069B9B96-C8BD-4AD2-8982-F823B4461277}"/>
    <cellStyle name="쉼표 [0] 16 2 2 2 2 2" xfId="1751" xr:uid="{069B9B96-C8BD-4AD2-8982-F823B4461277}"/>
    <cellStyle name="쉼표 [0] 16 2 2 2 2 2 2" xfId="5177" xr:uid="{069B9B96-C8BD-4AD2-8982-F823B4461277}"/>
    <cellStyle name="쉼표 [0] 16 2 2 2 2 2 3" xfId="3464" xr:uid="{069B9B96-C8BD-4AD2-8982-F823B4461277}"/>
    <cellStyle name="쉼표 [0] 16 2 2 2 2 3" xfId="1101" xr:uid="{069B9B96-C8BD-4AD2-8982-F823B4461277}"/>
    <cellStyle name="쉼표 [0] 16 2 2 2 2 3 2" xfId="4529" xr:uid="{069B9B96-C8BD-4AD2-8982-F823B4461277}"/>
    <cellStyle name="쉼표 [0] 16 2 2 2 2 3 3" xfId="2816" xr:uid="{069B9B96-C8BD-4AD2-8982-F823B4461277}"/>
    <cellStyle name="쉼표 [0] 16 2 2 2 2 4" xfId="4120" xr:uid="{069B9B96-C8BD-4AD2-8982-F823B4461277}"/>
    <cellStyle name="쉼표 [0] 16 2 2 2 2 5" xfId="2407" xr:uid="{069B9B96-C8BD-4AD2-8982-F823B4461277}"/>
    <cellStyle name="쉼표 [0] 16 2 2 2 3" xfId="446" xr:uid="{069B9B96-C8BD-4AD2-8982-F823B4461277}"/>
    <cellStyle name="쉼표 [0] 16 2 2 2 3 2" xfId="1506" xr:uid="{069B9B96-C8BD-4AD2-8982-F823B4461277}"/>
    <cellStyle name="쉼표 [0] 16 2 2 2 3 2 2" xfId="4933" xr:uid="{069B9B96-C8BD-4AD2-8982-F823B4461277}"/>
    <cellStyle name="쉼표 [0] 16 2 2 2 3 2 3" xfId="3220" xr:uid="{069B9B96-C8BD-4AD2-8982-F823B4461277}"/>
    <cellStyle name="쉼표 [0] 16 2 2 2 3 3" xfId="3876" xr:uid="{069B9B96-C8BD-4AD2-8982-F823B4461277}"/>
    <cellStyle name="쉼표 [0] 16 2 2 2 3 4" xfId="2163" xr:uid="{069B9B96-C8BD-4AD2-8982-F823B4461277}"/>
    <cellStyle name="쉼표 [0] 16 2 2 2 4" xfId="1342" xr:uid="{069B9B96-C8BD-4AD2-8982-F823B4461277}"/>
    <cellStyle name="쉼표 [0] 16 2 2 2 4 2" xfId="4769" xr:uid="{069B9B96-C8BD-4AD2-8982-F823B4461277}"/>
    <cellStyle name="쉼표 [0] 16 2 2 2 4 3" xfId="3056" xr:uid="{069B9B96-C8BD-4AD2-8982-F823B4461277}"/>
    <cellStyle name="쉼표 [0] 16 2 2 2 5" xfId="857" xr:uid="{069B9B96-C8BD-4AD2-8982-F823B4461277}"/>
    <cellStyle name="쉼표 [0] 16 2 2 2 5 2" xfId="4285" xr:uid="{069B9B96-C8BD-4AD2-8982-F823B4461277}"/>
    <cellStyle name="쉼표 [0] 16 2 2 2 5 3" xfId="2572" xr:uid="{069B9B96-C8BD-4AD2-8982-F823B4461277}"/>
    <cellStyle name="쉼표 [0] 16 2 2 2 6" xfId="3712" xr:uid="{069B9B96-C8BD-4AD2-8982-F823B4461277}"/>
    <cellStyle name="쉼표 [0] 16 2 2 2 7" xfId="1999" xr:uid="{069B9B96-C8BD-4AD2-8982-F823B4461277}"/>
    <cellStyle name="쉼표 [0] 16 2 2 3" xfId="198" xr:uid="{069B9B96-C8BD-4AD2-8982-F823B4461277}"/>
    <cellStyle name="쉼표 [0] 16 2 2 3 2" xfId="609" xr:uid="{069B9B96-C8BD-4AD2-8982-F823B4461277}"/>
    <cellStyle name="쉼표 [0] 16 2 2 3 2 2" xfId="1669" xr:uid="{069B9B96-C8BD-4AD2-8982-F823B4461277}"/>
    <cellStyle name="쉼표 [0] 16 2 2 3 2 2 2" xfId="5095" xr:uid="{069B9B96-C8BD-4AD2-8982-F823B4461277}"/>
    <cellStyle name="쉼표 [0] 16 2 2 3 2 2 3" xfId="3382" xr:uid="{069B9B96-C8BD-4AD2-8982-F823B4461277}"/>
    <cellStyle name="쉼표 [0] 16 2 2 3 2 3" xfId="4038" xr:uid="{069B9B96-C8BD-4AD2-8982-F823B4461277}"/>
    <cellStyle name="쉼표 [0] 16 2 2 3 2 4" xfId="2325" xr:uid="{069B9B96-C8BD-4AD2-8982-F823B4461277}"/>
    <cellStyle name="쉼표 [0] 16 2 2 3 3" xfId="1261" xr:uid="{069B9B96-C8BD-4AD2-8982-F823B4461277}"/>
    <cellStyle name="쉼표 [0] 16 2 2 3 3 2" xfId="4688" xr:uid="{069B9B96-C8BD-4AD2-8982-F823B4461277}"/>
    <cellStyle name="쉼표 [0] 16 2 2 3 3 3" xfId="2975" xr:uid="{069B9B96-C8BD-4AD2-8982-F823B4461277}"/>
    <cellStyle name="쉼표 [0] 16 2 2 3 4" xfId="1019" xr:uid="{069B9B96-C8BD-4AD2-8982-F823B4461277}"/>
    <cellStyle name="쉼표 [0] 16 2 2 3 4 2" xfId="4447" xr:uid="{069B9B96-C8BD-4AD2-8982-F823B4461277}"/>
    <cellStyle name="쉼표 [0] 16 2 2 3 4 3" xfId="2734" xr:uid="{069B9B96-C8BD-4AD2-8982-F823B4461277}"/>
    <cellStyle name="쉼표 [0] 16 2 2 3 5" xfId="3630" xr:uid="{069B9B96-C8BD-4AD2-8982-F823B4461277}"/>
    <cellStyle name="쉼표 [0] 16 2 2 3 6" xfId="1917" xr:uid="{069B9B96-C8BD-4AD2-8982-F823B4461277}"/>
    <cellStyle name="쉼표 [0] 16 2 2 4" xfId="527" xr:uid="{069B9B96-C8BD-4AD2-8982-F823B4461277}"/>
    <cellStyle name="쉼표 [0] 16 2 2 4 2" xfId="1587" xr:uid="{069B9B96-C8BD-4AD2-8982-F823B4461277}"/>
    <cellStyle name="쉼표 [0] 16 2 2 4 2 2" xfId="5013" xr:uid="{069B9B96-C8BD-4AD2-8982-F823B4461277}"/>
    <cellStyle name="쉼표 [0] 16 2 2 4 2 3" xfId="3300" xr:uid="{069B9B96-C8BD-4AD2-8982-F823B4461277}"/>
    <cellStyle name="쉼표 [0] 16 2 2 4 3" xfId="937" xr:uid="{069B9B96-C8BD-4AD2-8982-F823B4461277}"/>
    <cellStyle name="쉼표 [0] 16 2 2 4 3 2" xfId="4365" xr:uid="{069B9B96-C8BD-4AD2-8982-F823B4461277}"/>
    <cellStyle name="쉼표 [0] 16 2 2 4 3 3" xfId="2652" xr:uid="{069B9B96-C8BD-4AD2-8982-F823B4461277}"/>
    <cellStyle name="쉼표 [0] 16 2 2 4 4" xfId="3956" xr:uid="{069B9B96-C8BD-4AD2-8982-F823B4461277}"/>
    <cellStyle name="쉼표 [0] 16 2 2 4 5" xfId="2243" xr:uid="{069B9B96-C8BD-4AD2-8982-F823B4461277}"/>
    <cellStyle name="쉼표 [0] 16 2 2 5" xfId="364" xr:uid="{069B9B96-C8BD-4AD2-8982-F823B4461277}"/>
    <cellStyle name="쉼표 [0] 16 2 2 5 2" xfId="1424" xr:uid="{069B9B96-C8BD-4AD2-8982-F823B4461277}"/>
    <cellStyle name="쉼표 [0] 16 2 2 5 2 2" xfId="4851" xr:uid="{069B9B96-C8BD-4AD2-8982-F823B4461277}"/>
    <cellStyle name="쉼표 [0] 16 2 2 5 2 3" xfId="3138" xr:uid="{069B9B96-C8BD-4AD2-8982-F823B4461277}"/>
    <cellStyle name="쉼표 [0] 16 2 2 5 3" xfId="3794" xr:uid="{069B9B96-C8BD-4AD2-8982-F823B4461277}"/>
    <cellStyle name="쉼표 [0] 16 2 2 5 4" xfId="2081" xr:uid="{069B9B96-C8BD-4AD2-8982-F823B4461277}"/>
    <cellStyle name="쉼표 [0] 16 2 2 6" xfId="1182" xr:uid="{069B9B96-C8BD-4AD2-8982-F823B4461277}"/>
    <cellStyle name="쉼표 [0] 16 2 2 6 2" xfId="4609" xr:uid="{069B9B96-C8BD-4AD2-8982-F823B4461277}"/>
    <cellStyle name="쉼표 [0] 16 2 2 6 3" xfId="2896" xr:uid="{069B9B96-C8BD-4AD2-8982-F823B4461277}"/>
    <cellStyle name="쉼표 [0] 16 2 2 7" xfId="775" xr:uid="{069B9B96-C8BD-4AD2-8982-F823B4461277}"/>
    <cellStyle name="쉼표 [0] 16 2 2 7 2" xfId="4203" xr:uid="{069B9B96-C8BD-4AD2-8982-F823B4461277}"/>
    <cellStyle name="쉼표 [0] 16 2 2 7 3" xfId="2490" xr:uid="{069B9B96-C8BD-4AD2-8982-F823B4461277}"/>
    <cellStyle name="쉼표 [0] 16 2 2 8" xfId="3548" xr:uid="{069B9B96-C8BD-4AD2-8982-F823B4461277}"/>
    <cellStyle name="쉼표 [0] 16 2 2 9" xfId="1835" xr:uid="{069B9B96-C8BD-4AD2-8982-F823B4461277}"/>
    <cellStyle name="쉼표 [0] 16 2 3" xfId="244" xr:uid="{069B9B96-C8BD-4AD2-8982-F823B4461277}"/>
    <cellStyle name="쉼표 [0] 16 2 3 2" xfId="655" xr:uid="{069B9B96-C8BD-4AD2-8982-F823B4461277}"/>
    <cellStyle name="쉼표 [0] 16 2 3 2 2" xfId="1715" xr:uid="{069B9B96-C8BD-4AD2-8982-F823B4461277}"/>
    <cellStyle name="쉼표 [0] 16 2 3 2 2 2" xfId="5141" xr:uid="{069B9B96-C8BD-4AD2-8982-F823B4461277}"/>
    <cellStyle name="쉼표 [0] 16 2 3 2 2 3" xfId="3428" xr:uid="{069B9B96-C8BD-4AD2-8982-F823B4461277}"/>
    <cellStyle name="쉼표 [0] 16 2 3 2 3" xfId="1065" xr:uid="{069B9B96-C8BD-4AD2-8982-F823B4461277}"/>
    <cellStyle name="쉼표 [0] 16 2 3 2 3 2" xfId="4493" xr:uid="{069B9B96-C8BD-4AD2-8982-F823B4461277}"/>
    <cellStyle name="쉼표 [0] 16 2 3 2 3 3" xfId="2780" xr:uid="{069B9B96-C8BD-4AD2-8982-F823B4461277}"/>
    <cellStyle name="쉼표 [0] 16 2 3 2 4" xfId="4084" xr:uid="{069B9B96-C8BD-4AD2-8982-F823B4461277}"/>
    <cellStyle name="쉼표 [0] 16 2 3 2 5" xfId="2371" xr:uid="{069B9B96-C8BD-4AD2-8982-F823B4461277}"/>
    <cellStyle name="쉼표 [0] 16 2 3 3" xfId="410" xr:uid="{069B9B96-C8BD-4AD2-8982-F823B4461277}"/>
    <cellStyle name="쉼표 [0] 16 2 3 3 2" xfId="1470" xr:uid="{069B9B96-C8BD-4AD2-8982-F823B4461277}"/>
    <cellStyle name="쉼표 [0] 16 2 3 3 2 2" xfId="4897" xr:uid="{069B9B96-C8BD-4AD2-8982-F823B4461277}"/>
    <cellStyle name="쉼표 [0] 16 2 3 3 2 3" xfId="3184" xr:uid="{069B9B96-C8BD-4AD2-8982-F823B4461277}"/>
    <cellStyle name="쉼표 [0] 16 2 3 3 3" xfId="3840" xr:uid="{069B9B96-C8BD-4AD2-8982-F823B4461277}"/>
    <cellStyle name="쉼표 [0] 16 2 3 3 4" xfId="2127" xr:uid="{069B9B96-C8BD-4AD2-8982-F823B4461277}"/>
    <cellStyle name="쉼표 [0] 16 2 3 4" xfId="1306" xr:uid="{069B9B96-C8BD-4AD2-8982-F823B4461277}"/>
    <cellStyle name="쉼표 [0] 16 2 3 4 2" xfId="4733" xr:uid="{069B9B96-C8BD-4AD2-8982-F823B4461277}"/>
    <cellStyle name="쉼표 [0] 16 2 3 4 3" xfId="3020" xr:uid="{069B9B96-C8BD-4AD2-8982-F823B4461277}"/>
    <cellStyle name="쉼표 [0] 16 2 3 5" xfId="821" xr:uid="{069B9B96-C8BD-4AD2-8982-F823B4461277}"/>
    <cellStyle name="쉼표 [0] 16 2 3 5 2" xfId="4249" xr:uid="{069B9B96-C8BD-4AD2-8982-F823B4461277}"/>
    <cellStyle name="쉼표 [0] 16 2 3 5 3" xfId="2536" xr:uid="{069B9B96-C8BD-4AD2-8982-F823B4461277}"/>
    <cellStyle name="쉼표 [0] 16 2 3 6" xfId="3676" xr:uid="{069B9B96-C8BD-4AD2-8982-F823B4461277}"/>
    <cellStyle name="쉼표 [0] 16 2 3 7" xfId="1963" xr:uid="{069B9B96-C8BD-4AD2-8982-F823B4461277}"/>
    <cellStyle name="쉼표 [0] 16 2 4" xfId="162" xr:uid="{069B9B96-C8BD-4AD2-8982-F823B4461277}"/>
    <cellStyle name="쉼표 [0] 16 2 4 2" xfId="573" xr:uid="{069B9B96-C8BD-4AD2-8982-F823B4461277}"/>
    <cellStyle name="쉼표 [0] 16 2 4 2 2" xfId="1633" xr:uid="{069B9B96-C8BD-4AD2-8982-F823B4461277}"/>
    <cellStyle name="쉼표 [0] 16 2 4 2 2 2" xfId="5059" xr:uid="{069B9B96-C8BD-4AD2-8982-F823B4461277}"/>
    <cellStyle name="쉼표 [0] 16 2 4 2 2 3" xfId="3346" xr:uid="{069B9B96-C8BD-4AD2-8982-F823B4461277}"/>
    <cellStyle name="쉼표 [0] 16 2 4 2 3" xfId="4002" xr:uid="{069B9B96-C8BD-4AD2-8982-F823B4461277}"/>
    <cellStyle name="쉼표 [0] 16 2 4 2 4" xfId="2289" xr:uid="{069B9B96-C8BD-4AD2-8982-F823B4461277}"/>
    <cellStyle name="쉼표 [0] 16 2 4 3" xfId="1225" xr:uid="{069B9B96-C8BD-4AD2-8982-F823B4461277}"/>
    <cellStyle name="쉼표 [0] 16 2 4 3 2" xfId="4652" xr:uid="{069B9B96-C8BD-4AD2-8982-F823B4461277}"/>
    <cellStyle name="쉼표 [0] 16 2 4 3 3" xfId="2939" xr:uid="{069B9B96-C8BD-4AD2-8982-F823B4461277}"/>
    <cellStyle name="쉼표 [0] 16 2 4 4" xfId="983" xr:uid="{069B9B96-C8BD-4AD2-8982-F823B4461277}"/>
    <cellStyle name="쉼표 [0] 16 2 4 4 2" xfId="4411" xr:uid="{069B9B96-C8BD-4AD2-8982-F823B4461277}"/>
    <cellStyle name="쉼표 [0] 16 2 4 4 3" xfId="2698" xr:uid="{069B9B96-C8BD-4AD2-8982-F823B4461277}"/>
    <cellStyle name="쉼표 [0] 16 2 4 5" xfId="3594" xr:uid="{069B9B96-C8BD-4AD2-8982-F823B4461277}"/>
    <cellStyle name="쉼표 [0] 16 2 4 6" xfId="1881" xr:uid="{069B9B96-C8BD-4AD2-8982-F823B4461277}"/>
    <cellStyle name="쉼표 [0] 16 2 5" xfId="491" xr:uid="{069B9B96-C8BD-4AD2-8982-F823B4461277}"/>
    <cellStyle name="쉼표 [0] 16 2 5 2" xfId="1551" xr:uid="{069B9B96-C8BD-4AD2-8982-F823B4461277}"/>
    <cellStyle name="쉼표 [0] 16 2 5 2 2" xfId="4977" xr:uid="{069B9B96-C8BD-4AD2-8982-F823B4461277}"/>
    <cellStyle name="쉼표 [0] 16 2 5 2 3" xfId="3264" xr:uid="{069B9B96-C8BD-4AD2-8982-F823B4461277}"/>
    <cellStyle name="쉼표 [0] 16 2 5 3" xfId="901" xr:uid="{069B9B96-C8BD-4AD2-8982-F823B4461277}"/>
    <cellStyle name="쉼표 [0] 16 2 5 3 2" xfId="4329" xr:uid="{069B9B96-C8BD-4AD2-8982-F823B4461277}"/>
    <cellStyle name="쉼표 [0] 16 2 5 3 3" xfId="2616" xr:uid="{069B9B96-C8BD-4AD2-8982-F823B4461277}"/>
    <cellStyle name="쉼표 [0] 16 2 5 4" xfId="3920" xr:uid="{069B9B96-C8BD-4AD2-8982-F823B4461277}"/>
    <cellStyle name="쉼표 [0] 16 2 5 5" xfId="2207" xr:uid="{069B9B96-C8BD-4AD2-8982-F823B4461277}"/>
    <cellStyle name="쉼표 [0] 16 2 6" xfId="328" xr:uid="{069B9B96-C8BD-4AD2-8982-F823B4461277}"/>
    <cellStyle name="쉼표 [0] 16 2 6 2" xfId="1388" xr:uid="{069B9B96-C8BD-4AD2-8982-F823B4461277}"/>
    <cellStyle name="쉼표 [0] 16 2 6 2 2" xfId="4815" xr:uid="{069B9B96-C8BD-4AD2-8982-F823B4461277}"/>
    <cellStyle name="쉼표 [0] 16 2 6 2 3" xfId="3102" xr:uid="{069B9B96-C8BD-4AD2-8982-F823B4461277}"/>
    <cellStyle name="쉼표 [0] 16 2 6 3" xfId="3758" xr:uid="{069B9B96-C8BD-4AD2-8982-F823B4461277}"/>
    <cellStyle name="쉼표 [0] 16 2 6 4" xfId="2045" xr:uid="{069B9B96-C8BD-4AD2-8982-F823B4461277}"/>
    <cellStyle name="쉼표 [0] 16 2 7" xfId="1146" xr:uid="{069B9B96-C8BD-4AD2-8982-F823B4461277}"/>
    <cellStyle name="쉼표 [0] 16 2 7 2" xfId="4573" xr:uid="{069B9B96-C8BD-4AD2-8982-F823B4461277}"/>
    <cellStyle name="쉼표 [0] 16 2 7 3" xfId="2860" xr:uid="{069B9B96-C8BD-4AD2-8982-F823B4461277}"/>
    <cellStyle name="쉼표 [0] 16 2 8" xfId="739" xr:uid="{069B9B96-C8BD-4AD2-8982-F823B4461277}"/>
    <cellStyle name="쉼표 [0] 16 2 8 2" xfId="4167" xr:uid="{069B9B96-C8BD-4AD2-8982-F823B4461277}"/>
    <cellStyle name="쉼표 [0] 16 2 8 3" xfId="2454" xr:uid="{069B9B96-C8BD-4AD2-8982-F823B4461277}"/>
    <cellStyle name="쉼표 [0] 16 2 9" xfId="3512" xr:uid="{069B9B96-C8BD-4AD2-8982-F823B4461277}"/>
    <cellStyle name="쉼표 [0] 16 3" xfId="110" xr:uid="{9DF77479-F743-42CE-B553-53075B23B9D5}"/>
    <cellStyle name="쉼표 [0] 16 3 2" xfId="277" xr:uid="{9DF77479-F743-42CE-B553-53075B23B9D5}"/>
    <cellStyle name="쉼표 [0] 16 3 2 2" xfId="688" xr:uid="{9DF77479-F743-42CE-B553-53075B23B9D5}"/>
    <cellStyle name="쉼표 [0] 16 3 2 2 2" xfId="1748" xr:uid="{9DF77479-F743-42CE-B553-53075B23B9D5}"/>
    <cellStyle name="쉼표 [0] 16 3 2 2 2 2" xfId="5174" xr:uid="{9DF77479-F743-42CE-B553-53075B23B9D5}"/>
    <cellStyle name="쉼표 [0] 16 3 2 2 2 3" xfId="3461" xr:uid="{9DF77479-F743-42CE-B553-53075B23B9D5}"/>
    <cellStyle name="쉼표 [0] 16 3 2 2 3" xfId="1098" xr:uid="{9DF77479-F743-42CE-B553-53075B23B9D5}"/>
    <cellStyle name="쉼표 [0] 16 3 2 2 3 2" xfId="4526" xr:uid="{9DF77479-F743-42CE-B553-53075B23B9D5}"/>
    <cellStyle name="쉼표 [0] 16 3 2 2 3 3" xfId="2813" xr:uid="{9DF77479-F743-42CE-B553-53075B23B9D5}"/>
    <cellStyle name="쉼표 [0] 16 3 2 2 4" xfId="4117" xr:uid="{9DF77479-F743-42CE-B553-53075B23B9D5}"/>
    <cellStyle name="쉼표 [0] 16 3 2 2 5" xfId="2404" xr:uid="{9DF77479-F743-42CE-B553-53075B23B9D5}"/>
    <cellStyle name="쉼표 [0] 16 3 2 3" xfId="443" xr:uid="{9DF77479-F743-42CE-B553-53075B23B9D5}"/>
    <cellStyle name="쉼표 [0] 16 3 2 3 2" xfId="1503" xr:uid="{9DF77479-F743-42CE-B553-53075B23B9D5}"/>
    <cellStyle name="쉼표 [0] 16 3 2 3 2 2" xfId="4930" xr:uid="{9DF77479-F743-42CE-B553-53075B23B9D5}"/>
    <cellStyle name="쉼표 [0] 16 3 2 3 2 3" xfId="3217" xr:uid="{9DF77479-F743-42CE-B553-53075B23B9D5}"/>
    <cellStyle name="쉼표 [0] 16 3 2 3 3" xfId="3873" xr:uid="{9DF77479-F743-42CE-B553-53075B23B9D5}"/>
    <cellStyle name="쉼표 [0] 16 3 2 3 4" xfId="2160" xr:uid="{9DF77479-F743-42CE-B553-53075B23B9D5}"/>
    <cellStyle name="쉼표 [0] 16 3 2 4" xfId="1339" xr:uid="{9DF77479-F743-42CE-B553-53075B23B9D5}"/>
    <cellStyle name="쉼표 [0] 16 3 2 4 2" xfId="4766" xr:uid="{9DF77479-F743-42CE-B553-53075B23B9D5}"/>
    <cellStyle name="쉼표 [0] 16 3 2 4 3" xfId="3053" xr:uid="{9DF77479-F743-42CE-B553-53075B23B9D5}"/>
    <cellStyle name="쉼표 [0] 16 3 2 5" xfId="854" xr:uid="{9DF77479-F743-42CE-B553-53075B23B9D5}"/>
    <cellStyle name="쉼표 [0] 16 3 2 5 2" xfId="4282" xr:uid="{9DF77479-F743-42CE-B553-53075B23B9D5}"/>
    <cellStyle name="쉼표 [0] 16 3 2 5 3" xfId="2569" xr:uid="{9DF77479-F743-42CE-B553-53075B23B9D5}"/>
    <cellStyle name="쉼표 [0] 16 3 2 6" xfId="3709" xr:uid="{9DF77479-F743-42CE-B553-53075B23B9D5}"/>
    <cellStyle name="쉼표 [0] 16 3 2 7" xfId="1996" xr:uid="{9DF77479-F743-42CE-B553-53075B23B9D5}"/>
    <cellStyle name="쉼표 [0] 16 3 3" xfId="195" xr:uid="{9DF77479-F743-42CE-B553-53075B23B9D5}"/>
    <cellStyle name="쉼표 [0] 16 3 3 2" xfId="606" xr:uid="{9DF77479-F743-42CE-B553-53075B23B9D5}"/>
    <cellStyle name="쉼표 [0] 16 3 3 2 2" xfId="1666" xr:uid="{9DF77479-F743-42CE-B553-53075B23B9D5}"/>
    <cellStyle name="쉼표 [0] 16 3 3 2 2 2" xfId="5092" xr:uid="{9DF77479-F743-42CE-B553-53075B23B9D5}"/>
    <cellStyle name="쉼표 [0] 16 3 3 2 2 3" xfId="3379" xr:uid="{9DF77479-F743-42CE-B553-53075B23B9D5}"/>
    <cellStyle name="쉼표 [0] 16 3 3 2 3" xfId="4035" xr:uid="{9DF77479-F743-42CE-B553-53075B23B9D5}"/>
    <cellStyle name="쉼표 [0] 16 3 3 2 4" xfId="2322" xr:uid="{9DF77479-F743-42CE-B553-53075B23B9D5}"/>
    <cellStyle name="쉼표 [0] 16 3 3 3" xfId="1258" xr:uid="{9DF77479-F743-42CE-B553-53075B23B9D5}"/>
    <cellStyle name="쉼표 [0] 16 3 3 3 2" xfId="4685" xr:uid="{9DF77479-F743-42CE-B553-53075B23B9D5}"/>
    <cellStyle name="쉼표 [0] 16 3 3 3 3" xfId="2972" xr:uid="{9DF77479-F743-42CE-B553-53075B23B9D5}"/>
    <cellStyle name="쉼표 [0] 16 3 3 4" xfId="1016" xr:uid="{9DF77479-F743-42CE-B553-53075B23B9D5}"/>
    <cellStyle name="쉼표 [0] 16 3 3 4 2" xfId="4444" xr:uid="{9DF77479-F743-42CE-B553-53075B23B9D5}"/>
    <cellStyle name="쉼표 [0] 16 3 3 4 3" xfId="2731" xr:uid="{9DF77479-F743-42CE-B553-53075B23B9D5}"/>
    <cellStyle name="쉼표 [0] 16 3 3 5" xfId="3627" xr:uid="{9DF77479-F743-42CE-B553-53075B23B9D5}"/>
    <cellStyle name="쉼표 [0] 16 3 3 6" xfId="1914" xr:uid="{9DF77479-F743-42CE-B553-53075B23B9D5}"/>
    <cellStyle name="쉼표 [0] 16 3 4" xfId="524" xr:uid="{9DF77479-F743-42CE-B553-53075B23B9D5}"/>
    <cellStyle name="쉼표 [0] 16 3 4 2" xfId="1584" xr:uid="{9DF77479-F743-42CE-B553-53075B23B9D5}"/>
    <cellStyle name="쉼표 [0] 16 3 4 2 2" xfId="5010" xr:uid="{9DF77479-F743-42CE-B553-53075B23B9D5}"/>
    <cellStyle name="쉼표 [0] 16 3 4 2 3" xfId="3297" xr:uid="{9DF77479-F743-42CE-B553-53075B23B9D5}"/>
    <cellStyle name="쉼표 [0] 16 3 4 3" xfId="934" xr:uid="{9DF77479-F743-42CE-B553-53075B23B9D5}"/>
    <cellStyle name="쉼표 [0] 16 3 4 3 2" xfId="4362" xr:uid="{9DF77479-F743-42CE-B553-53075B23B9D5}"/>
    <cellStyle name="쉼표 [0] 16 3 4 3 3" xfId="2649" xr:uid="{9DF77479-F743-42CE-B553-53075B23B9D5}"/>
    <cellStyle name="쉼표 [0] 16 3 4 4" xfId="3953" xr:uid="{9DF77479-F743-42CE-B553-53075B23B9D5}"/>
    <cellStyle name="쉼표 [0] 16 3 4 5" xfId="2240" xr:uid="{9DF77479-F743-42CE-B553-53075B23B9D5}"/>
    <cellStyle name="쉼표 [0] 16 3 5" xfId="361" xr:uid="{9DF77479-F743-42CE-B553-53075B23B9D5}"/>
    <cellStyle name="쉼표 [0] 16 3 5 2" xfId="1421" xr:uid="{9DF77479-F743-42CE-B553-53075B23B9D5}"/>
    <cellStyle name="쉼표 [0] 16 3 5 2 2" xfId="4848" xr:uid="{9DF77479-F743-42CE-B553-53075B23B9D5}"/>
    <cellStyle name="쉼표 [0] 16 3 5 2 3" xfId="3135" xr:uid="{9DF77479-F743-42CE-B553-53075B23B9D5}"/>
    <cellStyle name="쉼표 [0] 16 3 5 3" xfId="3791" xr:uid="{9DF77479-F743-42CE-B553-53075B23B9D5}"/>
    <cellStyle name="쉼표 [0] 16 3 5 4" xfId="2078" xr:uid="{9DF77479-F743-42CE-B553-53075B23B9D5}"/>
    <cellStyle name="쉼표 [0] 16 3 6" xfId="1179" xr:uid="{9DF77479-F743-42CE-B553-53075B23B9D5}"/>
    <cellStyle name="쉼표 [0] 16 3 6 2" xfId="4606" xr:uid="{9DF77479-F743-42CE-B553-53075B23B9D5}"/>
    <cellStyle name="쉼표 [0] 16 3 6 3" xfId="2893" xr:uid="{9DF77479-F743-42CE-B553-53075B23B9D5}"/>
    <cellStyle name="쉼표 [0] 16 3 7" xfId="772" xr:uid="{9DF77479-F743-42CE-B553-53075B23B9D5}"/>
    <cellStyle name="쉼표 [0] 16 3 7 2" xfId="4200" xr:uid="{9DF77479-F743-42CE-B553-53075B23B9D5}"/>
    <cellStyle name="쉼표 [0] 16 3 7 3" xfId="2487" xr:uid="{9DF77479-F743-42CE-B553-53075B23B9D5}"/>
    <cellStyle name="쉼표 [0] 16 3 8" xfId="3545" xr:uid="{9DF77479-F743-42CE-B553-53075B23B9D5}"/>
    <cellStyle name="쉼표 [0] 16 3 9" xfId="1832" xr:uid="{9DF77479-F743-42CE-B553-53075B23B9D5}"/>
    <cellStyle name="쉼표 [0] 16 4" xfId="241" xr:uid="{9DF77479-F743-42CE-B553-53075B23B9D5}"/>
    <cellStyle name="쉼표 [0] 16 4 2" xfId="652" xr:uid="{9DF77479-F743-42CE-B553-53075B23B9D5}"/>
    <cellStyle name="쉼표 [0] 16 4 2 2" xfId="1712" xr:uid="{9DF77479-F743-42CE-B553-53075B23B9D5}"/>
    <cellStyle name="쉼표 [0] 16 4 2 2 2" xfId="5138" xr:uid="{9DF77479-F743-42CE-B553-53075B23B9D5}"/>
    <cellStyle name="쉼표 [0] 16 4 2 2 3" xfId="3425" xr:uid="{9DF77479-F743-42CE-B553-53075B23B9D5}"/>
    <cellStyle name="쉼표 [0] 16 4 2 3" xfId="1062" xr:uid="{9DF77479-F743-42CE-B553-53075B23B9D5}"/>
    <cellStyle name="쉼표 [0] 16 4 2 3 2" xfId="4490" xr:uid="{9DF77479-F743-42CE-B553-53075B23B9D5}"/>
    <cellStyle name="쉼표 [0] 16 4 2 3 3" xfId="2777" xr:uid="{9DF77479-F743-42CE-B553-53075B23B9D5}"/>
    <cellStyle name="쉼표 [0] 16 4 2 4" xfId="4081" xr:uid="{9DF77479-F743-42CE-B553-53075B23B9D5}"/>
    <cellStyle name="쉼표 [0] 16 4 2 5" xfId="2368" xr:uid="{9DF77479-F743-42CE-B553-53075B23B9D5}"/>
    <cellStyle name="쉼표 [0] 16 4 3" xfId="407" xr:uid="{9DF77479-F743-42CE-B553-53075B23B9D5}"/>
    <cellStyle name="쉼표 [0] 16 4 3 2" xfId="1467" xr:uid="{9DF77479-F743-42CE-B553-53075B23B9D5}"/>
    <cellStyle name="쉼표 [0] 16 4 3 2 2" xfId="4894" xr:uid="{9DF77479-F743-42CE-B553-53075B23B9D5}"/>
    <cellStyle name="쉼표 [0] 16 4 3 2 3" xfId="3181" xr:uid="{9DF77479-F743-42CE-B553-53075B23B9D5}"/>
    <cellStyle name="쉼표 [0] 16 4 3 3" xfId="3837" xr:uid="{9DF77479-F743-42CE-B553-53075B23B9D5}"/>
    <cellStyle name="쉼표 [0] 16 4 3 4" xfId="2124" xr:uid="{9DF77479-F743-42CE-B553-53075B23B9D5}"/>
    <cellStyle name="쉼표 [0] 16 4 4" xfId="1303" xr:uid="{9DF77479-F743-42CE-B553-53075B23B9D5}"/>
    <cellStyle name="쉼표 [0] 16 4 4 2" xfId="4730" xr:uid="{9DF77479-F743-42CE-B553-53075B23B9D5}"/>
    <cellStyle name="쉼표 [0] 16 4 4 3" xfId="3017" xr:uid="{9DF77479-F743-42CE-B553-53075B23B9D5}"/>
    <cellStyle name="쉼표 [0] 16 4 5" xfId="818" xr:uid="{9DF77479-F743-42CE-B553-53075B23B9D5}"/>
    <cellStyle name="쉼표 [0] 16 4 5 2" xfId="4246" xr:uid="{9DF77479-F743-42CE-B553-53075B23B9D5}"/>
    <cellStyle name="쉼표 [0] 16 4 5 3" xfId="2533" xr:uid="{9DF77479-F743-42CE-B553-53075B23B9D5}"/>
    <cellStyle name="쉼표 [0] 16 4 6" xfId="3673" xr:uid="{9DF77479-F743-42CE-B553-53075B23B9D5}"/>
    <cellStyle name="쉼표 [0] 16 4 7" xfId="1960" xr:uid="{9DF77479-F743-42CE-B553-53075B23B9D5}"/>
    <cellStyle name="쉼표 [0] 16 5" xfId="159" xr:uid="{9DF77479-F743-42CE-B553-53075B23B9D5}"/>
    <cellStyle name="쉼표 [0] 16 5 2" xfId="570" xr:uid="{9DF77479-F743-42CE-B553-53075B23B9D5}"/>
    <cellStyle name="쉼표 [0] 16 5 2 2" xfId="1630" xr:uid="{9DF77479-F743-42CE-B553-53075B23B9D5}"/>
    <cellStyle name="쉼표 [0] 16 5 2 2 2" xfId="5056" xr:uid="{9DF77479-F743-42CE-B553-53075B23B9D5}"/>
    <cellStyle name="쉼표 [0] 16 5 2 2 3" xfId="3343" xr:uid="{9DF77479-F743-42CE-B553-53075B23B9D5}"/>
    <cellStyle name="쉼표 [0] 16 5 2 3" xfId="3999" xr:uid="{9DF77479-F743-42CE-B553-53075B23B9D5}"/>
    <cellStyle name="쉼표 [0] 16 5 2 4" xfId="2286" xr:uid="{9DF77479-F743-42CE-B553-53075B23B9D5}"/>
    <cellStyle name="쉼표 [0] 16 5 3" xfId="1222" xr:uid="{9DF77479-F743-42CE-B553-53075B23B9D5}"/>
    <cellStyle name="쉼표 [0] 16 5 3 2" xfId="4649" xr:uid="{9DF77479-F743-42CE-B553-53075B23B9D5}"/>
    <cellStyle name="쉼표 [0] 16 5 3 3" xfId="2936" xr:uid="{9DF77479-F743-42CE-B553-53075B23B9D5}"/>
    <cellStyle name="쉼표 [0] 16 5 4" xfId="980" xr:uid="{9DF77479-F743-42CE-B553-53075B23B9D5}"/>
    <cellStyle name="쉼표 [0] 16 5 4 2" xfId="4408" xr:uid="{9DF77479-F743-42CE-B553-53075B23B9D5}"/>
    <cellStyle name="쉼표 [0] 16 5 4 3" xfId="2695" xr:uid="{9DF77479-F743-42CE-B553-53075B23B9D5}"/>
    <cellStyle name="쉼표 [0] 16 5 5" xfId="3591" xr:uid="{9DF77479-F743-42CE-B553-53075B23B9D5}"/>
    <cellStyle name="쉼표 [0] 16 5 6" xfId="1878" xr:uid="{9DF77479-F743-42CE-B553-53075B23B9D5}"/>
    <cellStyle name="쉼표 [0] 16 6" xfId="488" xr:uid="{9DF77479-F743-42CE-B553-53075B23B9D5}"/>
    <cellStyle name="쉼표 [0] 16 6 2" xfId="1548" xr:uid="{9DF77479-F743-42CE-B553-53075B23B9D5}"/>
    <cellStyle name="쉼표 [0] 16 6 2 2" xfId="4974" xr:uid="{9DF77479-F743-42CE-B553-53075B23B9D5}"/>
    <cellStyle name="쉼표 [0] 16 6 2 3" xfId="3261" xr:uid="{9DF77479-F743-42CE-B553-53075B23B9D5}"/>
    <cellStyle name="쉼표 [0] 16 6 3" xfId="898" xr:uid="{9DF77479-F743-42CE-B553-53075B23B9D5}"/>
    <cellStyle name="쉼표 [0] 16 6 3 2" xfId="4326" xr:uid="{9DF77479-F743-42CE-B553-53075B23B9D5}"/>
    <cellStyle name="쉼표 [0] 16 6 3 3" xfId="2613" xr:uid="{9DF77479-F743-42CE-B553-53075B23B9D5}"/>
    <cellStyle name="쉼표 [0] 16 6 4" xfId="3917" xr:uid="{9DF77479-F743-42CE-B553-53075B23B9D5}"/>
    <cellStyle name="쉼표 [0] 16 6 5" xfId="2204" xr:uid="{9DF77479-F743-42CE-B553-53075B23B9D5}"/>
    <cellStyle name="쉼표 [0] 16 7" xfId="325" xr:uid="{9DF77479-F743-42CE-B553-53075B23B9D5}"/>
    <cellStyle name="쉼표 [0] 16 7 2" xfId="1385" xr:uid="{9DF77479-F743-42CE-B553-53075B23B9D5}"/>
    <cellStyle name="쉼표 [0] 16 7 2 2" xfId="4812" xr:uid="{9DF77479-F743-42CE-B553-53075B23B9D5}"/>
    <cellStyle name="쉼표 [0] 16 7 2 3" xfId="3099" xr:uid="{9DF77479-F743-42CE-B553-53075B23B9D5}"/>
    <cellStyle name="쉼표 [0] 16 7 3" xfId="3755" xr:uid="{9DF77479-F743-42CE-B553-53075B23B9D5}"/>
    <cellStyle name="쉼표 [0] 16 7 4" xfId="2042" xr:uid="{9DF77479-F743-42CE-B553-53075B23B9D5}"/>
    <cellStyle name="쉼표 [0] 16 8" xfId="1143" xr:uid="{9DF77479-F743-42CE-B553-53075B23B9D5}"/>
    <cellStyle name="쉼표 [0] 16 8 2" xfId="4570" xr:uid="{9DF77479-F743-42CE-B553-53075B23B9D5}"/>
    <cellStyle name="쉼표 [0] 16 8 3" xfId="2857" xr:uid="{9DF77479-F743-42CE-B553-53075B23B9D5}"/>
    <cellStyle name="쉼표 [0] 16 9" xfId="736" xr:uid="{9DF77479-F743-42CE-B553-53075B23B9D5}"/>
    <cellStyle name="쉼표 [0] 16 9 2" xfId="4164" xr:uid="{9DF77479-F743-42CE-B553-53075B23B9D5}"/>
    <cellStyle name="쉼표 [0] 16 9 3" xfId="2451" xr:uid="{9DF77479-F743-42CE-B553-53075B23B9D5}"/>
    <cellStyle name="쉼표 [0] 17" xfId="71" xr:uid="{00B60D8F-C4B7-4AF7-AD6C-DA1C7FE53E8A}"/>
    <cellStyle name="쉼표 [0] 17 10" xfId="3510" xr:uid="{00B60D8F-C4B7-4AF7-AD6C-DA1C7FE53E8A}"/>
    <cellStyle name="쉼표 [0] 17 11" xfId="1797" xr:uid="{00B60D8F-C4B7-4AF7-AD6C-DA1C7FE53E8A}"/>
    <cellStyle name="쉼표 [0] 17 2" xfId="75" xr:uid="{ECA955F3-9E44-449C-BB91-50D6DE2F7B57}"/>
    <cellStyle name="쉼표 [0] 17 2 10" xfId="1800" xr:uid="{ECA955F3-9E44-449C-BB91-50D6DE2F7B57}"/>
    <cellStyle name="쉼표 [0] 17 2 2" xfId="114" xr:uid="{ECA955F3-9E44-449C-BB91-50D6DE2F7B57}"/>
    <cellStyle name="쉼표 [0] 17 2 2 2" xfId="281" xr:uid="{ECA955F3-9E44-449C-BB91-50D6DE2F7B57}"/>
    <cellStyle name="쉼표 [0] 17 2 2 2 2" xfId="692" xr:uid="{ECA955F3-9E44-449C-BB91-50D6DE2F7B57}"/>
    <cellStyle name="쉼표 [0] 17 2 2 2 2 2" xfId="1752" xr:uid="{ECA955F3-9E44-449C-BB91-50D6DE2F7B57}"/>
    <cellStyle name="쉼표 [0] 17 2 2 2 2 2 2" xfId="5178" xr:uid="{ECA955F3-9E44-449C-BB91-50D6DE2F7B57}"/>
    <cellStyle name="쉼표 [0] 17 2 2 2 2 2 3" xfId="3465" xr:uid="{ECA955F3-9E44-449C-BB91-50D6DE2F7B57}"/>
    <cellStyle name="쉼표 [0] 17 2 2 2 2 3" xfId="1102" xr:uid="{ECA955F3-9E44-449C-BB91-50D6DE2F7B57}"/>
    <cellStyle name="쉼표 [0] 17 2 2 2 2 3 2" xfId="4530" xr:uid="{ECA955F3-9E44-449C-BB91-50D6DE2F7B57}"/>
    <cellStyle name="쉼표 [0] 17 2 2 2 2 3 3" xfId="2817" xr:uid="{ECA955F3-9E44-449C-BB91-50D6DE2F7B57}"/>
    <cellStyle name="쉼표 [0] 17 2 2 2 2 4" xfId="4121" xr:uid="{ECA955F3-9E44-449C-BB91-50D6DE2F7B57}"/>
    <cellStyle name="쉼표 [0] 17 2 2 2 2 5" xfId="2408" xr:uid="{ECA955F3-9E44-449C-BB91-50D6DE2F7B57}"/>
    <cellStyle name="쉼표 [0] 17 2 2 2 3" xfId="447" xr:uid="{ECA955F3-9E44-449C-BB91-50D6DE2F7B57}"/>
    <cellStyle name="쉼표 [0] 17 2 2 2 3 2" xfId="1507" xr:uid="{ECA955F3-9E44-449C-BB91-50D6DE2F7B57}"/>
    <cellStyle name="쉼표 [0] 17 2 2 2 3 2 2" xfId="4934" xr:uid="{ECA955F3-9E44-449C-BB91-50D6DE2F7B57}"/>
    <cellStyle name="쉼표 [0] 17 2 2 2 3 2 3" xfId="3221" xr:uid="{ECA955F3-9E44-449C-BB91-50D6DE2F7B57}"/>
    <cellStyle name="쉼표 [0] 17 2 2 2 3 3" xfId="3877" xr:uid="{ECA955F3-9E44-449C-BB91-50D6DE2F7B57}"/>
    <cellStyle name="쉼표 [0] 17 2 2 2 3 4" xfId="2164" xr:uid="{ECA955F3-9E44-449C-BB91-50D6DE2F7B57}"/>
    <cellStyle name="쉼표 [0] 17 2 2 2 4" xfId="1343" xr:uid="{ECA955F3-9E44-449C-BB91-50D6DE2F7B57}"/>
    <cellStyle name="쉼표 [0] 17 2 2 2 4 2" xfId="4770" xr:uid="{ECA955F3-9E44-449C-BB91-50D6DE2F7B57}"/>
    <cellStyle name="쉼표 [0] 17 2 2 2 4 3" xfId="3057" xr:uid="{ECA955F3-9E44-449C-BB91-50D6DE2F7B57}"/>
    <cellStyle name="쉼표 [0] 17 2 2 2 5" xfId="858" xr:uid="{ECA955F3-9E44-449C-BB91-50D6DE2F7B57}"/>
    <cellStyle name="쉼표 [0] 17 2 2 2 5 2" xfId="4286" xr:uid="{ECA955F3-9E44-449C-BB91-50D6DE2F7B57}"/>
    <cellStyle name="쉼표 [0] 17 2 2 2 5 3" xfId="2573" xr:uid="{ECA955F3-9E44-449C-BB91-50D6DE2F7B57}"/>
    <cellStyle name="쉼표 [0] 17 2 2 2 6" xfId="3713" xr:uid="{ECA955F3-9E44-449C-BB91-50D6DE2F7B57}"/>
    <cellStyle name="쉼표 [0] 17 2 2 2 7" xfId="2000" xr:uid="{ECA955F3-9E44-449C-BB91-50D6DE2F7B57}"/>
    <cellStyle name="쉼표 [0] 17 2 2 3" xfId="199" xr:uid="{ECA955F3-9E44-449C-BB91-50D6DE2F7B57}"/>
    <cellStyle name="쉼표 [0] 17 2 2 3 2" xfId="610" xr:uid="{ECA955F3-9E44-449C-BB91-50D6DE2F7B57}"/>
    <cellStyle name="쉼표 [0] 17 2 2 3 2 2" xfId="1670" xr:uid="{ECA955F3-9E44-449C-BB91-50D6DE2F7B57}"/>
    <cellStyle name="쉼표 [0] 17 2 2 3 2 2 2" xfId="5096" xr:uid="{ECA955F3-9E44-449C-BB91-50D6DE2F7B57}"/>
    <cellStyle name="쉼표 [0] 17 2 2 3 2 2 3" xfId="3383" xr:uid="{ECA955F3-9E44-449C-BB91-50D6DE2F7B57}"/>
    <cellStyle name="쉼표 [0] 17 2 2 3 2 3" xfId="4039" xr:uid="{ECA955F3-9E44-449C-BB91-50D6DE2F7B57}"/>
    <cellStyle name="쉼표 [0] 17 2 2 3 2 4" xfId="2326" xr:uid="{ECA955F3-9E44-449C-BB91-50D6DE2F7B57}"/>
    <cellStyle name="쉼표 [0] 17 2 2 3 3" xfId="1262" xr:uid="{ECA955F3-9E44-449C-BB91-50D6DE2F7B57}"/>
    <cellStyle name="쉼표 [0] 17 2 2 3 3 2" xfId="4689" xr:uid="{ECA955F3-9E44-449C-BB91-50D6DE2F7B57}"/>
    <cellStyle name="쉼표 [0] 17 2 2 3 3 3" xfId="2976" xr:uid="{ECA955F3-9E44-449C-BB91-50D6DE2F7B57}"/>
    <cellStyle name="쉼표 [0] 17 2 2 3 4" xfId="1020" xr:uid="{ECA955F3-9E44-449C-BB91-50D6DE2F7B57}"/>
    <cellStyle name="쉼표 [0] 17 2 2 3 4 2" xfId="4448" xr:uid="{ECA955F3-9E44-449C-BB91-50D6DE2F7B57}"/>
    <cellStyle name="쉼표 [0] 17 2 2 3 4 3" xfId="2735" xr:uid="{ECA955F3-9E44-449C-BB91-50D6DE2F7B57}"/>
    <cellStyle name="쉼표 [0] 17 2 2 3 5" xfId="3631" xr:uid="{ECA955F3-9E44-449C-BB91-50D6DE2F7B57}"/>
    <cellStyle name="쉼표 [0] 17 2 2 3 6" xfId="1918" xr:uid="{ECA955F3-9E44-449C-BB91-50D6DE2F7B57}"/>
    <cellStyle name="쉼표 [0] 17 2 2 4" xfId="528" xr:uid="{ECA955F3-9E44-449C-BB91-50D6DE2F7B57}"/>
    <cellStyle name="쉼표 [0] 17 2 2 4 2" xfId="1588" xr:uid="{ECA955F3-9E44-449C-BB91-50D6DE2F7B57}"/>
    <cellStyle name="쉼표 [0] 17 2 2 4 2 2" xfId="5014" xr:uid="{ECA955F3-9E44-449C-BB91-50D6DE2F7B57}"/>
    <cellStyle name="쉼표 [0] 17 2 2 4 2 3" xfId="3301" xr:uid="{ECA955F3-9E44-449C-BB91-50D6DE2F7B57}"/>
    <cellStyle name="쉼표 [0] 17 2 2 4 3" xfId="938" xr:uid="{ECA955F3-9E44-449C-BB91-50D6DE2F7B57}"/>
    <cellStyle name="쉼표 [0] 17 2 2 4 3 2" xfId="4366" xr:uid="{ECA955F3-9E44-449C-BB91-50D6DE2F7B57}"/>
    <cellStyle name="쉼표 [0] 17 2 2 4 3 3" xfId="2653" xr:uid="{ECA955F3-9E44-449C-BB91-50D6DE2F7B57}"/>
    <cellStyle name="쉼표 [0] 17 2 2 4 4" xfId="3957" xr:uid="{ECA955F3-9E44-449C-BB91-50D6DE2F7B57}"/>
    <cellStyle name="쉼표 [0] 17 2 2 4 5" xfId="2244" xr:uid="{ECA955F3-9E44-449C-BB91-50D6DE2F7B57}"/>
    <cellStyle name="쉼표 [0] 17 2 2 5" xfId="365" xr:uid="{ECA955F3-9E44-449C-BB91-50D6DE2F7B57}"/>
    <cellStyle name="쉼표 [0] 17 2 2 5 2" xfId="1425" xr:uid="{ECA955F3-9E44-449C-BB91-50D6DE2F7B57}"/>
    <cellStyle name="쉼표 [0] 17 2 2 5 2 2" xfId="4852" xr:uid="{ECA955F3-9E44-449C-BB91-50D6DE2F7B57}"/>
    <cellStyle name="쉼표 [0] 17 2 2 5 2 3" xfId="3139" xr:uid="{ECA955F3-9E44-449C-BB91-50D6DE2F7B57}"/>
    <cellStyle name="쉼표 [0] 17 2 2 5 3" xfId="3795" xr:uid="{ECA955F3-9E44-449C-BB91-50D6DE2F7B57}"/>
    <cellStyle name="쉼표 [0] 17 2 2 5 4" xfId="2082" xr:uid="{ECA955F3-9E44-449C-BB91-50D6DE2F7B57}"/>
    <cellStyle name="쉼표 [0] 17 2 2 6" xfId="1183" xr:uid="{ECA955F3-9E44-449C-BB91-50D6DE2F7B57}"/>
    <cellStyle name="쉼표 [0] 17 2 2 6 2" xfId="4610" xr:uid="{ECA955F3-9E44-449C-BB91-50D6DE2F7B57}"/>
    <cellStyle name="쉼표 [0] 17 2 2 6 3" xfId="2897" xr:uid="{ECA955F3-9E44-449C-BB91-50D6DE2F7B57}"/>
    <cellStyle name="쉼표 [0] 17 2 2 7" xfId="776" xr:uid="{ECA955F3-9E44-449C-BB91-50D6DE2F7B57}"/>
    <cellStyle name="쉼표 [0] 17 2 2 7 2" xfId="4204" xr:uid="{ECA955F3-9E44-449C-BB91-50D6DE2F7B57}"/>
    <cellStyle name="쉼표 [0] 17 2 2 7 3" xfId="2491" xr:uid="{ECA955F3-9E44-449C-BB91-50D6DE2F7B57}"/>
    <cellStyle name="쉼표 [0] 17 2 2 8" xfId="3549" xr:uid="{ECA955F3-9E44-449C-BB91-50D6DE2F7B57}"/>
    <cellStyle name="쉼표 [0] 17 2 2 9" xfId="1836" xr:uid="{ECA955F3-9E44-449C-BB91-50D6DE2F7B57}"/>
    <cellStyle name="쉼표 [0] 17 2 3" xfId="245" xr:uid="{ECA955F3-9E44-449C-BB91-50D6DE2F7B57}"/>
    <cellStyle name="쉼표 [0] 17 2 3 2" xfId="656" xr:uid="{ECA955F3-9E44-449C-BB91-50D6DE2F7B57}"/>
    <cellStyle name="쉼표 [0] 17 2 3 2 2" xfId="1716" xr:uid="{ECA955F3-9E44-449C-BB91-50D6DE2F7B57}"/>
    <cellStyle name="쉼표 [0] 17 2 3 2 2 2" xfId="5142" xr:uid="{ECA955F3-9E44-449C-BB91-50D6DE2F7B57}"/>
    <cellStyle name="쉼표 [0] 17 2 3 2 2 3" xfId="3429" xr:uid="{ECA955F3-9E44-449C-BB91-50D6DE2F7B57}"/>
    <cellStyle name="쉼표 [0] 17 2 3 2 3" xfId="1066" xr:uid="{ECA955F3-9E44-449C-BB91-50D6DE2F7B57}"/>
    <cellStyle name="쉼표 [0] 17 2 3 2 3 2" xfId="4494" xr:uid="{ECA955F3-9E44-449C-BB91-50D6DE2F7B57}"/>
    <cellStyle name="쉼표 [0] 17 2 3 2 3 3" xfId="2781" xr:uid="{ECA955F3-9E44-449C-BB91-50D6DE2F7B57}"/>
    <cellStyle name="쉼표 [0] 17 2 3 2 4" xfId="4085" xr:uid="{ECA955F3-9E44-449C-BB91-50D6DE2F7B57}"/>
    <cellStyle name="쉼표 [0] 17 2 3 2 5" xfId="2372" xr:uid="{ECA955F3-9E44-449C-BB91-50D6DE2F7B57}"/>
    <cellStyle name="쉼표 [0] 17 2 3 3" xfId="411" xr:uid="{ECA955F3-9E44-449C-BB91-50D6DE2F7B57}"/>
    <cellStyle name="쉼표 [0] 17 2 3 3 2" xfId="1471" xr:uid="{ECA955F3-9E44-449C-BB91-50D6DE2F7B57}"/>
    <cellStyle name="쉼표 [0] 17 2 3 3 2 2" xfId="4898" xr:uid="{ECA955F3-9E44-449C-BB91-50D6DE2F7B57}"/>
    <cellStyle name="쉼표 [0] 17 2 3 3 2 3" xfId="3185" xr:uid="{ECA955F3-9E44-449C-BB91-50D6DE2F7B57}"/>
    <cellStyle name="쉼표 [0] 17 2 3 3 3" xfId="3841" xr:uid="{ECA955F3-9E44-449C-BB91-50D6DE2F7B57}"/>
    <cellStyle name="쉼표 [0] 17 2 3 3 4" xfId="2128" xr:uid="{ECA955F3-9E44-449C-BB91-50D6DE2F7B57}"/>
    <cellStyle name="쉼표 [0] 17 2 3 4" xfId="1307" xr:uid="{ECA955F3-9E44-449C-BB91-50D6DE2F7B57}"/>
    <cellStyle name="쉼표 [0] 17 2 3 4 2" xfId="4734" xr:uid="{ECA955F3-9E44-449C-BB91-50D6DE2F7B57}"/>
    <cellStyle name="쉼표 [0] 17 2 3 4 3" xfId="3021" xr:uid="{ECA955F3-9E44-449C-BB91-50D6DE2F7B57}"/>
    <cellStyle name="쉼표 [0] 17 2 3 5" xfId="822" xr:uid="{ECA955F3-9E44-449C-BB91-50D6DE2F7B57}"/>
    <cellStyle name="쉼표 [0] 17 2 3 5 2" xfId="4250" xr:uid="{ECA955F3-9E44-449C-BB91-50D6DE2F7B57}"/>
    <cellStyle name="쉼표 [0] 17 2 3 5 3" xfId="2537" xr:uid="{ECA955F3-9E44-449C-BB91-50D6DE2F7B57}"/>
    <cellStyle name="쉼표 [0] 17 2 3 6" xfId="3677" xr:uid="{ECA955F3-9E44-449C-BB91-50D6DE2F7B57}"/>
    <cellStyle name="쉼표 [0] 17 2 3 7" xfId="1964" xr:uid="{ECA955F3-9E44-449C-BB91-50D6DE2F7B57}"/>
    <cellStyle name="쉼표 [0] 17 2 4" xfId="163" xr:uid="{ECA955F3-9E44-449C-BB91-50D6DE2F7B57}"/>
    <cellStyle name="쉼표 [0] 17 2 4 2" xfId="574" xr:uid="{ECA955F3-9E44-449C-BB91-50D6DE2F7B57}"/>
    <cellStyle name="쉼표 [0] 17 2 4 2 2" xfId="1634" xr:uid="{ECA955F3-9E44-449C-BB91-50D6DE2F7B57}"/>
    <cellStyle name="쉼표 [0] 17 2 4 2 2 2" xfId="5060" xr:uid="{ECA955F3-9E44-449C-BB91-50D6DE2F7B57}"/>
    <cellStyle name="쉼표 [0] 17 2 4 2 2 3" xfId="3347" xr:uid="{ECA955F3-9E44-449C-BB91-50D6DE2F7B57}"/>
    <cellStyle name="쉼표 [0] 17 2 4 2 3" xfId="4003" xr:uid="{ECA955F3-9E44-449C-BB91-50D6DE2F7B57}"/>
    <cellStyle name="쉼표 [0] 17 2 4 2 4" xfId="2290" xr:uid="{ECA955F3-9E44-449C-BB91-50D6DE2F7B57}"/>
    <cellStyle name="쉼표 [0] 17 2 4 3" xfId="1226" xr:uid="{ECA955F3-9E44-449C-BB91-50D6DE2F7B57}"/>
    <cellStyle name="쉼표 [0] 17 2 4 3 2" xfId="4653" xr:uid="{ECA955F3-9E44-449C-BB91-50D6DE2F7B57}"/>
    <cellStyle name="쉼표 [0] 17 2 4 3 3" xfId="2940" xr:uid="{ECA955F3-9E44-449C-BB91-50D6DE2F7B57}"/>
    <cellStyle name="쉼표 [0] 17 2 4 4" xfId="984" xr:uid="{ECA955F3-9E44-449C-BB91-50D6DE2F7B57}"/>
    <cellStyle name="쉼표 [0] 17 2 4 4 2" xfId="4412" xr:uid="{ECA955F3-9E44-449C-BB91-50D6DE2F7B57}"/>
    <cellStyle name="쉼표 [0] 17 2 4 4 3" xfId="2699" xr:uid="{ECA955F3-9E44-449C-BB91-50D6DE2F7B57}"/>
    <cellStyle name="쉼표 [0] 17 2 4 5" xfId="3595" xr:uid="{ECA955F3-9E44-449C-BB91-50D6DE2F7B57}"/>
    <cellStyle name="쉼표 [0] 17 2 4 6" xfId="1882" xr:uid="{ECA955F3-9E44-449C-BB91-50D6DE2F7B57}"/>
    <cellStyle name="쉼표 [0] 17 2 5" xfId="492" xr:uid="{ECA955F3-9E44-449C-BB91-50D6DE2F7B57}"/>
    <cellStyle name="쉼표 [0] 17 2 5 2" xfId="1552" xr:uid="{ECA955F3-9E44-449C-BB91-50D6DE2F7B57}"/>
    <cellStyle name="쉼표 [0] 17 2 5 2 2" xfId="4978" xr:uid="{ECA955F3-9E44-449C-BB91-50D6DE2F7B57}"/>
    <cellStyle name="쉼표 [0] 17 2 5 2 3" xfId="3265" xr:uid="{ECA955F3-9E44-449C-BB91-50D6DE2F7B57}"/>
    <cellStyle name="쉼표 [0] 17 2 5 3" xfId="902" xr:uid="{ECA955F3-9E44-449C-BB91-50D6DE2F7B57}"/>
    <cellStyle name="쉼표 [0] 17 2 5 3 2" xfId="4330" xr:uid="{ECA955F3-9E44-449C-BB91-50D6DE2F7B57}"/>
    <cellStyle name="쉼표 [0] 17 2 5 3 3" xfId="2617" xr:uid="{ECA955F3-9E44-449C-BB91-50D6DE2F7B57}"/>
    <cellStyle name="쉼표 [0] 17 2 5 4" xfId="3921" xr:uid="{ECA955F3-9E44-449C-BB91-50D6DE2F7B57}"/>
    <cellStyle name="쉼표 [0] 17 2 5 5" xfId="2208" xr:uid="{ECA955F3-9E44-449C-BB91-50D6DE2F7B57}"/>
    <cellStyle name="쉼표 [0] 17 2 6" xfId="329" xr:uid="{ECA955F3-9E44-449C-BB91-50D6DE2F7B57}"/>
    <cellStyle name="쉼표 [0] 17 2 6 2" xfId="1389" xr:uid="{ECA955F3-9E44-449C-BB91-50D6DE2F7B57}"/>
    <cellStyle name="쉼표 [0] 17 2 6 2 2" xfId="4816" xr:uid="{ECA955F3-9E44-449C-BB91-50D6DE2F7B57}"/>
    <cellStyle name="쉼표 [0] 17 2 6 2 3" xfId="3103" xr:uid="{ECA955F3-9E44-449C-BB91-50D6DE2F7B57}"/>
    <cellStyle name="쉼표 [0] 17 2 6 3" xfId="3759" xr:uid="{ECA955F3-9E44-449C-BB91-50D6DE2F7B57}"/>
    <cellStyle name="쉼표 [0] 17 2 6 4" xfId="2046" xr:uid="{ECA955F3-9E44-449C-BB91-50D6DE2F7B57}"/>
    <cellStyle name="쉼표 [0] 17 2 7" xfId="1147" xr:uid="{ECA955F3-9E44-449C-BB91-50D6DE2F7B57}"/>
    <cellStyle name="쉼표 [0] 17 2 7 2" xfId="4574" xr:uid="{ECA955F3-9E44-449C-BB91-50D6DE2F7B57}"/>
    <cellStyle name="쉼표 [0] 17 2 7 3" xfId="2861" xr:uid="{ECA955F3-9E44-449C-BB91-50D6DE2F7B57}"/>
    <cellStyle name="쉼표 [0] 17 2 8" xfId="740" xr:uid="{ECA955F3-9E44-449C-BB91-50D6DE2F7B57}"/>
    <cellStyle name="쉼표 [0] 17 2 8 2" xfId="4168" xr:uid="{ECA955F3-9E44-449C-BB91-50D6DE2F7B57}"/>
    <cellStyle name="쉼표 [0] 17 2 8 3" xfId="2455" xr:uid="{ECA955F3-9E44-449C-BB91-50D6DE2F7B57}"/>
    <cellStyle name="쉼표 [0] 17 2 9" xfId="3513" xr:uid="{ECA955F3-9E44-449C-BB91-50D6DE2F7B57}"/>
    <cellStyle name="쉼표 [0] 17 3" xfId="111" xr:uid="{00B60D8F-C4B7-4AF7-AD6C-DA1C7FE53E8A}"/>
    <cellStyle name="쉼표 [0] 17 3 2" xfId="278" xr:uid="{00B60D8F-C4B7-4AF7-AD6C-DA1C7FE53E8A}"/>
    <cellStyle name="쉼표 [0] 17 3 2 2" xfId="689" xr:uid="{00B60D8F-C4B7-4AF7-AD6C-DA1C7FE53E8A}"/>
    <cellStyle name="쉼표 [0] 17 3 2 2 2" xfId="1749" xr:uid="{00B60D8F-C4B7-4AF7-AD6C-DA1C7FE53E8A}"/>
    <cellStyle name="쉼표 [0] 17 3 2 2 2 2" xfId="5175" xr:uid="{00B60D8F-C4B7-4AF7-AD6C-DA1C7FE53E8A}"/>
    <cellStyle name="쉼표 [0] 17 3 2 2 2 3" xfId="3462" xr:uid="{00B60D8F-C4B7-4AF7-AD6C-DA1C7FE53E8A}"/>
    <cellStyle name="쉼표 [0] 17 3 2 2 3" xfId="1099" xr:uid="{00B60D8F-C4B7-4AF7-AD6C-DA1C7FE53E8A}"/>
    <cellStyle name="쉼표 [0] 17 3 2 2 3 2" xfId="4527" xr:uid="{00B60D8F-C4B7-4AF7-AD6C-DA1C7FE53E8A}"/>
    <cellStyle name="쉼표 [0] 17 3 2 2 3 3" xfId="2814" xr:uid="{00B60D8F-C4B7-4AF7-AD6C-DA1C7FE53E8A}"/>
    <cellStyle name="쉼표 [0] 17 3 2 2 4" xfId="4118" xr:uid="{00B60D8F-C4B7-4AF7-AD6C-DA1C7FE53E8A}"/>
    <cellStyle name="쉼표 [0] 17 3 2 2 5" xfId="2405" xr:uid="{00B60D8F-C4B7-4AF7-AD6C-DA1C7FE53E8A}"/>
    <cellStyle name="쉼표 [0] 17 3 2 3" xfId="444" xr:uid="{00B60D8F-C4B7-4AF7-AD6C-DA1C7FE53E8A}"/>
    <cellStyle name="쉼표 [0] 17 3 2 3 2" xfId="1504" xr:uid="{00B60D8F-C4B7-4AF7-AD6C-DA1C7FE53E8A}"/>
    <cellStyle name="쉼표 [0] 17 3 2 3 2 2" xfId="4931" xr:uid="{00B60D8F-C4B7-4AF7-AD6C-DA1C7FE53E8A}"/>
    <cellStyle name="쉼표 [0] 17 3 2 3 2 3" xfId="3218" xr:uid="{00B60D8F-C4B7-4AF7-AD6C-DA1C7FE53E8A}"/>
    <cellStyle name="쉼표 [0] 17 3 2 3 3" xfId="3874" xr:uid="{00B60D8F-C4B7-4AF7-AD6C-DA1C7FE53E8A}"/>
    <cellStyle name="쉼표 [0] 17 3 2 3 4" xfId="2161" xr:uid="{00B60D8F-C4B7-4AF7-AD6C-DA1C7FE53E8A}"/>
    <cellStyle name="쉼표 [0] 17 3 2 4" xfId="1340" xr:uid="{00B60D8F-C4B7-4AF7-AD6C-DA1C7FE53E8A}"/>
    <cellStyle name="쉼표 [0] 17 3 2 4 2" xfId="4767" xr:uid="{00B60D8F-C4B7-4AF7-AD6C-DA1C7FE53E8A}"/>
    <cellStyle name="쉼표 [0] 17 3 2 4 3" xfId="3054" xr:uid="{00B60D8F-C4B7-4AF7-AD6C-DA1C7FE53E8A}"/>
    <cellStyle name="쉼표 [0] 17 3 2 5" xfId="855" xr:uid="{00B60D8F-C4B7-4AF7-AD6C-DA1C7FE53E8A}"/>
    <cellStyle name="쉼표 [0] 17 3 2 5 2" xfId="4283" xr:uid="{00B60D8F-C4B7-4AF7-AD6C-DA1C7FE53E8A}"/>
    <cellStyle name="쉼표 [0] 17 3 2 5 3" xfId="2570" xr:uid="{00B60D8F-C4B7-4AF7-AD6C-DA1C7FE53E8A}"/>
    <cellStyle name="쉼표 [0] 17 3 2 6" xfId="3710" xr:uid="{00B60D8F-C4B7-4AF7-AD6C-DA1C7FE53E8A}"/>
    <cellStyle name="쉼표 [0] 17 3 2 7" xfId="1997" xr:uid="{00B60D8F-C4B7-4AF7-AD6C-DA1C7FE53E8A}"/>
    <cellStyle name="쉼표 [0] 17 3 3" xfId="196" xr:uid="{00B60D8F-C4B7-4AF7-AD6C-DA1C7FE53E8A}"/>
    <cellStyle name="쉼표 [0] 17 3 3 2" xfId="607" xr:uid="{00B60D8F-C4B7-4AF7-AD6C-DA1C7FE53E8A}"/>
    <cellStyle name="쉼표 [0] 17 3 3 2 2" xfId="1667" xr:uid="{00B60D8F-C4B7-4AF7-AD6C-DA1C7FE53E8A}"/>
    <cellStyle name="쉼표 [0] 17 3 3 2 2 2" xfId="5093" xr:uid="{00B60D8F-C4B7-4AF7-AD6C-DA1C7FE53E8A}"/>
    <cellStyle name="쉼표 [0] 17 3 3 2 2 3" xfId="3380" xr:uid="{00B60D8F-C4B7-4AF7-AD6C-DA1C7FE53E8A}"/>
    <cellStyle name="쉼표 [0] 17 3 3 2 3" xfId="4036" xr:uid="{00B60D8F-C4B7-4AF7-AD6C-DA1C7FE53E8A}"/>
    <cellStyle name="쉼표 [0] 17 3 3 2 4" xfId="2323" xr:uid="{00B60D8F-C4B7-4AF7-AD6C-DA1C7FE53E8A}"/>
    <cellStyle name="쉼표 [0] 17 3 3 3" xfId="1259" xr:uid="{00B60D8F-C4B7-4AF7-AD6C-DA1C7FE53E8A}"/>
    <cellStyle name="쉼표 [0] 17 3 3 3 2" xfId="4686" xr:uid="{00B60D8F-C4B7-4AF7-AD6C-DA1C7FE53E8A}"/>
    <cellStyle name="쉼표 [0] 17 3 3 3 3" xfId="2973" xr:uid="{00B60D8F-C4B7-4AF7-AD6C-DA1C7FE53E8A}"/>
    <cellStyle name="쉼표 [0] 17 3 3 4" xfId="1017" xr:uid="{00B60D8F-C4B7-4AF7-AD6C-DA1C7FE53E8A}"/>
    <cellStyle name="쉼표 [0] 17 3 3 4 2" xfId="4445" xr:uid="{00B60D8F-C4B7-4AF7-AD6C-DA1C7FE53E8A}"/>
    <cellStyle name="쉼표 [0] 17 3 3 4 3" xfId="2732" xr:uid="{00B60D8F-C4B7-4AF7-AD6C-DA1C7FE53E8A}"/>
    <cellStyle name="쉼표 [0] 17 3 3 5" xfId="3628" xr:uid="{00B60D8F-C4B7-4AF7-AD6C-DA1C7FE53E8A}"/>
    <cellStyle name="쉼표 [0] 17 3 3 6" xfId="1915" xr:uid="{00B60D8F-C4B7-4AF7-AD6C-DA1C7FE53E8A}"/>
    <cellStyle name="쉼표 [0] 17 3 4" xfId="525" xr:uid="{00B60D8F-C4B7-4AF7-AD6C-DA1C7FE53E8A}"/>
    <cellStyle name="쉼표 [0] 17 3 4 2" xfId="1585" xr:uid="{00B60D8F-C4B7-4AF7-AD6C-DA1C7FE53E8A}"/>
    <cellStyle name="쉼표 [0] 17 3 4 2 2" xfId="5011" xr:uid="{00B60D8F-C4B7-4AF7-AD6C-DA1C7FE53E8A}"/>
    <cellStyle name="쉼표 [0] 17 3 4 2 3" xfId="3298" xr:uid="{00B60D8F-C4B7-4AF7-AD6C-DA1C7FE53E8A}"/>
    <cellStyle name="쉼표 [0] 17 3 4 3" xfId="935" xr:uid="{00B60D8F-C4B7-4AF7-AD6C-DA1C7FE53E8A}"/>
    <cellStyle name="쉼표 [0] 17 3 4 3 2" xfId="4363" xr:uid="{00B60D8F-C4B7-4AF7-AD6C-DA1C7FE53E8A}"/>
    <cellStyle name="쉼표 [0] 17 3 4 3 3" xfId="2650" xr:uid="{00B60D8F-C4B7-4AF7-AD6C-DA1C7FE53E8A}"/>
    <cellStyle name="쉼표 [0] 17 3 4 4" xfId="3954" xr:uid="{00B60D8F-C4B7-4AF7-AD6C-DA1C7FE53E8A}"/>
    <cellStyle name="쉼표 [0] 17 3 4 5" xfId="2241" xr:uid="{00B60D8F-C4B7-4AF7-AD6C-DA1C7FE53E8A}"/>
    <cellStyle name="쉼표 [0] 17 3 5" xfId="362" xr:uid="{00B60D8F-C4B7-4AF7-AD6C-DA1C7FE53E8A}"/>
    <cellStyle name="쉼표 [0] 17 3 5 2" xfId="1422" xr:uid="{00B60D8F-C4B7-4AF7-AD6C-DA1C7FE53E8A}"/>
    <cellStyle name="쉼표 [0] 17 3 5 2 2" xfId="4849" xr:uid="{00B60D8F-C4B7-4AF7-AD6C-DA1C7FE53E8A}"/>
    <cellStyle name="쉼표 [0] 17 3 5 2 3" xfId="3136" xr:uid="{00B60D8F-C4B7-4AF7-AD6C-DA1C7FE53E8A}"/>
    <cellStyle name="쉼표 [0] 17 3 5 3" xfId="3792" xr:uid="{00B60D8F-C4B7-4AF7-AD6C-DA1C7FE53E8A}"/>
    <cellStyle name="쉼표 [0] 17 3 5 4" xfId="2079" xr:uid="{00B60D8F-C4B7-4AF7-AD6C-DA1C7FE53E8A}"/>
    <cellStyle name="쉼표 [0] 17 3 6" xfId="1180" xr:uid="{00B60D8F-C4B7-4AF7-AD6C-DA1C7FE53E8A}"/>
    <cellStyle name="쉼표 [0] 17 3 6 2" xfId="4607" xr:uid="{00B60D8F-C4B7-4AF7-AD6C-DA1C7FE53E8A}"/>
    <cellStyle name="쉼표 [0] 17 3 6 3" xfId="2894" xr:uid="{00B60D8F-C4B7-4AF7-AD6C-DA1C7FE53E8A}"/>
    <cellStyle name="쉼표 [0] 17 3 7" xfId="773" xr:uid="{00B60D8F-C4B7-4AF7-AD6C-DA1C7FE53E8A}"/>
    <cellStyle name="쉼표 [0] 17 3 7 2" xfId="4201" xr:uid="{00B60D8F-C4B7-4AF7-AD6C-DA1C7FE53E8A}"/>
    <cellStyle name="쉼표 [0] 17 3 7 3" xfId="2488" xr:uid="{00B60D8F-C4B7-4AF7-AD6C-DA1C7FE53E8A}"/>
    <cellStyle name="쉼표 [0] 17 3 8" xfId="3546" xr:uid="{00B60D8F-C4B7-4AF7-AD6C-DA1C7FE53E8A}"/>
    <cellStyle name="쉼표 [0] 17 3 9" xfId="1833" xr:uid="{00B60D8F-C4B7-4AF7-AD6C-DA1C7FE53E8A}"/>
    <cellStyle name="쉼표 [0] 17 4" xfId="242" xr:uid="{00B60D8F-C4B7-4AF7-AD6C-DA1C7FE53E8A}"/>
    <cellStyle name="쉼표 [0] 17 4 2" xfId="653" xr:uid="{00B60D8F-C4B7-4AF7-AD6C-DA1C7FE53E8A}"/>
    <cellStyle name="쉼표 [0] 17 4 2 2" xfId="1713" xr:uid="{00B60D8F-C4B7-4AF7-AD6C-DA1C7FE53E8A}"/>
    <cellStyle name="쉼표 [0] 17 4 2 2 2" xfId="5139" xr:uid="{00B60D8F-C4B7-4AF7-AD6C-DA1C7FE53E8A}"/>
    <cellStyle name="쉼표 [0] 17 4 2 2 3" xfId="3426" xr:uid="{00B60D8F-C4B7-4AF7-AD6C-DA1C7FE53E8A}"/>
    <cellStyle name="쉼표 [0] 17 4 2 3" xfId="1063" xr:uid="{00B60D8F-C4B7-4AF7-AD6C-DA1C7FE53E8A}"/>
    <cellStyle name="쉼표 [0] 17 4 2 3 2" xfId="4491" xr:uid="{00B60D8F-C4B7-4AF7-AD6C-DA1C7FE53E8A}"/>
    <cellStyle name="쉼표 [0] 17 4 2 3 3" xfId="2778" xr:uid="{00B60D8F-C4B7-4AF7-AD6C-DA1C7FE53E8A}"/>
    <cellStyle name="쉼표 [0] 17 4 2 4" xfId="4082" xr:uid="{00B60D8F-C4B7-4AF7-AD6C-DA1C7FE53E8A}"/>
    <cellStyle name="쉼표 [0] 17 4 2 5" xfId="2369" xr:uid="{00B60D8F-C4B7-4AF7-AD6C-DA1C7FE53E8A}"/>
    <cellStyle name="쉼표 [0] 17 4 3" xfId="408" xr:uid="{00B60D8F-C4B7-4AF7-AD6C-DA1C7FE53E8A}"/>
    <cellStyle name="쉼표 [0] 17 4 3 2" xfId="1468" xr:uid="{00B60D8F-C4B7-4AF7-AD6C-DA1C7FE53E8A}"/>
    <cellStyle name="쉼표 [0] 17 4 3 2 2" xfId="4895" xr:uid="{00B60D8F-C4B7-4AF7-AD6C-DA1C7FE53E8A}"/>
    <cellStyle name="쉼표 [0] 17 4 3 2 3" xfId="3182" xr:uid="{00B60D8F-C4B7-4AF7-AD6C-DA1C7FE53E8A}"/>
    <cellStyle name="쉼표 [0] 17 4 3 3" xfId="3838" xr:uid="{00B60D8F-C4B7-4AF7-AD6C-DA1C7FE53E8A}"/>
    <cellStyle name="쉼표 [0] 17 4 3 4" xfId="2125" xr:uid="{00B60D8F-C4B7-4AF7-AD6C-DA1C7FE53E8A}"/>
    <cellStyle name="쉼표 [0] 17 4 4" xfId="1304" xr:uid="{00B60D8F-C4B7-4AF7-AD6C-DA1C7FE53E8A}"/>
    <cellStyle name="쉼표 [0] 17 4 4 2" xfId="4731" xr:uid="{00B60D8F-C4B7-4AF7-AD6C-DA1C7FE53E8A}"/>
    <cellStyle name="쉼표 [0] 17 4 4 3" xfId="3018" xr:uid="{00B60D8F-C4B7-4AF7-AD6C-DA1C7FE53E8A}"/>
    <cellStyle name="쉼표 [0] 17 4 5" xfId="819" xr:uid="{00B60D8F-C4B7-4AF7-AD6C-DA1C7FE53E8A}"/>
    <cellStyle name="쉼표 [0] 17 4 5 2" xfId="4247" xr:uid="{00B60D8F-C4B7-4AF7-AD6C-DA1C7FE53E8A}"/>
    <cellStyle name="쉼표 [0] 17 4 5 3" xfId="2534" xr:uid="{00B60D8F-C4B7-4AF7-AD6C-DA1C7FE53E8A}"/>
    <cellStyle name="쉼표 [0] 17 4 6" xfId="3674" xr:uid="{00B60D8F-C4B7-4AF7-AD6C-DA1C7FE53E8A}"/>
    <cellStyle name="쉼표 [0] 17 4 7" xfId="1961" xr:uid="{00B60D8F-C4B7-4AF7-AD6C-DA1C7FE53E8A}"/>
    <cellStyle name="쉼표 [0] 17 5" xfId="160" xr:uid="{00B60D8F-C4B7-4AF7-AD6C-DA1C7FE53E8A}"/>
    <cellStyle name="쉼표 [0] 17 5 2" xfId="571" xr:uid="{00B60D8F-C4B7-4AF7-AD6C-DA1C7FE53E8A}"/>
    <cellStyle name="쉼표 [0] 17 5 2 2" xfId="1631" xr:uid="{00B60D8F-C4B7-4AF7-AD6C-DA1C7FE53E8A}"/>
    <cellStyle name="쉼표 [0] 17 5 2 2 2" xfId="5057" xr:uid="{00B60D8F-C4B7-4AF7-AD6C-DA1C7FE53E8A}"/>
    <cellStyle name="쉼표 [0] 17 5 2 2 3" xfId="3344" xr:uid="{00B60D8F-C4B7-4AF7-AD6C-DA1C7FE53E8A}"/>
    <cellStyle name="쉼표 [0] 17 5 2 3" xfId="4000" xr:uid="{00B60D8F-C4B7-4AF7-AD6C-DA1C7FE53E8A}"/>
    <cellStyle name="쉼표 [0] 17 5 2 4" xfId="2287" xr:uid="{00B60D8F-C4B7-4AF7-AD6C-DA1C7FE53E8A}"/>
    <cellStyle name="쉼표 [0] 17 5 3" xfId="1223" xr:uid="{00B60D8F-C4B7-4AF7-AD6C-DA1C7FE53E8A}"/>
    <cellStyle name="쉼표 [0] 17 5 3 2" xfId="4650" xr:uid="{00B60D8F-C4B7-4AF7-AD6C-DA1C7FE53E8A}"/>
    <cellStyle name="쉼표 [0] 17 5 3 3" xfId="2937" xr:uid="{00B60D8F-C4B7-4AF7-AD6C-DA1C7FE53E8A}"/>
    <cellStyle name="쉼표 [0] 17 5 4" xfId="981" xr:uid="{00B60D8F-C4B7-4AF7-AD6C-DA1C7FE53E8A}"/>
    <cellStyle name="쉼표 [0] 17 5 4 2" xfId="4409" xr:uid="{00B60D8F-C4B7-4AF7-AD6C-DA1C7FE53E8A}"/>
    <cellStyle name="쉼표 [0] 17 5 4 3" xfId="2696" xr:uid="{00B60D8F-C4B7-4AF7-AD6C-DA1C7FE53E8A}"/>
    <cellStyle name="쉼표 [0] 17 5 5" xfId="3592" xr:uid="{00B60D8F-C4B7-4AF7-AD6C-DA1C7FE53E8A}"/>
    <cellStyle name="쉼표 [0] 17 5 6" xfId="1879" xr:uid="{00B60D8F-C4B7-4AF7-AD6C-DA1C7FE53E8A}"/>
    <cellStyle name="쉼표 [0] 17 6" xfId="489" xr:uid="{00B60D8F-C4B7-4AF7-AD6C-DA1C7FE53E8A}"/>
    <cellStyle name="쉼표 [0] 17 6 2" xfId="1549" xr:uid="{00B60D8F-C4B7-4AF7-AD6C-DA1C7FE53E8A}"/>
    <cellStyle name="쉼표 [0] 17 6 2 2" xfId="4975" xr:uid="{00B60D8F-C4B7-4AF7-AD6C-DA1C7FE53E8A}"/>
    <cellStyle name="쉼표 [0] 17 6 2 3" xfId="3262" xr:uid="{00B60D8F-C4B7-4AF7-AD6C-DA1C7FE53E8A}"/>
    <cellStyle name="쉼표 [0] 17 6 3" xfId="899" xr:uid="{00B60D8F-C4B7-4AF7-AD6C-DA1C7FE53E8A}"/>
    <cellStyle name="쉼표 [0] 17 6 3 2" xfId="4327" xr:uid="{00B60D8F-C4B7-4AF7-AD6C-DA1C7FE53E8A}"/>
    <cellStyle name="쉼표 [0] 17 6 3 3" xfId="2614" xr:uid="{00B60D8F-C4B7-4AF7-AD6C-DA1C7FE53E8A}"/>
    <cellStyle name="쉼표 [0] 17 6 4" xfId="3918" xr:uid="{00B60D8F-C4B7-4AF7-AD6C-DA1C7FE53E8A}"/>
    <cellStyle name="쉼표 [0] 17 6 5" xfId="2205" xr:uid="{00B60D8F-C4B7-4AF7-AD6C-DA1C7FE53E8A}"/>
    <cellStyle name="쉼표 [0] 17 7" xfId="326" xr:uid="{00B60D8F-C4B7-4AF7-AD6C-DA1C7FE53E8A}"/>
    <cellStyle name="쉼표 [0] 17 7 2" xfId="1386" xr:uid="{00B60D8F-C4B7-4AF7-AD6C-DA1C7FE53E8A}"/>
    <cellStyle name="쉼표 [0] 17 7 2 2" xfId="4813" xr:uid="{00B60D8F-C4B7-4AF7-AD6C-DA1C7FE53E8A}"/>
    <cellStyle name="쉼표 [0] 17 7 2 3" xfId="3100" xr:uid="{00B60D8F-C4B7-4AF7-AD6C-DA1C7FE53E8A}"/>
    <cellStyle name="쉼표 [0] 17 7 3" xfId="3756" xr:uid="{00B60D8F-C4B7-4AF7-AD6C-DA1C7FE53E8A}"/>
    <cellStyle name="쉼표 [0] 17 7 4" xfId="2043" xr:uid="{00B60D8F-C4B7-4AF7-AD6C-DA1C7FE53E8A}"/>
    <cellStyle name="쉼표 [0] 17 8" xfId="1144" xr:uid="{00B60D8F-C4B7-4AF7-AD6C-DA1C7FE53E8A}"/>
    <cellStyle name="쉼표 [0] 17 8 2" xfId="4571" xr:uid="{00B60D8F-C4B7-4AF7-AD6C-DA1C7FE53E8A}"/>
    <cellStyle name="쉼표 [0] 17 8 3" xfId="2858" xr:uid="{00B60D8F-C4B7-4AF7-AD6C-DA1C7FE53E8A}"/>
    <cellStyle name="쉼표 [0] 17 9" xfId="737" xr:uid="{00B60D8F-C4B7-4AF7-AD6C-DA1C7FE53E8A}"/>
    <cellStyle name="쉼표 [0] 17 9 2" xfId="4165" xr:uid="{00B60D8F-C4B7-4AF7-AD6C-DA1C7FE53E8A}"/>
    <cellStyle name="쉼표 [0] 17 9 3" xfId="2452" xr:uid="{00B60D8F-C4B7-4AF7-AD6C-DA1C7FE53E8A}"/>
    <cellStyle name="쉼표 [0] 18" xfId="76" xr:uid="{B314FA84-AB87-4CAA-8238-FC752463017C}"/>
    <cellStyle name="쉼표 [0] 18 10" xfId="1801" xr:uid="{B314FA84-AB87-4CAA-8238-FC752463017C}"/>
    <cellStyle name="쉼표 [0] 18 2" xfId="115" xr:uid="{B314FA84-AB87-4CAA-8238-FC752463017C}"/>
    <cellStyle name="쉼표 [0] 18 2 2" xfId="282" xr:uid="{B314FA84-AB87-4CAA-8238-FC752463017C}"/>
    <cellStyle name="쉼표 [0] 18 2 2 2" xfId="693" xr:uid="{B314FA84-AB87-4CAA-8238-FC752463017C}"/>
    <cellStyle name="쉼표 [0] 18 2 2 2 2" xfId="1753" xr:uid="{B314FA84-AB87-4CAA-8238-FC752463017C}"/>
    <cellStyle name="쉼표 [0] 18 2 2 2 2 2" xfId="5179" xr:uid="{B314FA84-AB87-4CAA-8238-FC752463017C}"/>
    <cellStyle name="쉼표 [0] 18 2 2 2 2 3" xfId="3466" xr:uid="{B314FA84-AB87-4CAA-8238-FC752463017C}"/>
    <cellStyle name="쉼표 [0] 18 2 2 2 3" xfId="1103" xr:uid="{B314FA84-AB87-4CAA-8238-FC752463017C}"/>
    <cellStyle name="쉼표 [0] 18 2 2 2 3 2" xfId="4531" xr:uid="{B314FA84-AB87-4CAA-8238-FC752463017C}"/>
    <cellStyle name="쉼표 [0] 18 2 2 2 3 3" xfId="2818" xr:uid="{B314FA84-AB87-4CAA-8238-FC752463017C}"/>
    <cellStyle name="쉼표 [0] 18 2 2 2 4" xfId="4122" xr:uid="{B314FA84-AB87-4CAA-8238-FC752463017C}"/>
    <cellStyle name="쉼표 [0] 18 2 2 2 5" xfId="2409" xr:uid="{B314FA84-AB87-4CAA-8238-FC752463017C}"/>
    <cellStyle name="쉼표 [0] 18 2 2 3" xfId="448" xr:uid="{B314FA84-AB87-4CAA-8238-FC752463017C}"/>
    <cellStyle name="쉼표 [0] 18 2 2 3 2" xfId="1508" xr:uid="{B314FA84-AB87-4CAA-8238-FC752463017C}"/>
    <cellStyle name="쉼표 [0] 18 2 2 3 2 2" xfId="4935" xr:uid="{B314FA84-AB87-4CAA-8238-FC752463017C}"/>
    <cellStyle name="쉼표 [0] 18 2 2 3 2 3" xfId="3222" xr:uid="{B314FA84-AB87-4CAA-8238-FC752463017C}"/>
    <cellStyle name="쉼표 [0] 18 2 2 3 3" xfId="3878" xr:uid="{B314FA84-AB87-4CAA-8238-FC752463017C}"/>
    <cellStyle name="쉼표 [0] 18 2 2 3 4" xfId="2165" xr:uid="{B314FA84-AB87-4CAA-8238-FC752463017C}"/>
    <cellStyle name="쉼표 [0] 18 2 2 4" xfId="1344" xr:uid="{B314FA84-AB87-4CAA-8238-FC752463017C}"/>
    <cellStyle name="쉼표 [0] 18 2 2 4 2" xfId="4771" xr:uid="{B314FA84-AB87-4CAA-8238-FC752463017C}"/>
    <cellStyle name="쉼표 [0] 18 2 2 4 3" xfId="3058" xr:uid="{B314FA84-AB87-4CAA-8238-FC752463017C}"/>
    <cellStyle name="쉼표 [0] 18 2 2 5" xfId="859" xr:uid="{B314FA84-AB87-4CAA-8238-FC752463017C}"/>
    <cellStyle name="쉼표 [0] 18 2 2 5 2" xfId="4287" xr:uid="{B314FA84-AB87-4CAA-8238-FC752463017C}"/>
    <cellStyle name="쉼표 [0] 18 2 2 5 3" xfId="2574" xr:uid="{B314FA84-AB87-4CAA-8238-FC752463017C}"/>
    <cellStyle name="쉼표 [0] 18 2 2 6" xfId="3714" xr:uid="{B314FA84-AB87-4CAA-8238-FC752463017C}"/>
    <cellStyle name="쉼표 [0] 18 2 2 7" xfId="2001" xr:uid="{B314FA84-AB87-4CAA-8238-FC752463017C}"/>
    <cellStyle name="쉼표 [0] 18 2 3" xfId="200" xr:uid="{B314FA84-AB87-4CAA-8238-FC752463017C}"/>
    <cellStyle name="쉼표 [0] 18 2 3 2" xfId="611" xr:uid="{B314FA84-AB87-4CAA-8238-FC752463017C}"/>
    <cellStyle name="쉼표 [0] 18 2 3 2 2" xfId="1671" xr:uid="{B314FA84-AB87-4CAA-8238-FC752463017C}"/>
    <cellStyle name="쉼표 [0] 18 2 3 2 2 2" xfId="5097" xr:uid="{B314FA84-AB87-4CAA-8238-FC752463017C}"/>
    <cellStyle name="쉼표 [0] 18 2 3 2 2 3" xfId="3384" xr:uid="{B314FA84-AB87-4CAA-8238-FC752463017C}"/>
    <cellStyle name="쉼표 [0] 18 2 3 2 3" xfId="4040" xr:uid="{B314FA84-AB87-4CAA-8238-FC752463017C}"/>
    <cellStyle name="쉼표 [0] 18 2 3 2 4" xfId="2327" xr:uid="{B314FA84-AB87-4CAA-8238-FC752463017C}"/>
    <cellStyle name="쉼표 [0] 18 2 3 3" xfId="1263" xr:uid="{B314FA84-AB87-4CAA-8238-FC752463017C}"/>
    <cellStyle name="쉼표 [0] 18 2 3 3 2" xfId="4690" xr:uid="{B314FA84-AB87-4CAA-8238-FC752463017C}"/>
    <cellStyle name="쉼표 [0] 18 2 3 3 3" xfId="2977" xr:uid="{B314FA84-AB87-4CAA-8238-FC752463017C}"/>
    <cellStyle name="쉼표 [0] 18 2 3 4" xfId="1021" xr:uid="{B314FA84-AB87-4CAA-8238-FC752463017C}"/>
    <cellStyle name="쉼표 [0] 18 2 3 4 2" xfId="4449" xr:uid="{B314FA84-AB87-4CAA-8238-FC752463017C}"/>
    <cellStyle name="쉼표 [0] 18 2 3 4 3" xfId="2736" xr:uid="{B314FA84-AB87-4CAA-8238-FC752463017C}"/>
    <cellStyle name="쉼표 [0] 18 2 3 5" xfId="3632" xr:uid="{B314FA84-AB87-4CAA-8238-FC752463017C}"/>
    <cellStyle name="쉼표 [0] 18 2 3 6" xfId="1919" xr:uid="{B314FA84-AB87-4CAA-8238-FC752463017C}"/>
    <cellStyle name="쉼표 [0] 18 2 4" xfId="529" xr:uid="{B314FA84-AB87-4CAA-8238-FC752463017C}"/>
    <cellStyle name="쉼표 [0] 18 2 4 2" xfId="1589" xr:uid="{B314FA84-AB87-4CAA-8238-FC752463017C}"/>
    <cellStyle name="쉼표 [0] 18 2 4 2 2" xfId="5015" xr:uid="{B314FA84-AB87-4CAA-8238-FC752463017C}"/>
    <cellStyle name="쉼표 [0] 18 2 4 2 3" xfId="3302" xr:uid="{B314FA84-AB87-4CAA-8238-FC752463017C}"/>
    <cellStyle name="쉼표 [0] 18 2 4 3" xfId="939" xr:uid="{B314FA84-AB87-4CAA-8238-FC752463017C}"/>
    <cellStyle name="쉼표 [0] 18 2 4 3 2" xfId="4367" xr:uid="{B314FA84-AB87-4CAA-8238-FC752463017C}"/>
    <cellStyle name="쉼표 [0] 18 2 4 3 3" xfId="2654" xr:uid="{B314FA84-AB87-4CAA-8238-FC752463017C}"/>
    <cellStyle name="쉼표 [0] 18 2 4 4" xfId="3958" xr:uid="{B314FA84-AB87-4CAA-8238-FC752463017C}"/>
    <cellStyle name="쉼표 [0] 18 2 4 5" xfId="2245" xr:uid="{B314FA84-AB87-4CAA-8238-FC752463017C}"/>
    <cellStyle name="쉼표 [0] 18 2 5" xfId="366" xr:uid="{B314FA84-AB87-4CAA-8238-FC752463017C}"/>
    <cellStyle name="쉼표 [0] 18 2 5 2" xfId="1426" xr:uid="{B314FA84-AB87-4CAA-8238-FC752463017C}"/>
    <cellStyle name="쉼표 [0] 18 2 5 2 2" xfId="4853" xr:uid="{B314FA84-AB87-4CAA-8238-FC752463017C}"/>
    <cellStyle name="쉼표 [0] 18 2 5 2 3" xfId="3140" xr:uid="{B314FA84-AB87-4CAA-8238-FC752463017C}"/>
    <cellStyle name="쉼표 [0] 18 2 5 3" xfId="3796" xr:uid="{B314FA84-AB87-4CAA-8238-FC752463017C}"/>
    <cellStyle name="쉼표 [0] 18 2 5 4" xfId="2083" xr:uid="{B314FA84-AB87-4CAA-8238-FC752463017C}"/>
    <cellStyle name="쉼표 [0] 18 2 6" xfId="1184" xr:uid="{B314FA84-AB87-4CAA-8238-FC752463017C}"/>
    <cellStyle name="쉼표 [0] 18 2 6 2" xfId="4611" xr:uid="{B314FA84-AB87-4CAA-8238-FC752463017C}"/>
    <cellStyle name="쉼표 [0] 18 2 6 3" xfId="2898" xr:uid="{B314FA84-AB87-4CAA-8238-FC752463017C}"/>
    <cellStyle name="쉼표 [0] 18 2 7" xfId="777" xr:uid="{B314FA84-AB87-4CAA-8238-FC752463017C}"/>
    <cellStyle name="쉼표 [0] 18 2 7 2" xfId="4205" xr:uid="{B314FA84-AB87-4CAA-8238-FC752463017C}"/>
    <cellStyle name="쉼표 [0] 18 2 7 3" xfId="2492" xr:uid="{B314FA84-AB87-4CAA-8238-FC752463017C}"/>
    <cellStyle name="쉼표 [0] 18 2 8" xfId="3550" xr:uid="{B314FA84-AB87-4CAA-8238-FC752463017C}"/>
    <cellStyle name="쉼표 [0] 18 2 9" xfId="1837" xr:uid="{B314FA84-AB87-4CAA-8238-FC752463017C}"/>
    <cellStyle name="쉼표 [0] 18 3" xfId="246" xr:uid="{B314FA84-AB87-4CAA-8238-FC752463017C}"/>
    <cellStyle name="쉼표 [0] 18 3 2" xfId="657" xr:uid="{B314FA84-AB87-4CAA-8238-FC752463017C}"/>
    <cellStyle name="쉼표 [0] 18 3 2 2" xfId="1717" xr:uid="{B314FA84-AB87-4CAA-8238-FC752463017C}"/>
    <cellStyle name="쉼표 [0] 18 3 2 2 2" xfId="5143" xr:uid="{B314FA84-AB87-4CAA-8238-FC752463017C}"/>
    <cellStyle name="쉼표 [0] 18 3 2 2 3" xfId="3430" xr:uid="{B314FA84-AB87-4CAA-8238-FC752463017C}"/>
    <cellStyle name="쉼표 [0] 18 3 2 3" xfId="1067" xr:uid="{B314FA84-AB87-4CAA-8238-FC752463017C}"/>
    <cellStyle name="쉼표 [0] 18 3 2 3 2" xfId="4495" xr:uid="{B314FA84-AB87-4CAA-8238-FC752463017C}"/>
    <cellStyle name="쉼표 [0] 18 3 2 3 3" xfId="2782" xr:uid="{B314FA84-AB87-4CAA-8238-FC752463017C}"/>
    <cellStyle name="쉼표 [0] 18 3 2 4" xfId="4086" xr:uid="{B314FA84-AB87-4CAA-8238-FC752463017C}"/>
    <cellStyle name="쉼표 [0] 18 3 2 5" xfId="2373" xr:uid="{B314FA84-AB87-4CAA-8238-FC752463017C}"/>
    <cellStyle name="쉼표 [0] 18 3 3" xfId="412" xr:uid="{B314FA84-AB87-4CAA-8238-FC752463017C}"/>
    <cellStyle name="쉼표 [0] 18 3 3 2" xfId="1472" xr:uid="{B314FA84-AB87-4CAA-8238-FC752463017C}"/>
    <cellStyle name="쉼표 [0] 18 3 3 2 2" xfId="4899" xr:uid="{B314FA84-AB87-4CAA-8238-FC752463017C}"/>
    <cellStyle name="쉼표 [0] 18 3 3 2 3" xfId="3186" xr:uid="{B314FA84-AB87-4CAA-8238-FC752463017C}"/>
    <cellStyle name="쉼표 [0] 18 3 3 3" xfId="3842" xr:uid="{B314FA84-AB87-4CAA-8238-FC752463017C}"/>
    <cellStyle name="쉼표 [0] 18 3 3 4" xfId="2129" xr:uid="{B314FA84-AB87-4CAA-8238-FC752463017C}"/>
    <cellStyle name="쉼표 [0] 18 3 4" xfId="1308" xr:uid="{B314FA84-AB87-4CAA-8238-FC752463017C}"/>
    <cellStyle name="쉼표 [0] 18 3 4 2" xfId="4735" xr:uid="{B314FA84-AB87-4CAA-8238-FC752463017C}"/>
    <cellStyle name="쉼표 [0] 18 3 4 3" xfId="3022" xr:uid="{B314FA84-AB87-4CAA-8238-FC752463017C}"/>
    <cellStyle name="쉼표 [0] 18 3 5" xfId="823" xr:uid="{B314FA84-AB87-4CAA-8238-FC752463017C}"/>
    <cellStyle name="쉼표 [0] 18 3 5 2" xfId="4251" xr:uid="{B314FA84-AB87-4CAA-8238-FC752463017C}"/>
    <cellStyle name="쉼표 [0] 18 3 5 3" xfId="2538" xr:uid="{B314FA84-AB87-4CAA-8238-FC752463017C}"/>
    <cellStyle name="쉼표 [0] 18 3 6" xfId="3678" xr:uid="{B314FA84-AB87-4CAA-8238-FC752463017C}"/>
    <cellStyle name="쉼표 [0] 18 3 7" xfId="1965" xr:uid="{B314FA84-AB87-4CAA-8238-FC752463017C}"/>
    <cellStyle name="쉼표 [0] 18 4" xfId="164" xr:uid="{B314FA84-AB87-4CAA-8238-FC752463017C}"/>
    <cellStyle name="쉼표 [0] 18 4 2" xfId="575" xr:uid="{B314FA84-AB87-4CAA-8238-FC752463017C}"/>
    <cellStyle name="쉼표 [0] 18 4 2 2" xfId="1635" xr:uid="{B314FA84-AB87-4CAA-8238-FC752463017C}"/>
    <cellStyle name="쉼표 [0] 18 4 2 2 2" xfId="5061" xr:uid="{B314FA84-AB87-4CAA-8238-FC752463017C}"/>
    <cellStyle name="쉼표 [0] 18 4 2 2 3" xfId="3348" xr:uid="{B314FA84-AB87-4CAA-8238-FC752463017C}"/>
    <cellStyle name="쉼표 [0] 18 4 2 3" xfId="4004" xr:uid="{B314FA84-AB87-4CAA-8238-FC752463017C}"/>
    <cellStyle name="쉼표 [0] 18 4 2 4" xfId="2291" xr:uid="{B314FA84-AB87-4CAA-8238-FC752463017C}"/>
    <cellStyle name="쉼표 [0] 18 4 3" xfId="1227" xr:uid="{B314FA84-AB87-4CAA-8238-FC752463017C}"/>
    <cellStyle name="쉼표 [0] 18 4 3 2" xfId="4654" xr:uid="{B314FA84-AB87-4CAA-8238-FC752463017C}"/>
    <cellStyle name="쉼표 [0] 18 4 3 3" xfId="2941" xr:uid="{B314FA84-AB87-4CAA-8238-FC752463017C}"/>
    <cellStyle name="쉼표 [0] 18 4 4" xfId="985" xr:uid="{B314FA84-AB87-4CAA-8238-FC752463017C}"/>
    <cellStyle name="쉼표 [0] 18 4 4 2" xfId="4413" xr:uid="{B314FA84-AB87-4CAA-8238-FC752463017C}"/>
    <cellStyle name="쉼표 [0] 18 4 4 3" xfId="2700" xr:uid="{B314FA84-AB87-4CAA-8238-FC752463017C}"/>
    <cellStyle name="쉼표 [0] 18 4 5" xfId="3596" xr:uid="{B314FA84-AB87-4CAA-8238-FC752463017C}"/>
    <cellStyle name="쉼표 [0] 18 4 6" xfId="1883" xr:uid="{B314FA84-AB87-4CAA-8238-FC752463017C}"/>
    <cellStyle name="쉼표 [0] 18 5" xfId="493" xr:uid="{B314FA84-AB87-4CAA-8238-FC752463017C}"/>
    <cellStyle name="쉼표 [0] 18 5 2" xfId="1553" xr:uid="{B314FA84-AB87-4CAA-8238-FC752463017C}"/>
    <cellStyle name="쉼표 [0] 18 5 2 2" xfId="4979" xr:uid="{B314FA84-AB87-4CAA-8238-FC752463017C}"/>
    <cellStyle name="쉼표 [0] 18 5 2 3" xfId="3266" xr:uid="{B314FA84-AB87-4CAA-8238-FC752463017C}"/>
    <cellStyle name="쉼표 [0] 18 5 3" xfId="903" xr:uid="{B314FA84-AB87-4CAA-8238-FC752463017C}"/>
    <cellStyle name="쉼표 [0] 18 5 3 2" xfId="4331" xr:uid="{B314FA84-AB87-4CAA-8238-FC752463017C}"/>
    <cellStyle name="쉼표 [0] 18 5 3 3" xfId="2618" xr:uid="{B314FA84-AB87-4CAA-8238-FC752463017C}"/>
    <cellStyle name="쉼표 [0] 18 5 4" xfId="3922" xr:uid="{B314FA84-AB87-4CAA-8238-FC752463017C}"/>
    <cellStyle name="쉼표 [0] 18 5 5" xfId="2209" xr:uid="{B314FA84-AB87-4CAA-8238-FC752463017C}"/>
    <cellStyle name="쉼표 [0] 18 6" xfId="330" xr:uid="{B314FA84-AB87-4CAA-8238-FC752463017C}"/>
    <cellStyle name="쉼표 [0] 18 6 2" xfId="1390" xr:uid="{B314FA84-AB87-4CAA-8238-FC752463017C}"/>
    <cellStyle name="쉼표 [0] 18 6 2 2" xfId="4817" xr:uid="{B314FA84-AB87-4CAA-8238-FC752463017C}"/>
    <cellStyle name="쉼표 [0] 18 6 2 3" xfId="3104" xr:uid="{B314FA84-AB87-4CAA-8238-FC752463017C}"/>
    <cellStyle name="쉼표 [0] 18 6 3" xfId="3760" xr:uid="{B314FA84-AB87-4CAA-8238-FC752463017C}"/>
    <cellStyle name="쉼표 [0] 18 6 4" xfId="2047" xr:uid="{B314FA84-AB87-4CAA-8238-FC752463017C}"/>
    <cellStyle name="쉼표 [0] 18 7" xfId="1148" xr:uid="{B314FA84-AB87-4CAA-8238-FC752463017C}"/>
    <cellStyle name="쉼표 [0] 18 7 2" xfId="4575" xr:uid="{B314FA84-AB87-4CAA-8238-FC752463017C}"/>
    <cellStyle name="쉼표 [0] 18 7 3" xfId="2862" xr:uid="{B314FA84-AB87-4CAA-8238-FC752463017C}"/>
    <cellStyle name="쉼표 [0] 18 8" xfId="741" xr:uid="{B314FA84-AB87-4CAA-8238-FC752463017C}"/>
    <cellStyle name="쉼표 [0] 18 8 2" xfId="4169" xr:uid="{B314FA84-AB87-4CAA-8238-FC752463017C}"/>
    <cellStyle name="쉼표 [0] 18 8 3" xfId="2456" xr:uid="{B314FA84-AB87-4CAA-8238-FC752463017C}"/>
    <cellStyle name="쉼표 [0] 18 9" xfId="3514" xr:uid="{B314FA84-AB87-4CAA-8238-FC752463017C}"/>
    <cellStyle name="쉼표 [0] 19" xfId="77" xr:uid="{BB11561F-B07A-4FE4-969E-255EFE83E615}"/>
    <cellStyle name="쉼표 [0] 19 10" xfId="1802" xr:uid="{BB11561F-B07A-4FE4-969E-255EFE83E615}"/>
    <cellStyle name="쉼표 [0] 19 2" xfId="116" xr:uid="{BB11561F-B07A-4FE4-969E-255EFE83E615}"/>
    <cellStyle name="쉼표 [0] 19 2 2" xfId="283" xr:uid="{BB11561F-B07A-4FE4-969E-255EFE83E615}"/>
    <cellStyle name="쉼표 [0] 19 2 2 2" xfId="694" xr:uid="{BB11561F-B07A-4FE4-969E-255EFE83E615}"/>
    <cellStyle name="쉼표 [0] 19 2 2 2 2" xfId="1754" xr:uid="{BB11561F-B07A-4FE4-969E-255EFE83E615}"/>
    <cellStyle name="쉼표 [0] 19 2 2 2 2 2" xfId="5180" xr:uid="{BB11561F-B07A-4FE4-969E-255EFE83E615}"/>
    <cellStyle name="쉼표 [0] 19 2 2 2 2 3" xfId="3467" xr:uid="{BB11561F-B07A-4FE4-969E-255EFE83E615}"/>
    <cellStyle name="쉼표 [0] 19 2 2 2 3" xfId="1104" xr:uid="{BB11561F-B07A-4FE4-969E-255EFE83E615}"/>
    <cellStyle name="쉼표 [0] 19 2 2 2 3 2" xfId="4532" xr:uid="{BB11561F-B07A-4FE4-969E-255EFE83E615}"/>
    <cellStyle name="쉼표 [0] 19 2 2 2 3 3" xfId="2819" xr:uid="{BB11561F-B07A-4FE4-969E-255EFE83E615}"/>
    <cellStyle name="쉼표 [0] 19 2 2 2 4" xfId="4123" xr:uid="{BB11561F-B07A-4FE4-969E-255EFE83E615}"/>
    <cellStyle name="쉼표 [0] 19 2 2 2 5" xfId="2410" xr:uid="{BB11561F-B07A-4FE4-969E-255EFE83E615}"/>
    <cellStyle name="쉼표 [0] 19 2 2 3" xfId="449" xr:uid="{BB11561F-B07A-4FE4-969E-255EFE83E615}"/>
    <cellStyle name="쉼표 [0] 19 2 2 3 2" xfId="1509" xr:uid="{BB11561F-B07A-4FE4-969E-255EFE83E615}"/>
    <cellStyle name="쉼표 [0] 19 2 2 3 2 2" xfId="4936" xr:uid="{BB11561F-B07A-4FE4-969E-255EFE83E615}"/>
    <cellStyle name="쉼표 [0] 19 2 2 3 2 3" xfId="3223" xr:uid="{BB11561F-B07A-4FE4-969E-255EFE83E615}"/>
    <cellStyle name="쉼표 [0] 19 2 2 3 3" xfId="3879" xr:uid="{BB11561F-B07A-4FE4-969E-255EFE83E615}"/>
    <cellStyle name="쉼표 [0] 19 2 2 3 4" xfId="2166" xr:uid="{BB11561F-B07A-4FE4-969E-255EFE83E615}"/>
    <cellStyle name="쉼표 [0] 19 2 2 4" xfId="1345" xr:uid="{BB11561F-B07A-4FE4-969E-255EFE83E615}"/>
    <cellStyle name="쉼표 [0] 19 2 2 4 2" xfId="4772" xr:uid="{BB11561F-B07A-4FE4-969E-255EFE83E615}"/>
    <cellStyle name="쉼표 [0] 19 2 2 4 3" xfId="3059" xr:uid="{BB11561F-B07A-4FE4-969E-255EFE83E615}"/>
    <cellStyle name="쉼표 [0] 19 2 2 5" xfId="860" xr:uid="{BB11561F-B07A-4FE4-969E-255EFE83E615}"/>
    <cellStyle name="쉼표 [0] 19 2 2 5 2" xfId="4288" xr:uid="{BB11561F-B07A-4FE4-969E-255EFE83E615}"/>
    <cellStyle name="쉼표 [0] 19 2 2 5 3" xfId="2575" xr:uid="{BB11561F-B07A-4FE4-969E-255EFE83E615}"/>
    <cellStyle name="쉼표 [0] 19 2 2 6" xfId="3715" xr:uid="{BB11561F-B07A-4FE4-969E-255EFE83E615}"/>
    <cellStyle name="쉼표 [0] 19 2 2 7" xfId="2002" xr:uid="{BB11561F-B07A-4FE4-969E-255EFE83E615}"/>
    <cellStyle name="쉼표 [0] 19 2 3" xfId="201" xr:uid="{BB11561F-B07A-4FE4-969E-255EFE83E615}"/>
    <cellStyle name="쉼표 [0] 19 2 3 2" xfId="612" xr:uid="{BB11561F-B07A-4FE4-969E-255EFE83E615}"/>
    <cellStyle name="쉼표 [0] 19 2 3 2 2" xfId="1672" xr:uid="{BB11561F-B07A-4FE4-969E-255EFE83E615}"/>
    <cellStyle name="쉼표 [0] 19 2 3 2 2 2" xfId="5098" xr:uid="{BB11561F-B07A-4FE4-969E-255EFE83E615}"/>
    <cellStyle name="쉼표 [0] 19 2 3 2 2 3" xfId="3385" xr:uid="{BB11561F-B07A-4FE4-969E-255EFE83E615}"/>
    <cellStyle name="쉼표 [0] 19 2 3 2 3" xfId="4041" xr:uid="{BB11561F-B07A-4FE4-969E-255EFE83E615}"/>
    <cellStyle name="쉼표 [0] 19 2 3 2 4" xfId="2328" xr:uid="{BB11561F-B07A-4FE4-969E-255EFE83E615}"/>
    <cellStyle name="쉼표 [0] 19 2 3 3" xfId="1264" xr:uid="{BB11561F-B07A-4FE4-969E-255EFE83E615}"/>
    <cellStyle name="쉼표 [0] 19 2 3 3 2" xfId="4691" xr:uid="{BB11561F-B07A-4FE4-969E-255EFE83E615}"/>
    <cellStyle name="쉼표 [0] 19 2 3 3 3" xfId="2978" xr:uid="{BB11561F-B07A-4FE4-969E-255EFE83E615}"/>
    <cellStyle name="쉼표 [0] 19 2 3 4" xfId="1022" xr:uid="{BB11561F-B07A-4FE4-969E-255EFE83E615}"/>
    <cellStyle name="쉼표 [0] 19 2 3 4 2" xfId="4450" xr:uid="{BB11561F-B07A-4FE4-969E-255EFE83E615}"/>
    <cellStyle name="쉼표 [0] 19 2 3 4 3" xfId="2737" xr:uid="{BB11561F-B07A-4FE4-969E-255EFE83E615}"/>
    <cellStyle name="쉼표 [0] 19 2 3 5" xfId="3633" xr:uid="{BB11561F-B07A-4FE4-969E-255EFE83E615}"/>
    <cellStyle name="쉼표 [0] 19 2 3 6" xfId="1920" xr:uid="{BB11561F-B07A-4FE4-969E-255EFE83E615}"/>
    <cellStyle name="쉼표 [0] 19 2 4" xfId="530" xr:uid="{BB11561F-B07A-4FE4-969E-255EFE83E615}"/>
    <cellStyle name="쉼표 [0] 19 2 4 2" xfId="1590" xr:uid="{BB11561F-B07A-4FE4-969E-255EFE83E615}"/>
    <cellStyle name="쉼표 [0] 19 2 4 2 2" xfId="5016" xr:uid="{BB11561F-B07A-4FE4-969E-255EFE83E615}"/>
    <cellStyle name="쉼표 [0] 19 2 4 2 3" xfId="3303" xr:uid="{BB11561F-B07A-4FE4-969E-255EFE83E615}"/>
    <cellStyle name="쉼표 [0] 19 2 4 3" xfId="940" xr:uid="{BB11561F-B07A-4FE4-969E-255EFE83E615}"/>
    <cellStyle name="쉼표 [0] 19 2 4 3 2" xfId="4368" xr:uid="{BB11561F-B07A-4FE4-969E-255EFE83E615}"/>
    <cellStyle name="쉼표 [0] 19 2 4 3 3" xfId="2655" xr:uid="{BB11561F-B07A-4FE4-969E-255EFE83E615}"/>
    <cellStyle name="쉼표 [0] 19 2 4 4" xfId="3959" xr:uid="{BB11561F-B07A-4FE4-969E-255EFE83E615}"/>
    <cellStyle name="쉼표 [0] 19 2 4 5" xfId="2246" xr:uid="{BB11561F-B07A-4FE4-969E-255EFE83E615}"/>
    <cellStyle name="쉼표 [0] 19 2 5" xfId="367" xr:uid="{BB11561F-B07A-4FE4-969E-255EFE83E615}"/>
    <cellStyle name="쉼표 [0] 19 2 5 2" xfId="1427" xr:uid="{BB11561F-B07A-4FE4-969E-255EFE83E615}"/>
    <cellStyle name="쉼표 [0] 19 2 5 2 2" xfId="4854" xr:uid="{BB11561F-B07A-4FE4-969E-255EFE83E615}"/>
    <cellStyle name="쉼표 [0] 19 2 5 2 3" xfId="3141" xr:uid="{BB11561F-B07A-4FE4-969E-255EFE83E615}"/>
    <cellStyle name="쉼표 [0] 19 2 5 3" xfId="3797" xr:uid="{BB11561F-B07A-4FE4-969E-255EFE83E615}"/>
    <cellStyle name="쉼표 [0] 19 2 5 4" xfId="2084" xr:uid="{BB11561F-B07A-4FE4-969E-255EFE83E615}"/>
    <cellStyle name="쉼표 [0] 19 2 6" xfId="1185" xr:uid="{BB11561F-B07A-4FE4-969E-255EFE83E615}"/>
    <cellStyle name="쉼표 [0] 19 2 6 2" xfId="4612" xr:uid="{BB11561F-B07A-4FE4-969E-255EFE83E615}"/>
    <cellStyle name="쉼표 [0] 19 2 6 3" xfId="2899" xr:uid="{BB11561F-B07A-4FE4-969E-255EFE83E615}"/>
    <cellStyle name="쉼표 [0] 19 2 7" xfId="778" xr:uid="{BB11561F-B07A-4FE4-969E-255EFE83E615}"/>
    <cellStyle name="쉼표 [0] 19 2 7 2" xfId="4206" xr:uid="{BB11561F-B07A-4FE4-969E-255EFE83E615}"/>
    <cellStyle name="쉼표 [0] 19 2 7 3" xfId="2493" xr:uid="{BB11561F-B07A-4FE4-969E-255EFE83E615}"/>
    <cellStyle name="쉼표 [0] 19 2 8" xfId="3551" xr:uid="{BB11561F-B07A-4FE4-969E-255EFE83E615}"/>
    <cellStyle name="쉼표 [0] 19 2 9" xfId="1838" xr:uid="{BB11561F-B07A-4FE4-969E-255EFE83E615}"/>
    <cellStyle name="쉼표 [0] 19 3" xfId="247" xr:uid="{BB11561F-B07A-4FE4-969E-255EFE83E615}"/>
    <cellStyle name="쉼표 [0] 19 3 2" xfId="658" xr:uid="{BB11561F-B07A-4FE4-969E-255EFE83E615}"/>
    <cellStyle name="쉼표 [0] 19 3 2 2" xfId="1718" xr:uid="{BB11561F-B07A-4FE4-969E-255EFE83E615}"/>
    <cellStyle name="쉼표 [0] 19 3 2 2 2" xfId="5144" xr:uid="{BB11561F-B07A-4FE4-969E-255EFE83E615}"/>
    <cellStyle name="쉼표 [0] 19 3 2 2 3" xfId="3431" xr:uid="{BB11561F-B07A-4FE4-969E-255EFE83E615}"/>
    <cellStyle name="쉼표 [0] 19 3 2 3" xfId="1068" xr:uid="{BB11561F-B07A-4FE4-969E-255EFE83E615}"/>
    <cellStyle name="쉼표 [0] 19 3 2 3 2" xfId="4496" xr:uid="{BB11561F-B07A-4FE4-969E-255EFE83E615}"/>
    <cellStyle name="쉼표 [0] 19 3 2 3 3" xfId="2783" xr:uid="{BB11561F-B07A-4FE4-969E-255EFE83E615}"/>
    <cellStyle name="쉼표 [0] 19 3 2 4" xfId="4087" xr:uid="{BB11561F-B07A-4FE4-969E-255EFE83E615}"/>
    <cellStyle name="쉼표 [0] 19 3 2 5" xfId="2374" xr:uid="{BB11561F-B07A-4FE4-969E-255EFE83E615}"/>
    <cellStyle name="쉼표 [0] 19 3 3" xfId="413" xr:uid="{BB11561F-B07A-4FE4-969E-255EFE83E615}"/>
    <cellStyle name="쉼표 [0] 19 3 3 2" xfId="1473" xr:uid="{BB11561F-B07A-4FE4-969E-255EFE83E615}"/>
    <cellStyle name="쉼표 [0] 19 3 3 2 2" xfId="4900" xr:uid="{BB11561F-B07A-4FE4-969E-255EFE83E615}"/>
    <cellStyle name="쉼표 [0] 19 3 3 2 3" xfId="3187" xr:uid="{BB11561F-B07A-4FE4-969E-255EFE83E615}"/>
    <cellStyle name="쉼표 [0] 19 3 3 3" xfId="3843" xr:uid="{BB11561F-B07A-4FE4-969E-255EFE83E615}"/>
    <cellStyle name="쉼표 [0] 19 3 3 4" xfId="2130" xr:uid="{BB11561F-B07A-4FE4-969E-255EFE83E615}"/>
    <cellStyle name="쉼표 [0] 19 3 4" xfId="1309" xr:uid="{BB11561F-B07A-4FE4-969E-255EFE83E615}"/>
    <cellStyle name="쉼표 [0] 19 3 4 2" xfId="4736" xr:uid="{BB11561F-B07A-4FE4-969E-255EFE83E615}"/>
    <cellStyle name="쉼표 [0] 19 3 4 3" xfId="3023" xr:uid="{BB11561F-B07A-4FE4-969E-255EFE83E615}"/>
    <cellStyle name="쉼표 [0] 19 3 5" xfId="824" xr:uid="{BB11561F-B07A-4FE4-969E-255EFE83E615}"/>
    <cellStyle name="쉼표 [0] 19 3 5 2" xfId="4252" xr:uid="{BB11561F-B07A-4FE4-969E-255EFE83E615}"/>
    <cellStyle name="쉼표 [0] 19 3 5 3" xfId="2539" xr:uid="{BB11561F-B07A-4FE4-969E-255EFE83E615}"/>
    <cellStyle name="쉼표 [0] 19 3 6" xfId="3679" xr:uid="{BB11561F-B07A-4FE4-969E-255EFE83E615}"/>
    <cellStyle name="쉼표 [0] 19 3 7" xfId="1966" xr:uid="{BB11561F-B07A-4FE4-969E-255EFE83E615}"/>
    <cellStyle name="쉼표 [0] 19 4" xfId="165" xr:uid="{BB11561F-B07A-4FE4-969E-255EFE83E615}"/>
    <cellStyle name="쉼표 [0] 19 4 2" xfId="576" xr:uid="{BB11561F-B07A-4FE4-969E-255EFE83E615}"/>
    <cellStyle name="쉼표 [0] 19 4 2 2" xfId="1636" xr:uid="{BB11561F-B07A-4FE4-969E-255EFE83E615}"/>
    <cellStyle name="쉼표 [0] 19 4 2 2 2" xfId="5062" xr:uid="{BB11561F-B07A-4FE4-969E-255EFE83E615}"/>
    <cellStyle name="쉼표 [0] 19 4 2 2 3" xfId="3349" xr:uid="{BB11561F-B07A-4FE4-969E-255EFE83E615}"/>
    <cellStyle name="쉼표 [0] 19 4 2 3" xfId="4005" xr:uid="{BB11561F-B07A-4FE4-969E-255EFE83E615}"/>
    <cellStyle name="쉼표 [0] 19 4 2 4" xfId="2292" xr:uid="{BB11561F-B07A-4FE4-969E-255EFE83E615}"/>
    <cellStyle name="쉼표 [0] 19 4 3" xfId="1228" xr:uid="{BB11561F-B07A-4FE4-969E-255EFE83E615}"/>
    <cellStyle name="쉼표 [0] 19 4 3 2" xfId="4655" xr:uid="{BB11561F-B07A-4FE4-969E-255EFE83E615}"/>
    <cellStyle name="쉼표 [0] 19 4 3 3" xfId="2942" xr:uid="{BB11561F-B07A-4FE4-969E-255EFE83E615}"/>
    <cellStyle name="쉼표 [0] 19 4 4" xfId="986" xr:uid="{BB11561F-B07A-4FE4-969E-255EFE83E615}"/>
    <cellStyle name="쉼표 [0] 19 4 4 2" xfId="4414" xr:uid="{BB11561F-B07A-4FE4-969E-255EFE83E615}"/>
    <cellStyle name="쉼표 [0] 19 4 4 3" xfId="2701" xr:uid="{BB11561F-B07A-4FE4-969E-255EFE83E615}"/>
    <cellStyle name="쉼표 [0] 19 4 5" xfId="3597" xr:uid="{BB11561F-B07A-4FE4-969E-255EFE83E615}"/>
    <cellStyle name="쉼표 [0] 19 4 6" xfId="1884" xr:uid="{BB11561F-B07A-4FE4-969E-255EFE83E615}"/>
    <cellStyle name="쉼표 [0] 19 5" xfId="494" xr:uid="{BB11561F-B07A-4FE4-969E-255EFE83E615}"/>
    <cellStyle name="쉼표 [0] 19 5 2" xfId="1554" xr:uid="{BB11561F-B07A-4FE4-969E-255EFE83E615}"/>
    <cellStyle name="쉼표 [0] 19 5 2 2" xfId="4980" xr:uid="{BB11561F-B07A-4FE4-969E-255EFE83E615}"/>
    <cellStyle name="쉼표 [0] 19 5 2 3" xfId="3267" xr:uid="{BB11561F-B07A-4FE4-969E-255EFE83E615}"/>
    <cellStyle name="쉼표 [0] 19 5 3" xfId="904" xr:uid="{BB11561F-B07A-4FE4-969E-255EFE83E615}"/>
    <cellStyle name="쉼표 [0] 19 5 3 2" xfId="4332" xr:uid="{BB11561F-B07A-4FE4-969E-255EFE83E615}"/>
    <cellStyle name="쉼표 [0] 19 5 3 3" xfId="2619" xr:uid="{BB11561F-B07A-4FE4-969E-255EFE83E615}"/>
    <cellStyle name="쉼표 [0] 19 5 4" xfId="3923" xr:uid="{BB11561F-B07A-4FE4-969E-255EFE83E615}"/>
    <cellStyle name="쉼표 [0] 19 5 5" xfId="2210" xr:uid="{BB11561F-B07A-4FE4-969E-255EFE83E615}"/>
    <cellStyle name="쉼표 [0] 19 6" xfId="331" xr:uid="{BB11561F-B07A-4FE4-969E-255EFE83E615}"/>
    <cellStyle name="쉼표 [0] 19 6 2" xfId="1391" xr:uid="{BB11561F-B07A-4FE4-969E-255EFE83E615}"/>
    <cellStyle name="쉼표 [0] 19 6 2 2" xfId="4818" xr:uid="{BB11561F-B07A-4FE4-969E-255EFE83E615}"/>
    <cellStyle name="쉼표 [0] 19 6 2 3" xfId="3105" xr:uid="{BB11561F-B07A-4FE4-969E-255EFE83E615}"/>
    <cellStyle name="쉼표 [0] 19 6 3" xfId="3761" xr:uid="{BB11561F-B07A-4FE4-969E-255EFE83E615}"/>
    <cellStyle name="쉼표 [0] 19 6 4" xfId="2048" xr:uid="{BB11561F-B07A-4FE4-969E-255EFE83E615}"/>
    <cellStyle name="쉼표 [0] 19 7" xfId="1149" xr:uid="{BB11561F-B07A-4FE4-969E-255EFE83E615}"/>
    <cellStyle name="쉼표 [0] 19 7 2" xfId="4576" xr:uid="{BB11561F-B07A-4FE4-969E-255EFE83E615}"/>
    <cellStyle name="쉼표 [0] 19 7 3" xfId="2863" xr:uid="{BB11561F-B07A-4FE4-969E-255EFE83E615}"/>
    <cellStyle name="쉼표 [0] 19 8" xfId="742" xr:uid="{BB11561F-B07A-4FE4-969E-255EFE83E615}"/>
    <cellStyle name="쉼표 [0] 19 8 2" xfId="4170" xr:uid="{BB11561F-B07A-4FE4-969E-255EFE83E615}"/>
    <cellStyle name="쉼표 [0] 19 8 3" xfId="2457" xr:uid="{BB11561F-B07A-4FE4-969E-255EFE83E615}"/>
    <cellStyle name="쉼표 [0] 19 9" xfId="3515" xr:uid="{BB11561F-B07A-4FE4-969E-255EFE83E615}"/>
    <cellStyle name="쉼표 [0] 2" xfId="7" xr:uid="{00000000-0005-0000-0000-00002F000000}"/>
    <cellStyle name="쉼표 [0] 2 10" xfId="457" xr:uid="{00000000-0005-0000-0000-00002F000000}"/>
    <cellStyle name="쉼표 [0] 2 10 2" xfId="1517" xr:uid="{00000000-0005-0000-0000-00002F000000}"/>
    <cellStyle name="쉼표 [0] 2 10 2 2" xfId="4943" xr:uid="{00000000-0005-0000-0000-00002F000000}"/>
    <cellStyle name="쉼표 [0] 2 10 2 3" xfId="3230" xr:uid="{00000000-0005-0000-0000-00002F000000}"/>
    <cellStyle name="쉼표 [0] 2 10 3" xfId="867" xr:uid="{00000000-0005-0000-0000-00002F000000}"/>
    <cellStyle name="쉼표 [0] 2 10 3 2" xfId="4295" xr:uid="{00000000-0005-0000-0000-00002F000000}"/>
    <cellStyle name="쉼표 [0] 2 10 3 3" xfId="2582" xr:uid="{00000000-0005-0000-0000-00002F000000}"/>
    <cellStyle name="쉼표 [0] 2 10 4" xfId="3886" xr:uid="{00000000-0005-0000-0000-00002F000000}"/>
    <cellStyle name="쉼표 [0] 2 10 5" xfId="2173" xr:uid="{00000000-0005-0000-0000-00002F000000}"/>
    <cellStyle name="쉼표 [0] 2 11" xfId="292" xr:uid="{00000000-0005-0000-0000-00002F000000}"/>
    <cellStyle name="쉼표 [0] 2 11 2" xfId="1352" xr:uid="{00000000-0005-0000-0000-00002F000000}"/>
    <cellStyle name="쉼표 [0] 2 11 2 2" xfId="4779" xr:uid="{00000000-0005-0000-0000-00002F000000}"/>
    <cellStyle name="쉼표 [0] 2 11 2 3" xfId="3066" xr:uid="{00000000-0005-0000-0000-00002F000000}"/>
    <cellStyle name="쉼표 [0] 2 11 3" xfId="3722" xr:uid="{00000000-0005-0000-0000-00002F000000}"/>
    <cellStyle name="쉼표 [0] 2 11 4" xfId="2009" xr:uid="{00000000-0005-0000-0000-00002F000000}"/>
    <cellStyle name="쉼표 [0] 2 12" xfId="1112" xr:uid="{00000000-0005-0000-0000-00002F000000}"/>
    <cellStyle name="쉼표 [0] 2 12 2" xfId="4539" xr:uid="{00000000-0005-0000-0000-00002F000000}"/>
    <cellStyle name="쉼표 [0] 2 12 3" xfId="2826" xr:uid="{00000000-0005-0000-0000-00002F000000}"/>
    <cellStyle name="쉼표 [0] 2 13" xfId="703" xr:uid="{00000000-0005-0000-0000-00002F000000}"/>
    <cellStyle name="쉼표 [0] 2 13 2" xfId="4131" xr:uid="{00000000-0005-0000-0000-00002F000000}"/>
    <cellStyle name="쉼표 [0] 2 13 3" xfId="2418" xr:uid="{00000000-0005-0000-0000-00002F000000}"/>
    <cellStyle name="쉼표 [0] 2 14" xfId="3476" xr:uid="{00000000-0005-0000-0000-00002F000000}"/>
    <cellStyle name="쉼표 [0] 2 15" xfId="5195" xr:uid="{6B95EDAE-DE54-43B9-AEBB-4A067220B632}"/>
    <cellStyle name="쉼표 [0] 2 16" xfId="1763" xr:uid="{00000000-0005-0000-0000-00002F000000}"/>
    <cellStyle name="쉼표 [0] 2 2" xfId="12" xr:uid="{724CD427-2673-4E39-A416-96BEE7935B57}"/>
    <cellStyle name="쉼표 [0] 2 2 10" xfId="1113" xr:uid="{724CD427-2673-4E39-A416-96BEE7935B57}"/>
    <cellStyle name="쉼표 [0] 2 2 10 2" xfId="4540" xr:uid="{724CD427-2673-4E39-A416-96BEE7935B57}"/>
    <cellStyle name="쉼표 [0] 2 2 10 3" xfId="2827" xr:uid="{724CD427-2673-4E39-A416-96BEE7935B57}"/>
    <cellStyle name="쉼표 [0] 2 2 11" xfId="705" xr:uid="{724CD427-2673-4E39-A416-96BEE7935B57}"/>
    <cellStyle name="쉼표 [0] 2 2 11 2" xfId="4133" xr:uid="{724CD427-2673-4E39-A416-96BEE7935B57}"/>
    <cellStyle name="쉼표 [0] 2 2 11 3" xfId="2420" xr:uid="{724CD427-2673-4E39-A416-96BEE7935B57}"/>
    <cellStyle name="쉼표 [0] 2 2 12" xfId="3478" xr:uid="{724CD427-2673-4E39-A416-96BEE7935B57}"/>
    <cellStyle name="쉼표 [0] 2 2 13" xfId="5198" xr:uid="{A017D6E5-1A9B-4D5D-A4EF-85D84D308AC4}"/>
    <cellStyle name="쉼표 [0] 2 2 14" xfId="1765" xr:uid="{724CD427-2673-4E39-A416-96BEE7935B57}"/>
    <cellStyle name="쉼표 [0] 2 2 2" xfId="47" xr:uid="{0ACED0AB-9CB5-4DF4-A232-B4263C5A7FD3}"/>
    <cellStyle name="쉼표 [0] 2 2 2 10" xfId="1785" xr:uid="{0ACED0AB-9CB5-4DF4-A232-B4263C5A7FD3}"/>
    <cellStyle name="쉼표 [0] 2 2 2 2" xfId="99" xr:uid="{0ACED0AB-9CB5-4DF4-A232-B4263C5A7FD3}"/>
    <cellStyle name="쉼표 [0] 2 2 2 2 2" xfId="266" xr:uid="{0ACED0AB-9CB5-4DF4-A232-B4263C5A7FD3}"/>
    <cellStyle name="쉼표 [0] 2 2 2 2 2 2" xfId="677" xr:uid="{0ACED0AB-9CB5-4DF4-A232-B4263C5A7FD3}"/>
    <cellStyle name="쉼표 [0] 2 2 2 2 2 2 2" xfId="1737" xr:uid="{0ACED0AB-9CB5-4DF4-A232-B4263C5A7FD3}"/>
    <cellStyle name="쉼표 [0] 2 2 2 2 2 2 2 2" xfId="5163" xr:uid="{0ACED0AB-9CB5-4DF4-A232-B4263C5A7FD3}"/>
    <cellStyle name="쉼표 [0] 2 2 2 2 2 2 2 3" xfId="3450" xr:uid="{0ACED0AB-9CB5-4DF4-A232-B4263C5A7FD3}"/>
    <cellStyle name="쉼표 [0] 2 2 2 2 2 2 3" xfId="1087" xr:uid="{0ACED0AB-9CB5-4DF4-A232-B4263C5A7FD3}"/>
    <cellStyle name="쉼표 [0] 2 2 2 2 2 2 3 2" xfId="4515" xr:uid="{0ACED0AB-9CB5-4DF4-A232-B4263C5A7FD3}"/>
    <cellStyle name="쉼표 [0] 2 2 2 2 2 2 3 3" xfId="2802" xr:uid="{0ACED0AB-9CB5-4DF4-A232-B4263C5A7FD3}"/>
    <cellStyle name="쉼표 [0] 2 2 2 2 2 2 4" xfId="4106" xr:uid="{0ACED0AB-9CB5-4DF4-A232-B4263C5A7FD3}"/>
    <cellStyle name="쉼표 [0] 2 2 2 2 2 2 5" xfId="2393" xr:uid="{0ACED0AB-9CB5-4DF4-A232-B4263C5A7FD3}"/>
    <cellStyle name="쉼표 [0] 2 2 2 2 2 3" xfId="432" xr:uid="{0ACED0AB-9CB5-4DF4-A232-B4263C5A7FD3}"/>
    <cellStyle name="쉼표 [0] 2 2 2 2 2 3 2" xfId="1492" xr:uid="{0ACED0AB-9CB5-4DF4-A232-B4263C5A7FD3}"/>
    <cellStyle name="쉼표 [0] 2 2 2 2 2 3 2 2" xfId="4919" xr:uid="{0ACED0AB-9CB5-4DF4-A232-B4263C5A7FD3}"/>
    <cellStyle name="쉼표 [0] 2 2 2 2 2 3 2 3" xfId="3206" xr:uid="{0ACED0AB-9CB5-4DF4-A232-B4263C5A7FD3}"/>
    <cellStyle name="쉼표 [0] 2 2 2 2 2 3 3" xfId="3862" xr:uid="{0ACED0AB-9CB5-4DF4-A232-B4263C5A7FD3}"/>
    <cellStyle name="쉼표 [0] 2 2 2 2 2 3 4" xfId="2149" xr:uid="{0ACED0AB-9CB5-4DF4-A232-B4263C5A7FD3}"/>
    <cellStyle name="쉼표 [0] 2 2 2 2 2 4" xfId="1328" xr:uid="{0ACED0AB-9CB5-4DF4-A232-B4263C5A7FD3}"/>
    <cellStyle name="쉼표 [0] 2 2 2 2 2 4 2" xfId="4755" xr:uid="{0ACED0AB-9CB5-4DF4-A232-B4263C5A7FD3}"/>
    <cellStyle name="쉼표 [0] 2 2 2 2 2 4 3" xfId="3042" xr:uid="{0ACED0AB-9CB5-4DF4-A232-B4263C5A7FD3}"/>
    <cellStyle name="쉼표 [0] 2 2 2 2 2 5" xfId="843" xr:uid="{0ACED0AB-9CB5-4DF4-A232-B4263C5A7FD3}"/>
    <cellStyle name="쉼표 [0] 2 2 2 2 2 5 2" xfId="4271" xr:uid="{0ACED0AB-9CB5-4DF4-A232-B4263C5A7FD3}"/>
    <cellStyle name="쉼표 [0] 2 2 2 2 2 5 3" xfId="2558" xr:uid="{0ACED0AB-9CB5-4DF4-A232-B4263C5A7FD3}"/>
    <cellStyle name="쉼표 [0] 2 2 2 2 2 6" xfId="3698" xr:uid="{0ACED0AB-9CB5-4DF4-A232-B4263C5A7FD3}"/>
    <cellStyle name="쉼표 [0] 2 2 2 2 2 7" xfId="1985" xr:uid="{0ACED0AB-9CB5-4DF4-A232-B4263C5A7FD3}"/>
    <cellStyle name="쉼표 [0] 2 2 2 2 3" xfId="184" xr:uid="{0ACED0AB-9CB5-4DF4-A232-B4263C5A7FD3}"/>
    <cellStyle name="쉼표 [0] 2 2 2 2 3 2" xfId="595" xr:uid="{0ACED0AB-9CB5-4DF4-A232-B4263C5A7FD3}"/>
    <cellStyle name="쉼표 [0] 2 2 2 2 3 2 2" xfId="1655" xr:uid="{0ACED0AB-9CB5-4DF4-A232-B4263C5A7FD3}"/>
    <cellStyle name="쉼표 [0] 2 2 2 2 3 2 2 2" xfId="5081" xr:uid="{0ACED0AB-9CB5-4DF4-A232-B4263C5A7FD3}"/>
    <cellStyle name="쉼표 [0] 2 2 2 2 3 2 2 3" xfId="3368" xr:uid="{0ACED0AB-9CB5-4DF4-A232-B4263C5A7FD3}"/>
    <cellStyle name="쉼표 [0] 2 2 2 2 3 2 3" xfId="4024" xr:uid="{0ACED0AB-9CB5-4DF4-A232-B4263C5A7FD3}"/>
    <cellStyle name="쉼표 [0] 2 2 2 2 3 2 4" xfId="2311" xr:uid="{0ACED0AB-9CB5-4DF4-A232-B4263C5A7FD3}"/>
    <cellStyle name="쉼표 [0] 2 2 2 2 3 3" xfId="1247" xr:uid="{0ACED0AB-9CB5-4DF4-A232-B4263C5A7FD3}"/>
    <cellStyle name="쉼표 [0] 2 2 2 2 3 3 2" xfId="4674" xr:uid="{0ACED0AB-9CB5-4DF4-A232-B4263C5A7FD3}"/>
    <cellStyle name="쉼표 [0] 2 2 2 2 3 3 3" xfId="2961" xr:uid="{0ACED0AB-9CB5-4DF4-A232-B4263C5A7FD3}"/>
    <cellStyle name="쉼표 [0] 2 2 2 2 3 4" xfId="1005" xr:uid="{0ACED0AB-9CB5-4DF4-A232-B4263C5A7FD3}"/>
    <cellStyle name="쉼표 [0] 2 2 2 2 3 4 2" xfId="4433" xr:uid="{0ACED0AB-9CB5-4DF4-A232-B4263C5A7FD3}"/>
    <cellStyle name="쉼표 [0] 2 2 2 2 3 4 3" xfId="2720" xr:uid="{0ACED0AB-9CB5-4DF4-A232-B4263C5A7FD3}"/>
    <cellStyle name="쉼표 [0] 2 2 2 2 3 5" xfId="3616" xr:uid="{0ACED0AB-9CB5-4DF4-A232-B4263C5A7FD3}"/>
    <cellStyle name="쉼표 [0] 2 2 2 2 3 6" xfId="1903" xr:uid="{0ACED0AB-9CB5-4DF4-A232-B4263C5A7FD3}"/>
    <cellStyle name="쉼표 [0] 2 2 2 2 4" xfId="513" xr:uid="{0ACED0AB-9CB5-4DF4-A232-B4263C5A7FD3}"/>
    <cellStyle name="쉼표 [0] 2 2 2 2 4 2" xfId="1573" xr:uid="{0ACED0AB-9CB5-4DF4-A232-B4263C5A7FD3}"/>
    <cellStyle name="쉼표 [0] 2 2 2 2 4 2 2" xfId="4999" xr:uid="{0ACED0AB-9CB5-4DF4-A232-B4263C5A7FD3}"/>
    <cellStyle name="쉼표 [0] 2 2 2 2 4 2 3" xfId="3286" xr:uid="{0ACED0AB-9CB5-4DF4-A232-B4263C5A7FD3}"/>
    <cellStyle name="쉼표 [0] 2 2 2 2 4 3" xfId="923" xr:uid="{0ACED0AB-9CB5-4DF4-A232-B4263C5A7FD3}"/>
    <cellStyle name="쉼표 [0] 2 2 2 2 4 3 2" xfId="4351" xr:uid="{0ACED0AB-9CB5-4DF4-A232-B4263C5A7FD3}"/>
    <cellStyle name="쉼표 [0] 2 2 2 2 4 3 3" xfId="2638" xr:uid="{0ACED0AB-9CB5-4DF4-A232-B4263C5A7FD3}"/>
    <cellStyle name="쉼표 [0] 2 2 2 2 4 4" xfId="3942" xr:uid="{0ACED0AB-9CB5-4DF4-A232-B4263C5A7FD3}"/>
    <cellStyle name="쉼표 [0] 2 2 2 2 4 5" xfId="2229" xr:uid="{0ACED0AB-9CB5-4DF4-A232-B4263C5A7FD3}"/>
    <cellStyle name="쉼표 [0] 2 2 2 2 5" xfId="350" xr:uid="{0ACED0AB-9CB5-4DF4-A232-B4263C5A7FD3}"/>
    <cellStyle name="쉼표 [0] 2 2 2 2 5 2" xfId="1410" xr:uid="{0ACED0AB-9CB5-4DF4-A232-B4263C5A7FD3}"/>
    <cellStyle name="쉼표 [0] 2 2 2 2 5 2 2" xfId="4837" xr:uid="{0ACED0AB-9CB5-4DF4-A232-B4263C5A7FD3}"/>
    <cellStyle name="쉼표 [0] 2 2 2 2 5 2 3" xfId="3124" xr:uid="{0ACED0AB-9CB5-4DF4-A232-B4263C5A7FD3}"/>
    <cellStyle name="쉼표 [0] 2 2 2 2 5 3" xfId="3780" xr:uid="{0ACED0AB-9CB5-4DF4-A232-B4263C5A7FD3}"/>
    <cellStyle name="쉼표 [0] 2 2 2 2 5 4" xfId="2067" xr:uid="{0ACED0AB-9CB5-4DF4-A232-B4263C5A7FD3}"/>
    <cellStyle name="쉼표 [0] 2 2 2 2 6" xfId="1168" xr:uid="{0ACED0AB-9CB5-4DF4-A232-B4263C5A7FD3}"/>
    <cellStyle name="쉼표 [0] 2 2 2 2 6 2" xfId="4595" xr:uid="{0ACED0AB-9CB5-4DF4-A232-B4263C5A7FD3}"/>
    <cellStyle name="쉼표 [0] 2 2 2 2 6 3" xfId="2882" xr:uid="{0ACED0AB-9CB5-4DF4-A232-B4263C5A7FD3}"/>
    <cellStyle name="쉼표 [0] 2 2 2 2 7" xfId="761" xr:uid="{0ACED0AB-9CB5-4DF4-A232-B4263C5A7FD3}"/>
    <cellStyle name="쉼표 [0] 2 2 2 2 7 2" xfId="4189" xr:uid="{0ACED0AB-9CB5-4DF4-A232-B4263C5A7FD3}"/>
    <cellStyle name="쉼표 [0] 2 2 2 2 7 3" xfId="2476" xr:uid="{0ACED0AB-9CB5-4DF4-A232-B4263C5A7FD3}"/>
    <cellStyle name="쉼표 [0] 2 2 2 2 8" xfId="3534" xr:uid="{0ACED0AB-9CB5-4DF4-A232-B4263C5A7FD3}"/>
    <cellStyle name="쉼표 [0] 2 2 2 2 9" xfId="1821" xr:uid="{0ACED0AB-9CB5-4DF4-A232-B4263C5A7FD3}"/>
    <cellStyle name="쉼표 [0] 2 2 2 3" xfId="230" xr:uid="{0ACED0AB-9CB5-4DF4-A232-B4263C5A7FD3}"/>
    <cellStyle name="쉼표 [0] 2 2 2 3 2" xfId="641" xr:uid="{0ACED0AB-9CB5-4DF4-A232-B4263C5A7FD3}"/>
    <cellStyle name="쉼표 [0] 2 2 2 3 2 2" xfId="1701" xr:uid="{0ACED0AB-9CB5-4DF4-A232-B4263C5A7FD3}"/>
    <cellStyle name="쉼표 [0] 2 2 2 3 2 2 2" xfId="5127" xr:uid="{0ACED0AB-9CB5-4DF4-A232-B4263C5A7FD3}"/>
    <cellStyle name="쉼표 [0] 2 2 2 3 2 2 3" xfId="3414" xr:uid="{0ACED0AB-9CB5-4DF4-A232-B4263C5A7FD3}"/>
    <cellStyle name="쉼표 [0] 2 2 2 3 2 3" xfId="1051" xr:uid="{0ACED0AB-9CB5-4DF4-A232-B4263C5A7FD3}"/>
    <cellStyle name="쉼표 [0] 2 2 2 3 2 3 2" xfId="4479" xr:uid="{0ACED0AB-9CB5-4DF4-A232-B4263C5A7FD3}"/>
    <cellStyle name="쉼표 [0] 2 2 2 3 2 3 3" xfId="2766" xr:uid="{0ACED0AB-9CB5-4DF4-A232-B4263C5A7FD3}"/>
    <cellStyle name="쉼표 [0] 2 2 2 3 2 4" xfId="4070" xr:uid="{0ACED0AB-9CB5-4DF4-A232-B4263C5A7FD3}"/>
    <cellStyle name="쉼표 [0] 2 2 2 3 2 5" xfId="2357" xr:uid="{0ACED0AB-9CB5-4DF4-A232-B4263C5A7FD3}"/>
    <cellStyle name="쉼표 [0] 2 2 2 3 3" xfId="396" xr:uid="{0ACED0AB-9CB5-4DF4-A232-B4263C5A7FD3}"/>
    <cellStyle name="쉼표 [0] 2 2 2 3 3 2" xfId="1456" xr:uid="{0ACED0AB-9CB5-4DF4-A232-B4263C5A7FD3}"/>
    <cellStyle name="쉼표 [0] 2 2 2 3 3 2 2" xfId="4883" xr:uid="{0ACED0AB-9CB5-4DF4-A232-B4263C5A7FD3}"/>
    <cellStyle name="쉼표 [0] 2 2 2 3 3 2 3" xfId="3170" xr:uid="{0ACED0AB-9CB5-4DF4-A232-B4263C5A7FD3}"/>
    <cellStyle name="쉼표 [0] 2 2 2 3 3 3" xfId="3826" xr:uid="{0ACED0AB-9CB5-4DF4-A232-B4263C5A7FD3}"/>
    <cellStyle name="쉼표 [0] 2 2 2 3 3 4" xfId="2113" xr:uid="{0ACED0AB-9CB5-4DF4-A232-B4263C5A7FD3}"/>
    <cellStyle name="쉼표 [0] 2 2 2 3 4" xfId="1292" xr:uid="{0ACED0AB-9CB5-4DF4-A232-B4263C5A7FD3}"/>
    <cellStyle name="쉼표 [0] 2 2 2 3 4 2" xfId="4719" xr:uid="{0ACED0AB-9CB5-4DF4-A232-B4263C5A7FD3}"/>
    <cellStyle name="쉼표 [0] 2 2 2 3 4 3" xfId="3006" xr:uid="{0ACED0AB-9CB5-4DF4-A232-B4263C5A7FD3}"/>
    <cellStyle name="쉼표 [0] 2 2 2 3 5" xfId="807" xr:uid="{0ACED0AB-9CB5-4DF4-A232-B4263C5A7FD3}"/>
    <cellStyle name="쉼표 [0] 2 2 2 3 5 2" xfId="4235" xr:uid="{0ACED0AB-9CB5-4DF4-A232-B4263C5A7FD3}"/>
    <cellStyle name="쉼표 [0] 2 2 2 3 5 3" xfId="2522" xr:uid="{0ACED0AB-9CB5-4DF4-A232-B4263C5A7FD3}"/>
    <cellStyle name="쉼표 [0] 2 2 2 3 6" xfId="3662" xr:uid="{0ACED0AB-9CB5-4DF4-A232-B4263C5A7FD3}"/>
    <cellStyle name="쉼표 [0] 2 2 2 3 7" xfId="1949" xr:uid="{0ACED0AB-9CB5-4DF4-A232-B4263C5A7FD3}"/>
    <cellStyle name="쉼표 [0] 2 2 2 4" xfId="148" xr:uid="{0ACED0AB-9CB5-4DF4-A232-B4263C5A7FD3}"/>
    <cellStyle name="쉼표 [0] 2 2 2 4 2" xfId="559" xr:uid="{0ACED0AB-9CB5-4DF4-A232-B4263C5A7FD3}"/>
    <cellStyle name="쉼표 [0] 2 2 2 4 2 2" xfId="1619" xr:uid="{0ACED0AB-9CB5-4DF4-A232-B4263C5A7FD3}"/>
    <cellStyle name="쉼표 [0] 2 2 2 4 2 2 2" xfId="5045" xr:uid="{0ACED0AB-9CB5-4DF4-A232-B4263C5A7FD3}"/>
    <cellStyle name="쉼표 [0] 2 2 2 4 2 2 3" xfId="3332" xr:uid="{0ACED0AB-9CB5-4DF4-A232-B4263C5A7FD3}"/>
    <cellStyle name="쉼표 [0] 2 2 2 4 2 3" xfId="3988" xr:uid="{0ACED0AB-9CB5-4DF4-A232-B4263C5A7FD3}"/>
    <cellStyle name="쉼표 [0] 2 2 2 4 2 4" xfId="2275" xr:uid="{0ACED0AB-9CB5-4DF4-A232-B4263C5A7FD3}"/>
    <cellStyle name="쉼표 [0] 2 2 2 4 3" xfId="1211" xr:uid="{0ACED0AB-9CB5-4DF4-A232-B4263C5A7FD3}"/>
    <cellStyle name="쉼표 [0] 2 2 2 4 3 2" xfId="4638" xr:uid="{0ACED0AB-9CB5-4DF4-A232-B4263C5A7FD3}"/>
    <cellStyle name="쉼표 [0] 2 2 2 4 3 3" xfId="2925" xr:uid="{0ACED0AB-9CB5-4DF4-A232-B4263C5A7FD3}"/>
    <cellStyle name="쉼표 [0] 2 2 2 4 4" xfId="969" xr:uid="{0ACED0AB-9CB5-4DF4-A232-B4263C5A7FD3}"/>
    <cellStyle name="쉼표 [0] 2 2 2 4 4 2" xfId="4397" xr:uid="{0ACED0AB-9CB5-4DF4-A232-B4263C5A7FD3}"/>
    <cellStyle name="쉼표 [0] 2 2 2 4 4 3" xfId="2684" xr:uid="{0ACED0AB-9CB5-4DF4-A232-B4263C5A7FD3}"/>
    <cellStyle name="쉼표 [0] 2 2 2 4 5" xfId="3580" xr:uid="{0ACED0AB-9CB5-4DF4-A232-B4263C5A7FD3}"/>
    <cellStyle name="쉼표 [0] 2 2 2 4 6" xfId="1867" xr:uid="{0ACED0AB-9CB5-4DF4-A232-B4263C5A7FD3}"/>
    <cellStyle name="쉼표 [0] 2 2 2 5" xfId="477" xr:uid="{0ACED0AB-9CB5-4DF4-A232-B4263C5A7FD3}"/>
    <cellStyle name="쉼표 [0] 2 2 2 5 2" xfId="1537" xr:uid="{0ACED0AB-9CB5-4DF4-A232-B4263C5A7FD3}"/>
    <cellStyle name="쉼표 [0] 2 2 2 5 2 2" xfId="4963" xr:uid="{0ACED0AB-9CB5-4DF4-A232-B4263C5A7FD3}"/>
    <cellStyle name="쉼표 [0] 2 2 2 5 2 3" xfId="3250" xr:uid="{0ACED0AB-9CB5-4DF4-A232-B4263C5A7FD3}"/>
    <cellStyle name="쉼표 [0] 2 2 2 5 3" xfId="887" xr:uid="{0ACED0AB-9CB5-4DF4-A232-B4263C5A7FD3}"/>
    <cellStyle name="쉼표 [0] 2 2 2 5 3 2" xfId="4315" xr:uid="{0ACED0AB-9CB5-4DF4-A232-B4263C5A7FD3}"/>
    <cellStyle name="쉼표 [0] 2 2 2 5 3 3" xfId="2602" xr:uid="{0ACED0AB-9CB5-4DF4-A232-B4263C5A7FD3}"/>
    <cellStyle name="쉼표 [0] 2 2 2 5 4" xfId="3906" xr:uid="{0ACED0AB-9CB5-4DF4-A232-B4263C5A7FD3}"/>
    <cellStyle name="쉼표 [0] 2 2 2 5 5" xfId="2193" xr:uid="{0ACED0AB-9CB5-4DF4-A232-B4263C5A7FD3}"/>
    <cellStyle name="쉼표 [0] 2 2 2 6" xfId="314" xr:uid="{0ACED0AB-9CB5-4DF4-A232-B4263C5A7FD3}"/>
    <cellStyle name="쉼표 [0] 2 2 2 6 2" xfId="1374" xr:uid="{0ACED0AB-9CB5-4DF4-A232-B4263C5A7FD3}"/>
    <cellStyle name="쉼표 [0] 2 2 2 6 2 2" xfId="4801" xr:uid="{0ACED0AB-9CB5-4DF4-A232-B4263C5A7FD3}"/>
    <cellStyle name="쉼표 [0] 2 2 2 6 2 3" xfId="3088" xr:uid="{0ACED0AB-9CB5-4DF4-A232-B4263C5A7FD3}"/>
    <cellStyle name="쉼표 [0] 2 2 2 6 3" xfId="3744" xr:uid="{0ACED0AB-9CB5-4DF4-A232-B4263C5A7FD3}"/>
    <cellStyle name="쉼표 [0] 2 2 2 6 4" xfId="2031" xr:uid="{0ACED0AB-9CB5-4DF4-A232-B4263C5A7FD3}"/>
    <cellStyle name="쉼표 [0] 2 2 2 7" xfId="1132" xr:uid="{0ACED0AB-9CB5-4DF4-A232-B4263C5A7FD3}"/>
    <cellStyle name="쉼표 [0] 2 2 2 7 2" xfId="4559" xr:uid="{0ACED0AB-9CB5-4DF4-A232-B4263C5A7FD3}"/>
    <cellStyle name="쉼표 [0] 2 2 2 7 3" xfId="2846" xr:uid="{0ACED0AB-9CB5-4DF4-A232-B4263C5A7FD3}"/>
    <cellStyle name="쉼표 [0] 2 2 2 8" xfId="725" xr:uid="{0ACED0AB-9CB5-4DF4-A232-B4263C5A7FD3}"/>
    <cellStyle name="쉼표 [0] 2 2 2 8 2" xfId="4153" xr:uid="{0ACED0AB-9CB5-4DF4-A232-B4263C5A7FD3}"/>
    <cellStyle name="쉼표 [0] 2 2 2 8 3" xfId="2440" xr:uid="{0ACED0AB-9CB5-4DF4-A232-B4263C5A7FD3}"/>
    <cellStyle name="쉼표 [0] 2 2 2 9" xfId="3498" xr:uid="{0ACED0AB-9CB5-4DF4-A232-B4263C5A7FD3}"/>
    <cellStyle name="쉼표 [0] 2 2 3" xfId="41" xr:uid="{559827F9-E153-42BC-9384-B3F1B82BE73F}"/>
    <cellStyle name="쉼표 [0] 2 2 3 10" xfId="1780" xr:uid="{559827F9-E153-42BC-9384-B3F1B82BE73F}"/>
    <cellStyle name="쉼표 [0] 2 2 3 2" xfId="94" xr:uid="{559827F9-E153-42BC-9384-B3F1B82BE73F}"/>
    <cellStyle name="쉼표 [0] 2 2 3 2 2" xfId="261" xr:uid="{559827F9-E153-42BC-9384-B3F1B82BE73F}"/>
    <cellStyle name="쉼표 [0] 2 2 3 2 2 2" xfId="672" xr:uid="{559827F9-E153-42BC-9384-B3F1B82BE73F}"/>
    <cellStyle name="쉼표 [0] 2 2 3 2 2 2 2" xfId="1732" xr:uid="{559827F9-E153-42BC-9384-B3F1B82BE73F}"/>
    <cellStyle name="쉼표 [0] 2 2 3 2 2 2 2 2" xfId="5158" xr:uid="{559827F9-E153-42BC-9384-B3F1B82BE73F}"/>
    <cellStyle name="쉼표 [0] 2 2 3 2 2 2 2 3" xfId="3445" xr:uid="{559827F9-E153-42BC-9384-B3F1B82BE73F}"/>
    <cellStyle name="쉼표 [0] 2 2 3 2 2 2 3" xfId="1082" xr:uid="{559827F9-E153-42BC-9384-B3F1B82BE73F}"/>
    <cellStyle name="쉼표 [0] 2 2 3 2 2 2 3 2" xfId="4510" xr:uid="{559827F9-E153-42BC-9384-B3F1B82BE73F}"/>
    <cellStyle name="쉼표 [0] 2 2 3 2 2 2 3 3" xfId="2797" xr:uid="{559827F9-E153-42BC-9384-B3F1B82BE73F}"/>
    <cellStyle name="쉼표 [0] 2 2 3 2 2 2 4" xfId="4101" xr:uid="{559827F9-E153-42BC-9384-B3F1B82BE73F}"/>
    <cellStyle name="쉼표 [0] 2 2 3 2 2 2 5" xfId="2388" xr:uid="{559827F9-E153-42BC-9384-B3F1B82BE73F}"/>
    <cellStyle name="쉼표 [0] 2 2 3 2 2 3" xfId="427" xr:uid="{559827F9-E153-42BC-9384-B3F1B82BE73F}"/>
    <cellStyle name="쉼표 [0] 2 2 3 2 2 3 2" xfId="1487" xr:uid="{559827F9-E153-42BC-9384-B3F1B82BE73F}"/>
    <cellStyle name="쉼표 [0] 2 2 3 2 2 3 2 2" xfId="4914" xr:uid="{559827F9-E153-42BC-9384-B3F1B82BE73F}"/>
    <cellStyle name="쉼표 [0] 2 2 3 2 2 3 2 3" xfId="3201" xr:uid="{559827F9-E153-42BC-9384-B3F1B82BE73F}"/>
    <cellStyle name="쉼표 [0] 2 2 3 2 2 3 3" xfId="3857" xr:uid="{559827F9-E153-42BC-9384-B3F1B82BE73F}"/>
    <cellStyle name="쉼표 [0] 2 2 3 2 2 3 4" xfId="2144" xr:uid="{559827F9-E153-42BC-9384-B3F1B82BE73F}"/>
    <cellStyle name="쉼표 [0] 2 2 3 2 2 4" xfId="1323" xr:uid="{559827F9-E153-42BC-9384-B3F1B82BE73F}"/>
    <cellStyle name="쉼표 [0] 2 2 3 2 2 4 2" xfId="4750" xr:uid="{559827F9-E153-42BC-9384-B3F1B82BE73F}"/>
    <cellStyle name="쉼표 [0] 2 2 3 2 2 4 3" xfId="3037" xr:uid="{559827F9-E153-42BC-9384-B3F1B82BE73F}"/>
    <cellStyle name="쉼표 [0] 2 2 3 2 2 5" xfId="838" xr:uid="{559827F9-E153-42BC-9384-B3F1B82BE73F}"/>
    <cellStyle name="쉼표 [0] 2 2 3 2 2 5 2" xfId="4266" xr:uid="{559827F9-E153-42BC-9384-B3F1B82BE73F}"/>
    <cellStyle name="쉼표 [0] 2 2 3 2 2 5 3" xfId="2553" xr:uid="{559827F9-E153-42BC-9384-B3F1B82BE73F}"/>
    <cellStyle name="쉼표 [0] 2 2 3 2 2 6" xfId="3693" xr:uid="{559827F9-E153-42BC-9384-B3F1B82BE73F}"/>
    <cellStyle name="쉼표 [0] 2 2 3 2 2 7" xfId="1980" xr:uid="{559827F9-E153-42BC-9384-B3F1B82BE73F}"/>
    <cellStyle name="쉼표 [0] 2 2 3 2 3" xfId="179" xr:uid="{559827F9-E153-42BC-9384-B3F1B82BE73F}"/>
    <cellStyle name="쉼표 [0] 2 2 3 2 3 2" xfId="590" xr:uid="{559827F9-E153-42BC-9384-B3F1B82BE73F}"/>
    <cellStyle name="쉼표 [0] 2 2 3 2 3 2 2" xfId="1650" xr:uid="{559827F9-E153-42BC-9384-B3F1B82BE73F}"/>
    <cellStyle name="쉼표 [0] 2 2 3 2 3 2 2 2" xfId="5076" xr:uid="{559827F9-E153-42BC-9384-B3F1B82BE73F}"/>
    <cellStyle name="쉼표 [0] 2 2 3 2 3 2 2 3" xfId="3363" xr:uid="{559827F9-E153-42BC-9384-B3F1B82BE73F}"/>
    <cellStyle name="쉼표 [0] 2 2 3 2 3 2 3" xfId="4019" xr:uid="{559827F9-E153-42BC-9384-B3F1B82BE73F}"/>
    <cellStyle name="쉼표 [0] 2 2 3 2 3 2 4" xfId="2306" xr:uid="{559827F9-E153-42BC-9384-B3F1B82BE73F}"/>
    <cellStyle name="쉼표 [0] 2 2 3 2 3 3" xfId="1242" xr:uid="{559827F9-E153-42BC-9384-B3F1B82BE73F}"/>
    <cellStyle name="쉼표 [0] 2 2 3 2 3 3 2" xfId="4669" xr:uid="{559827F9-E153-42BC-9384-B3F1B82BE73F}"/>
    <cellStyle name="쉼표 [0] 2 2 3 2 3 3 3" xfId="2956" xr:uid="{559827F9-E153-42BC-9384-B3F1B82BE73F}"/>
    <cellStyle name="쉼표 [0] 2 2 3 2 3 4" xfId="1000" xr:uid="{559827F9-E153-42BC-9384-B3F1B82BE73F}"/>
    <cellStyle name="쉼표 [0] 2 2 3 2 3 4 2" xfId="4428" xr:uid="{559827F9-E153-42BC-9384-B3F1B82BE73F}"/>
    <cellStyle name="쉼표 [0] 2 2 3 2 3 4 3" xfId="2715" xr:uid="{559827F9-E153-42BC-9384-B3F1B82BE73F}"/>
    <cellStyle name="쉼표 [0] 2 2 3 2 3 5" xfId="3611" xr:uid="{559827F9-E153-42BC-9384-B3F1B82BE73F}"/>
    <cellStyle name="쉼표 [0] 2 2 3 2 3 6" xfId="1898" xr:uid="{559827F9-E153-42BC-9384-B3F1B82BE73F}"/>
    <cellStyle name="쉼표 [0] 2 2 3 2 4" xfId="508" xr:uid="{559827F9-E153-42BC-9384-B3F1B82BE73F}"/>
    <cellStyle name="쉼표 [0] 2 2 3 2 4 2" xfId="1568" xr:uid="{559827F9-E153-42BC-9384-B3F1B82BE73F}"/>
    <cellStyle name="쉼표 [0] 2 2 3 2 4 2 2" xfId="4994" xr:uid="{559827F9-E153-42BC-9384-B3F1B82BE73F}"/>
    <cellStyle name="쉼표 [0] 2 2 3 2 4 2 3" xfId="3281" xr:uid="{559827F9-E153-42BC-9384-B3F1B82BE73F}"/>
    <cellStyle name="쉼표 [0] 2 2 3 2 4 3" xfId="918" xr:uid="{559827F9-E153-42BC-9384-B3F1B82BE73F}"/>
    <cellStyle name="쉼표 [0] 2 2 3 2 4 3 2" xfId="4346" xr:uid="{559827F9-E153-42BC-9384-B3F1B82BE73F}"/>
    <cellStyle name="쉼표 [0] 2 2 3 2 4 3 3" xfId="2633" xr:uid="{559827F9-E153-42BC-9384-B3F1B82BE73F}"/>
    <cellStyle name="쉼표 [0] 2 2 3 2 4 4" xfId="3937" xr:uid="{559827F9-E153-42BC-9384-B3F1B82BE73F}"/>
    <cellStyle name="쉼표 [0] 2 2 3 2 4 5" xfId="2224" xr:uid="{559827F9-E153-42BC-9384-B3F1B82BE73F}"/>
    <cellStyle name="쉼표 [0] 2 2 3 2 5" xfId="345" xr:uid="{559827F9-E153-42BC-9384-B3F1B82BE73F}"/>
    <cellStyle name="쉼표 [0] 2 2 3 2 5 2" xfId="1405" xr:uid="{559827F9-E153-42BC-9384-B3F1B82BE73F}"/>
    <cellStyle name="쉼표 [0] 2 2 3 2 5 2 2" xfId="4832" xr:uid="{559827F9-E153-42BC-9384-B3F1B82BE73F}"/>
    <cellStyle name="쉼표 [0] 2 2 3 2 5 2 3" xfId="3119" xr:uid="{559827F9-E153-42BC-9384-B3F1B82BE73F}"/>
    <cellStyle name="쉼표 [0] 2 2 3 2 5 3" xfId="3775" xr:uid="{559827F9-E153-42BC-9384-B3F1B82BE73F}"/>
    <cellStyle name="쉼표 [0] 2 2 3 2 5 4" xfId="2062" xr:uid="{559827F9-E153-42BC-9384-B3F1B82BE73F}"/>
    <cellStyle name="쉼표 [0] 2 2 3 2 6" xfId="1163" xr:uid="{559827F9-E153-42BC-9384-B3F1B82BE73F}"/>
    <cellStyle name="쉼표 [0] 2 2 3 2 6 2" xfId="4590" xr:uid="{559827F9-E153-42BC-9384-B3F1B82BE73F}"/>
    <cellStyle name="쉼표 [0] 2 2 3 2 6 3" xfId="2877" xr:uid="{559827F9-E153-42BC-9384-B3F1B82BE73F}"/>
    <cellStyle name="쉼표 [0] 2 2 3 2 7" xfId="756" xr:uid="{559827F9-E153-42BC-9384-B3F1B82BE73F}"/>
    <cellStyle name="쉼표 [0] 2 2 3 2 7 2" xfId="4184" xr:uid="{559827F9-E153-42BC-9384-B3F1B82BE73F}"/>
    <cellStyle name="쉼표 [0] 2 2 3 2 7 3" xfId="2471" xr:uid="{559827F9-E153-42BC-9384-B3F1B82BE73F}"/>
    <cellStyle name="쉼표 [0] 2 2 3 2 8" xfId="3529" xr:uid="{559827F9-E153-42BC-9384-B3F1B82BE73F}"/>
    <cellStyle name="쉼표 [0] 2 2 3 2 9" xfId="1816" xr:uid="{559827F9-E153-42BC-9384-B3F1B82BE73F}"/>
    <cellStyle name="쉼표 [0] 2 2 3 3" xfId="225" xr:uid="{559827F9-E153-42BC-9384-B3F1B82BE73F}"/>
    <cellStyle name="쉼표 [0] 2 2 3 3 2" xfId="636" xr:uid="{559827F9-E153-42BC-9384-B3F1B82BE73F}"/>
    <cellStyle name="쉼표 [0] 2 2 3 3 2 2" xfId="1696" xr:uid="{559827F9-E153-42BC-9384-B3F1B82BE73F}"/>
    <cellStyle name="쉼표 [0] 2 2 3 3 2 2 2" xfId="5122" xr:uid="{559827F9-E153-42BC-9384-B3F1B82BE73F}"/>
    <cellStyle name="쉼표 [0] 2 2 3 3 2 2 3" xfId="3409" xr:uid="{559827F9-E153-42BC-9384-B3F1B82BE73F}"/>
    <cellStyle name="쉼표 [0] 2 2 3 3 2 3" xfId="1046" xr:uid="{559827F9-E153-42BC-9384-B3F1B82BE73F}"/>
    <cellStyle name="쉼표 [0] 2 2 3 3 2 3 2" xfId="4474" xr:uid="{559827F9-E153-42BC-9384-B3F1B82BE73F}"/>
    <cellStyle name="쉼표 [0] 2 2 3 3 2 3 3" xfId="2761" xr:uid="{559827F9-E153-42BC-9384-B3F1B82BE73F}"/>
    <cellStyle name="쉼표 [0] 2 2 3 3 2 4" xfId="4065" xr:uid="{559827F9-E153-42BC-9384-B3F1B82BE73F}"/>
    <cellStyle name="쉼표 [0] 2 2 3 3 2 5" xfId="2352" xr:uid="{559827F9-E153-42BC-9384-B3F1B82BE73F}"/>
    <cellStyle name="쉼표 [0] 2 2 3 3 3" xfId="391" xr:uid="{559827F9-E153-42BC-9384-B3F1B82BE73F}"/>
    <cellStyle name="쉼표 [0] 2 2 3 3 3 2" xfId="1451" xr:uid="{559827F9-E153-42BC-9384-B3F1B82BE73F}"/>
    <cellStyle name="쉼표 [0] 2 2 3 3 3 2 2" xfId="4878" xr:uid="{559827F9-E153-42BC-9384-B3F1B82BE73F}"/>
    <cellStyle name="쉼표 [0] 2 2 3 3 3 2 3" xfId="3165" xr:uid="{559827F9-E153-42BC-9384-B3F1B82BE73F}"/>
    <cellStyle name="쉼표 [0] 2 2 3 3 3 3" xfId="3821" xr:uid="{559827F9-E153-42BC-9384-B3F1B82BE73F}"/>
    <cellStyle name="쉼표 [0] 2 2 3 3 3 4" xfId="2108" xr:uid="{559827F9-E153-42BC-9384-B3F1B82BE73F}"/>
    <cellStyle name="쉼표 [0] 2 2 3 3 4" xfId="1287" xr:uid="{559827F9-E153-42BC-9384-B3F1B82BE73F}"/>
    <cellStyle name="쉼표 [0] 2 2 3 3 4 2" xfId="4714" xr:uid="{559827F9-E153-42BC-9384-B3F1B82BE73F}"/>
    <cellStyle name="쉼표 [0] 2 2 3 3 4 3" xfId="3001" xr:uid="{559827F9-E153-42BC-9384-B3F1B82BE73F}"/>
    <cellStyle name="쉼표 [0] 2 2 3 3 5" xfId="802" xr:uid="{559827F9-E153-42BC-9384-B3F1B82BE73F}"/>
    <cellStyle name="쉼표 [0] 2 2 3 3 5 2" xfId="4230" xr:uid="{559827F9-E153-42BC-9384-B3F1B82BE73F}"/>
    <cellStyle name="쉼표 [0] 2 2 3 3 5 3" xfId="2517" xr:uid="{559827F9-E153-42BC-9384-B3F1B82BE73F}"/>
    <cellStyle name="쉼표 [0] 2 2 3 3 6" xfId="3657" xr:uid="{559827F9-E153-42BC-9384-B3F1B82BE73F}"/>
    <cellStyle name="쉼표 [0] 2 2 3 3 7" xfId="1944" xr:uid="{559827F9-E153-42BC-9384-B3F1B82BE73F}"/>
    <cellStyle name="쉼표 [0] 2 2 3 4" xfId="143" xr:uid="{559827F9-E153-42BC-9384-B3F1B82BE73F}"/>
    <cellStyle name="쉼표 [0] 2 2 3 4 2" xfId="554" xr:uid="{559827F9-E153-42BC-9384-B3F1B82BE73F}"/>
    <cellStyle name="쉼표 [0] 2 2 3 4 2 2" xfId="1614" xr:uid="{559827F9-E153-42BC-9384-B3F1B82BE73F}"/>
    <cellStyle name="쉼표 [0] 2 2 3 4 2 2 2" xfId="5040" xr:uid="{559827F9-E153-42BC-9384-B3F1B82BE73F}"/>
    <cellStyle name="쉼표 [0] 2 2 3 4 2 2 3" xfId="3327" xr:uid="{559827F9-E153-42BC-9384-B3F1B82BE73F}"/>
    <cellStyle name="쉼표 [0] 2 2 3 4 2 3" xfId="3983" xr:uid="{559827F9-E153-42BC-9384-B3F1B82BE73F}"/>
    <cellStyle name="쉼표 [0] 2 2 3 4 2 4" xfId="2270" xr:uid="{559827F9-E153-42BC-9384-B3F1B82BE73F}"/>
    <cellStyle name="쉼표 [0] 2 2 3 4 3" xfId="1206" xr:uid="{559827F9-E153-42BC-9384-B3F1B82BE73F}"/>
    <cellStyle name="쉼표 [0] 2 2 3 4 3 2" xfId="4633" xr:uid="{559827F9-E153-42BC-9384-B3F1B82BE73F}"/>
    <cellStyle name="쉼표 [0] 2 2 3 4 3 3" xfId="2920" xr:uid="{559827F9-E153-42BC-9384-B3F1B82BE73F}"/>
    <cellStyle name="쉼표 [0] 2 2 3 4 4" xfId="964" xr:uid="{559827F9-E153-42BC-9384-B3F1B82BE73F}"/>
    <cellStyle name="쉼표 [0] 2 2 3 4 4 2" xfId="4392" xr:uid="{559827F9-E153-42BC-9384-B3F1B82BE73F}"/>
    <cellStyle name="쉼표 [0] 2 2 3 4 4 3" xfId="2679" xr:uid="{559827F9-E153-42BC-9384-B3F1B82BE73F}"/>
    <cellStyle name="쉼표 [0] 2 2 3 4 5" xfId="3575" xr:uid="{559827F9-E153-42BC-9384-B3F1B82BE73F}"/>
    <cellStyle name="쉼표 [0] 2 2 3 4 6" xfId="1862" xr:uid="{559827F9-E153-42BC-9384-B3F1B82BE73F}"/>
    <cellStyle name="쉼표 [0] 2 2 3 5" xfId="472" xr:uid="{559827F9-E153-42BC-9384-B3F1B82BE73F}"/>
    <cellStyle name="쉼표 [0] 2 2 3 5 2" xfId="1532" xr:uid="{559827F9-E153-42BC-9384-B3F1B82BE73F}"/>
    <cellStyle name="쉼표 [0] 2 2 3 5 2 2" xfId="4958" xr:uid="{559827F9-E153-42BC-9384-B3F1B82BE73F}"/>
    <cellStyle name="쉼표 [0] 2 2 3 5 2 3" xfId="3245" xr:uid="{559827F9-E153-42BC-9384-B3F1B82BE73F}"/>
    <cellStyle name="쉼표 [0] 2 2 3 5 3" xfId="882" xr:uid="{559827F9-E153-42BC-9384-B3F1B82BE73F}"/>
    <cellStyle name="쉼표 [0] 2 2 3 5 3 2" xfId="4310" xr:uid="{559827F9-E153-42BC-9384-B3F1B82BE73F}"/>
    <cellStyle name="쉼표 [0] 2 2 3 5 3 3" xfId="2597" xr:uid="{559827F9-E153-42BC-9384-B3F1B82BE73F}"/>
    <cellStyle name="쉼표 [0] 2 2 3 5 4" xfId="3901" xr:uid="{559827F9-E153-42BC-9384-B3F1B82BE73F}"/>
    <cellStyle name="쉼표 [0] 2 2 3 5 5" xfId="2188" xr:uid="{559827F9-E153-42BC-9384-B3F1B82BE73F}"/>
    <cellStyle name="쉼표 [0] 2 2 3 6" xfId="309" xr:uid="{559827F9-E153-42BC-9384-B3F1B82BE73F}"/>
    <cellStyle name="쉼표 [0] 2 2 3 6 2" xfId="1369" xr:uid="{559827F9-E153-42BC-9384-B3F1B82BE73F}"/>
    <cellStyle name="쉼표 [0] 2 2 3 6 2 2" xfId="4796" xr:uid="{559827F9-E153-42BC-9384-B3F1B82BE73F}"/>
    <cellStyle name="쉼표 [0] 2 2 3 6 2 3" xfId="3083" xr:uid="{559827F9-E153-42BC-9384-B3F1B82BE73F}"/>
    <cellStyle name="쉼표 [0] 2 2 3 6 3" xfId="3739" xr:uid="{559827F9-E153-42BC-9384-B3F1B82BE73F}"/>
    <cellStyle name="쉼표 [0] 2 2 3 6 4" xfId="2026" xr:uid="{559827F9-E153-42BC-9384-B3F1B82BE73F}"/>
    <cellStyle name="쉼표 [0] 2 2 3 7" xfId="1127" xr:uid="{559827F9-E153-42BC-9384-B3F1B82BE73F}"/>
    <cellStyle name="쉼표 [0] 2 2 3 7 2" xfId="4554" xr:uid="{559827F9-E153-42BC-9384-B3F1B82BE73F}"/>
    <cellStyle name="쉼표 [0] 2 2 3 7 3" xfId="2841" xr:uid="{559827F9-E153-42BC-9384-B3F1B82BE73F}"/>
    <cellStyle name="쉼표 [0] 2 2 3 8" xfId="720" xr:uid="{559827F9-E153-42BC-9384-B3F1B82BE73F}"/>
    <cellStyle name="쉼표 [0] 2 2 3 8 2" xfId="4148" xr:uid="{559827F9-E153-42BC-9384-B3F1B82BE73F}"/>
    <cellStyle name="쉼표 [0] 2 2 3 8 3" xfId="2435" xr:uid="{559827F9-E153-42BC-9384-B3F1B82BE73F}"/>
    <cellStyle name="쉼표 [0] 2 2 3 9" xfId="3493" xr:uid="{559827F9-E153-42BC-9384-B3F1B82BE73F}"/>
    <cellStyle name="쉼표 [0] 2 2 4" xfId="29" xr:uid="{195A2372-545D-42EE-B5FB-9BC8B6F84916}"/>
    <cellStyle name="쉼표 [0] 2 2 4 2" xfId="219" xr:uid="{195A2372-545D-42EE-B5FB-9BC8B6F84916}"/>
    <cellStyle name="쉼표 [0] 2 2 4 2 2" xfId="630" xr:uid="{195A2372-545D-42EE-B5FB-9BC8B6F84916}"/>
    <cellStyle name="쉼표 [0] 2 2 4 2 2 2" xfId="1690" xr:uid="{195A2372-545D-42EE-B5FB-9BC8B6F84916}"/>
    <cellStyle name="쉼표 [0] 2 2 4 2 2 2 2" xfId="5116" xr:uid="{195A2372-545D-42EE-B5FB-9BC8B6F84916}"/>
    <cellStyle name="쉼표 [0] 2 2 4 2 2 2 3" xfId="3403" xr:uid="{195A2372-545D-42EE-B5FB-9BC8B6F84916}"/>
    <cellStyle name="쉼표 [0] 2 2 4 2 2 3" xfId="1040" xr:uid="{195A2372-545D-42EE-B5FB-9BC8B6F84916}"/>
    <cellStyle name="쉼표 [0] 2 2 4 2 2 3 2" xfId="4468" xr:uid="{195A2372-545D-42EE-B5FB-9BC8B6F84916}"/>
    <cellStyle name="쉼표 [0] 2 2 4 2 2 3 3" xfId="2755" xr:uid="{195A2372-545D-42EE-B5FB-9BC8B6F84916}"/>
    <cellStyle name="쉼표 [0] 2 2 4 2 2 4" xfId="4059" xr:uid="{195A2372-545D-42EE-B5FB-9BC8B6F84916}"/>
    <cellStyle name="쉼표 [0] 2 2 4 2 2 5" xfId="2346" xr:uid="{195A2372-545D-42EE-B5FB-9BC8B6F84916}"/>
    <cellStyle name="쉼표 [0] 2 2 4 2 3" xfId="385" xr:uid="{195A2372-545D-42EE-B5FB-9BC8B6F84916}"/>
    <cellStyle name="쉼표 [0] 2 2 4 2 3 2" xfId="1445" xr:uid="{195A2372-545D-42EE-B5FB-9BC8B6F84916}"/>
    <cellStyle name="쉼표 [0] 2 2 4 2 3 2 2" xfId="4872" xr:uid="{195A2372-545D-42EE-B5FB-9BC8B6F84916}"/>
    <cellStyle name="쉼표 [0] 2 2 4 2 3 2 3" xfId="3159" xr:uid="{195A2372-545D-42EE-B5FB-9BC8B6F84916}"/>
    <cellStyle name="쉼표 [0] 2 2 4 2 3 3" xfId="3815" xr:uid="{195A2372-545D-42EE-B5FB-9BC8B6F84916}"/>
    <cellStyle name="쉼표 [0] 2 2 4 2 3 4" xfId="2102" xr:uid="{195A2372-545D-42EE-B5FB-9BC8B6F84916}"/>
    <cellStyle name="쉼표 [0] 2 2 4 2 4" xfId="1281" xr:uid="{195A2372-545D-42EE-B5FB-9BC8B6F84916}"/>
    <cellStyle name="쉼표 [0] 2 2 4 2 4 2" xfId="4708" xr:uid="{195A2372-545D-42EE-B5FB-9BC8B6F84916}"/>
    <cellStyle name="쉼표 [0] 2 2 4 2 4 3" xfId="2995" xr:uid="{195A2372-545D-42EE-B5FB-9BC8B6F84916}"/>
    <cellStyle name="쉼표 [0] 2 2 4 2 5" xfId="796" xr:uid="{195A2372-545D-42EE-B5FB-9BC8B6F84916}"/>
    <cellStyle name="쉼표 [0] 2 2 4 2 5 2" xfId="4224" xr:uid="{195A2372-545D-42EE-B5FB-9BC8B6F84916}"/>
    <cellStyle name="쉼표 [0] 2 2 4 2 5 3" xfId="2511" xr:uid="{195A2372-545D-42EE-B5FB-9BC8B6F84916}"/>
    <cellStyle name="쉼표 [0] 2 2 4 2 6" xfId="3651" xr:uid="{195A2372-545D-42EE-B5FB-9BC8B6F84916}"/>
    <cellStyle name="쉼표 [0] 2 2 4 2 7" xfId="1938" xr:uid="{195A2372-545D-42EE-B5FB-9BC8B6F84916}"/>
    <cellStyle name="쉼표 [0] 2 2 4 3" xfId="137" xr:uid="{195A2372-545D-42EE-B5FB-9BC8B6F84916}"/>
    <cellStyle name="쉼표 [0] 2 2 4 3 2" xfId="548" xr:uid="{195A2372-545D-42EE-B5FB-9BC8B6F84916}"/>
    <cellStyle name="쉼표 [0] 2 2 4 3 2 2" xfId="1608" xr:uid="{195A2372-545D-42EE-B5FB-9BC8B6F84916}"/>
    <cellStyle name="쉼표 [0] 2 2 4 3 2 2 2" xfId="5034" xr:uid="{195A2372-545D-42EE-B5FB-9BC8B6F84916}"/>
    <cellStyle name="쉼표 [0] 2 2 4 3 2 2 3" xfId="3321" xr:uid="{195A2372-545D-42EE-B5FB-9BC8B6F84916}"/>
    <cellStyle name="쉼표 [0] 2 2 4 3 2 3" xfId="3977" xr:uid="{195A2372-545D-42EE-B5FB-9BC8B6F84916}"/>
    <cellStyle name="쉼표 [0] 2 2 4 3 2 4" xfId="2264" xr:uid="{195A2372-545D-42EE-B5FB-9BC8B6F84916}"/>
    <cellStyle name="쉼표 [0] 2 2 4 3 3" xfId="1200" xr:uid="{195A2372-545D-42EE-B5FB-9BC8B6F84916}"/>
    <cellStyle name="쉼표 [0] 2 2 4 3 3 2" xfId="4627" xr:uid="{195A2372-545D-42EE-B5FB-9BC8B6F84916}"/>
    <cellStyle name="쉼표 [0] 2 2 4 3 3 3" xfId="2914" xr:uid="{195A2372-545D-42EE-B5FB-9BC8B6F84916}"/>
    <cellStyle name="쉼표 [0] 2 2 4 3 4" xfId="958" xr:uid="{195A2372-545D-42EE-B5FB-9BC8B6F84916}"/>
    <cellStyle name="쉼표 [0] 2 2 4 3 4 2" xfId="4386" xr:uid="{195A2372-545D-42EE-B5FB-9BC8B6F84916}"/>
    <cellStyle name="쉼표 [0] 2 2 4 3 4 3" xfId="2673" xr:uid="{195A2372-545D-42EE-B5FB-9BC8B6F84916}"/>
    <cellStyle name="쉼표 [0] 2 2 4 3 5" xfId="3569" xr:uid="{195A2372-545D-42EE-B5FB-9BC8B6F84916}"/>
    <cellStyle name="쉼표 [0] 2 2 4 3 6" xfId="1856" xr:uid="{195A2372-545D-42EE-B5FB-9BC8B6F84916}"/>
    <cellStyle name="쉼표 [0] 2 2 4 4" xfId="466" xr:uid="{195A2372-545D-42EE-B5FB-9BC8B6F84916}"/>
    <cellStyle name="쉼표 [0] 2 2 4 4 2" xfId="1526" xr:uid="{195A2372-545D-42EE-B5FB-9BC8B6F84916}"/>
    <cellStyle name="쉼표 [0] 2 2 4 4 2 2" xfId="4952" xr:uid="{195A2372-545D-42EE-B5FB-9BC8B6F84916}"/>
    <cellStyle name="쉼표 [0] 2 2 4 4 2 3" xfId="3239" xr:uid="{195A2372-545D-42EE-B5FB-9BC8B6F84916}"/>
    <cellStyle name="쉼표 [0] 2 2 4 4 3" xfId="876" xr:uid="{195A2372-545D-42EE-B5FB-9BC8B6F84916}"/>
    <cellStyle name="쉼표 [0] 2 2 4 4 3 2" xfId="4304" xr:uid="{195A2372-545D-42EE-B5FB-9BC8B6F84916}"/>
    <cellStyle name="쉼표 [0] 2 2 4 4 3 3" xfId="2591" xr:uid="{195A2372-545D-42EE-B5FB-9BC8B6F84916}"/>
    <cellStyle name="쉼표 [0] 2 2 4 4 4" xfId="3895" xr:uid="{195A2372-545D-42EE-B5FB-9BC8B6F84916}"/>
    <cellStyle name="쉼표 [0] 2 2 4 4 5" xfId="2182" xr:uid="{195A2372-545D-42EE-B5FB-9BC8B6F84916}"/>
    <cellStyle name="쉼표 [0] 2 2 4 5" xfId="303" xr:uid="{195A2372-545D-42EE-B5FB-9BC8B6F84916}"/>
    <cellStyle name="쉼표 [0] 2 2 4 5 2" xfId="1363" xr:uid="{195A2372-545D-42EE-B5FB-9BC8B6F84916}"/>
    <cellStyle name="쉼표 [0] 2 2 4 5 2 2" xfId="4790" xr:uid="{195A2372-545D-42EE-B5FB-9BC8B6F84916}"/>
    <cellStyle name="쉼표 [0] 2 2 4 5 2 3" xfId="3077" xr:uid="{195A2372-545D-42EE-B5FB-9BC8B6F84916}"/>
    <cellStyle name="쉼표 [0] 2 2 4 5 3" xfId="3733" xr:uid="{195A2372-545D-42EE-B5FB-9BC8B6F84916}"/>
    <cellStyle name="쉼표 [0] 2 2 4 5 4" xfId="2020" xr:uid="{195A2372-545D-42EE-B5FB-9BC8B6F84916}"/>
    <cellStyle name="쉼표 [0] 2 2 4 6" xfId="1121" xr:uid="{195A2372-545D-42EE-B5FB-9BC8B6F84916}"/>
    <cellStyle name="쉼표 [0] 2 2 4 6 2" xfId="4548" xr:uid="{195A2372-545D-42EE-B5FB-9BC8B6F84916}"/>
    <cellStyle name="쉼표 [0] 2 2 4 6 3" xfId="2835" xr:uid="{195A2372-545D-42EE-B5FB-9BC8B6F84916}"/>
    <cellStyle name="쉼표 [0] 2 2 4 7" xfId="714" xr:uid="{195A2372-545D-42EE-B5FB-9BC8B6F84916}"/>
    <cellStyle name="쉼표 [0] 2 2 4 7 2" xfId="4142" xr:uid="{195A2372-545D-42EE-B5FB-9BC8B6F84916}"/>
    <cellStyle name="쉼표 [0] 2 2 4 7 3" xfId="2429" xr:uid="{195A2372-545D-42EE-B5FB-9BC8B6F84916}"/>
    <cellStyle name="쉼표 [0] 2 2 4 8" xfId="3487" xr:uid="{195A2372-545D-42EE-B5FB-9BC8B6F84916}"/>
    <cellStyle name="쉼표 [0] 2 2 4 9" xfId="1774" xr:uid="{195A2372-545D-42EE-B5FB-9BC8B6F84916}"/>
    <cellStyle name="쉼표 [0] 2 2 5" xfId="88" xr:uid="{195A2372-545D-42EE-B5FB-9BC8B6F84916}"/>
    <cellStyle name="쉼표 [0] 2 2 5 2" xfId="255" xr:uid="{195A2372-545D-42EE-B5FB-9BC8B6F84916}"/>
    <cellStyle name="쉼표 [0] 2 2 5 2 2" xfId="666" xr:uid="{195A2372-545D-42EE-B5FB-9BC8B6F84916}"/>
    <cellStyle name="쉼표 [0] 2 2 5 2 2 2" xfId="1726" xr:uid="{195A2372-545D-42EE-B5FB-9BC8B6F84916}"/>
    <cellStyle name="쉼표 [0] 2 2 5 2 2 2 2" xfId="5152" xr:uid="{195A2372-545D-42EE-B5FB-9BC8B6F84916}"/>
    <cellStyle name="쉼표 [0] 2 2 5 2 2 2 3" xfId="3439" xr:uid="{195A2372-545D-42EE-B5FB-9BC8B6F84916}"/>
    <cellStyle name="쉼표 [0] 2 2 5 2 2 3" xfId="1076" xr:uid="{195A2372-545D-42EE-B5FB-9BC8B6F84916}"/>
    <cellStyle name="쉼표 [0] 2 2 5 2 2 3 2" xfId="4504" xr:uid="{195A2372-545D-42EE-B5FB-9BC8B6F84916}"/>
    <cellStyle name="쉼표 [0] 2 2 5 2 2 3 3" xfId="2791" xr:uid="{195A2372-545D-42EE-B5FB-9BC8B6F84916}"/>
    <cellStyle name="쉼표 [0] 2 2 5 2 2 4" xfId="4095" xr:uid="{195A2372-545D-42EE-B5FB-9BC8B6F84916}"/>
    <cellStyle name="쉼표 [0] 2 2 5 2 2 5" xfId="2382" xr:uid="{195A2372-545D-42EE-B5FB-9BC8B6F84916}"/>
    <cellStyle name="쉼표 [0] 2 2 5 2 3" xfId="421" xr:uid="{195A2372-545D-42EE-B5FB-9BC8B6F84916}"/>
    <cellStyle name="쉼표 [0] 2 2 5 2 3 2" xfId="1481" xr:uid="{195A2372-545D-42EE-B5FB-9BC8B6F84916}"/>
    <cellStyle name="쉼표 [0] 2 2 5 2 3 2 2" xfId="4908" xr:uid="{195A2372-545D-42EE-B5FB-9BC8B6F84916}"/>
    <cellStyle name="쉼표 [0] 2 2 5 2 3 2 3" xfId="3195" xr:uid="{195A2372-545D-42EE-B5FB-9BC8B6F84916}"/>
    <cellStyle name="쉼표 [0] 2 2 5 2 3 3" xfId="3851" xr:uid="{195A2372-545D-42EE-B5FB-9BC8B6F84916}"/>
    <cellStyle name="쉼표 [0] 2 2 5 2 3 4" xfId="2138" xr:uid="{195A2372-545D-42EE-B5FB-9BC8B6F84916}"/>
    <cellStyle name="쉼표 [0] 2 2 5 2 4" xfId="1317" xr:uid="{195A2372-545D-42EE-B5FB-9BC8B6F84916}"/>
    <cellStyle name="쉼표 [0] 2 2 5 2 4 2" xfId="4744" xr:uid="{195A2372-545D-42EE-B5FB-9BC8B6F84916}"/>
    <cellStyle name="쉼표 [0] 2 2 5 2 4 3" xfId="3031" xr:uid="{195A2372-545D-42EE-B5FB-9BC8B6F84916}"/>
    <cellStyle name="쉼표 [0] 2 2 5 2 5" xfId="832" xr:uid="{195A2372-545D-42EE-B5FB-9BC8B6F84916}"/>
    <cellStyle name="쉼표 [0] 2 2 5 2 5 2" xfId="4260" xr:uid="{195A2372-545D-42EE-B5FB-9BC8B6F84916}"/>
    <cellStyle name="쉼표 [0] 2 2 5 2 5 3" xfId="2547" xr:uid="{195A2372-545D-42EE-B5FB-9BC8B6F84916}"/>
    <cellStyle name="쉼표 [0] 2 2 5 2 6" xfId="3687" xr:uid="{195A2372-545D-42EE-B5FB-9BC8B6F84916}"/>
    <cellStyle name="쉼표 [0] 2 2 5 2 7" xfId="1974" xr:uid="{195A2372-545D-42EE-B5FB-9BC8B6F84916}"/>
    <cellStyle name="쉼표 [0] 2 2 5 3" xfId="173" xr:uid="{195A2372-545D-42EE-B5FB-9BC8B6F84916}"/>
    <cellStyle name="쉼표 [0] 2 2 5 3 2" xfId="584" xr:uid="{195A2372-545D-42EE-B5FB-9BC8B6F84916}"/>
    <cellStyle name="쉼표 [0] 2 2 5 3 2 2" xfId="1644" xr:uid="{195A2372-545D-42EE-B5FB-9BC8B6F84916}"/>
    <cellStyle name="쉼표 [0] 2 2 5 3 2 2 2" xfId="5070" xr:uid="{195A2372-545D-42EE-B5FB-9BC8B6F84916}"/>
    <cellStyle name="쉼표 [0] 2 2 5 3 2 2 3" xfId="3357" xr:uid="{195A2372-545D-42EE-B5FB-9BC8B6F84916}"/>
    <cellStyle name="쉼표 [0] 2 2 5 3 2 3" xfId="4013" xr:uid="{195A2372-545D-42EE-B5FB-9BC8B6F84916}"/>
    <cellStyle name="쉼표 [0] 2 2 5 3 2 4" xfId="2300" xr:uid="{195A2372-545D-42EE-B5FB-9BC8B6F84916}"/>
    <cellStyle name="쉼표 [0] 2 2 5 3 3" xfId="1236" xr:uid="{195A2372-545D-42EE-B5FB-9BC8B6F84916}"/>
    <cellStyle name="쉼표 [0] 2 2 5 3 3 2" xfId="4663" xr:uid="{195A2372-545D-42EE-B5FB-9BC8B6F84916}"/>
    <cellStyle name="쉼표 [0] 2 2 5 3 3 3" xfId="2950" xr:uid="{195A2372-545D-42EE-B5FB-9BC8B6F84916}"/>
    <cellStyle name="쉼표 [0] 2 2 5 3 4" xfId="994" xr:uid="{195A2372-545D-42EE-B5FB-9BC8B6F84916}"/>
    <cellStyle name="쉼표 [0] 2 2 5 3 4 2" xfId="4422" xr:uid="{195A2372-545D-42EE-B5FB-9BC8B6F84916}"/>
    <cellStyle name="쉼표 [0] 2 2 5 3 4 3" xfId="2709" xr:uid="{195A2372-545D-42EE-B5FB-9BC8B6F84916}"/>
    <cellStyle name="쉼표 [0] 2 2 5 3 5" xfId="3605" xr:uid="{195A2372-545D-42EE-B5FB-9BC8B6F84916}"/>
    <cellStyle name="쉼표 [0] 2 2 5 3 6" xfId="1892" xr:uid="{195A2372-545D-42EE-B5FB-9BC8B6F84916}"/>
    <cellStyle name="쉼표 [0] 2 2 5 4" xfId="502" xr:uid="{195A2372-545D-42EE-B5FB-9BC8B6F84916}"/>
    <cellStyle name="쉼표 [0] 2 2 5 4 2" xfId="1562" xr:uid="{195A2372-545D-42EE-B5FB-9BC8B6F84916}"/>
    <cellStyle name="쉼표 [0] 2 2 5 4 2 2" xfId="4988" xr:uid="{195A2372-545D-42EE-B5FB-9BC8B6F84916}"/>
    <cellStyle name="쉼표 [0] 2 2 5 4 2 3" xfId="3275" xr:uid="{195A2372-545D-42EE-B5FB-9BC8B6F84916}"/>
    <cellStyle name="쉼표 [0] 2 2 5 4 3" xfId="912" xr:uid="{195A2372-545D-42EE-B5FB-9BC8B6F84916}"/>
    <cellStyle name="쉼표 [0] 2 2 5 4 3 2" xfId="4340" xr:uid="{195A2372-545D-42EE-B5FB-9BC8B6F84916}"/>
    <cellStyle name="쉼표 [0] 2 2 5 4 3 3" xfId="2627" xr:uid="{195A2372-545D-42EE-B5FB-9BC8B6F84916}"/>
    <cellStyle name="쉼표 [0] 2 2 5 4 4" xfId="3931" xr:uid="{195A2372-545D-42EE-B5FB-9BC8B6F84916}"/>
    <cellStyle name="쉼표 [0] 2 2 5 4 5" xfId="2218" xr:uid="{195A2372-545D-42EE-B5FB-9BC8B6F84916}"/>
    <cellStyle name="쉼표 [0] 2 2 5 5" xfId="339" xr:uid="{195A2372-545D-42EE-B5FB-9BC8B6F84916}"/>
    <cellStyle name="쉼표 [0] 2 2 5 5 2" xfId="1399" xr:uid="{195A2372-545D-42EE-B5FB-9BC8B6F84916}"/>
    <cellStyle name="쉼표 [0] 2 2 5 5 2 2" xfId="4826" xr:uid="{195A2372-545D-42EE-B5FB-9BC8B6F84916}"/>
    <cellStyle name="쉼표 [0] 2 2 5 5 2 3" xfId="3113" xr:uid="{195A2372-545D-42EE-B5FB-9BC8B6F84916}"/>
    <cellStyle name="쉼표 [0] 2 2 5 5 3" xfId="3769" xr:uid="{195A2372-545D-42EE-B5FB-9BC8B6F84916}"/>
    <cellStyle name="쉼표 [0] 2 2 5 5 4" xfId="2056" xr:uid="{195A2372-545D-42EE-B5FB-9BC8B6F84916}"/>
    <cellStyle name="쉼표 [0] 2 2 5 6" xfId="1157" xr:uid="{195A2372-545D-42EE-B5FB-9BC8B6F84916}"/>
    <cellStyle name="쉼표 [0] 2 2 5 6 2" xfId="4584" xr:uid="{195A2372-545D-42EE-B5FB-9BC8B6F84916}"/>
    <cellStyle name="쉼표 [0] 2 2 5 6 3" xfId="2871" xr:uid="{195A2372-545D-42EE-B5FB-9BC8B6F84916}"/>
    <cellStyle name="쉼표 [0] 2 2 5 7" xfId="750" xr:uid="{195A2372-545D-42EE-B5FB-9BC8B6F84916}"/>
    <cellStyle name="쉼표 [0] 2 2 5 7 2" xfId="4178" xr:uid="{195A2372-545D-42EE-B5FB-9BC8B6F84916}"/>
    <cellStyle name="쉼표 [0] 2 2 5 7 3" xfId="2465" xr:uid="{195A2372-545D-42EE-B5FB-9BC8B6F84916}"/>
    <cellStyle name="쉼표 [0] 2 2 5 8" xfId="3523" xr:uid="{195A2372-545D-42EE-B5FB-9BC8B6F84916}"/>
    <cellStyle name="쉼표 [0] 2 2 5 9" xfId="1810" xr:uid="{195A2372-545D-42EE-B5FB-9BC8B6F84916}"/>
    <cellStyle name="쉼표 [0] 2 2 6" xfId="211" xr:uid="{724CD427-2673-4E39-A416-96BEE7935B57}"/>
    <cellStyle name="쉼표 [0] 2 2 6 2" xfId="622" xr:uid="{724CD427-2673-4E39-A416-96BEE7935B57}"/>
    <cellStyle name="쉼표 [0] 2 2 6 2 2" xfId="1682" xr:uid="{724CD427-2673-4E39-A416-96BEE7935B57}"/>
    <cellStyle name="쉼표 [0] 2 2 6 2 2 2" xfId="5108" xr:uid="{724CD427-2673-4E39-A416-96BEE7935B57}"/>
    <cellStyle name="쉼표 [0] 2 2 6 2 2 3" xfId="3395" xr:uid="{724CD427-2673-4E39-A416-96BEE7935B57}"/>
    <cellStyle name="쉼표 [0] 2 2 6 2 3" xfId="1032" xr:uid="{724CD427-2673-4E39-A416-96BEE7935B57}"/>
    <cellStyle name="쉼표 [0] 2 2 6 2 3 2" xfId="4460" xr:uid="{724CD427-2673-4E39-A416-96BEE7935B57}"/>
    <cellStyle name="쉼표 [0] 2 2 6 2 3 3" xfId="2747" xr:uid="{724CD427-2673-4E39-A416-96BEE7935B57}"/>
    <cellStyle name="쉼표 [0] 2 2 6 2 4" xfId="4051" xr:uid="{724CD427-2673-4E39-A416-96BEE7935B57}"/>
    <cellStyle name="쉼표 [0] 2 2 6 2 5" xfId="2338" xr:uid="{724CD427-2673-4E39-A416-96BEE7935B57}"/>
    <cellStyle name="쉼표 [0] 2 2 6 3" xfId="377" xr:uid="{724CD427-2673-4E39-A416-96BEE7935B57}"/>
    <cellStyle name="쉼표 [0] 2 2 6 3 2" xfId="1437" xr:uid="{724CD427-2673-4E39-A416-96BEE7935B57}"/>
    <cellStyle name="쉼표 [0] 2 2 6 3 2 2" xfId="4864" xr:uid="{724CD427-2673-4E39-A416-96BEE7935B57}"/>
    <cellStyle name="쉼표 [0] 2 2 6 3 2 3" xfId="3151" xr:uid="{724CD427-2673-4E39-A416-96BEE7935B57}"/>
    <cellStyle name="쉼표 [0] 2 2 6 3 3" xfId="3807" xr:uid="{724CD427-2673-4E39-A416-96BEE7935B57}"/>
    <cellStyle name="쉼표 [0] 2 2 6 3 4" xfId="2094" xr:uid="{724CD427-2673-4E39-A416-96BEE7935B57}"/>
    <cellStyle name="쉼표 [0] 2 2 6 4" xfId="1273" xr:uid="{724CD427-2673-4E39-A416-96BEE7935B57}"/>
    <cellStyle name="쉼표 [0] 2 2 6 4 2" xfId="4700" xr:uid="{724CD427-2673-4E39-A416-96BEE7935B57}"/>
    <cellStyle name="쉼표 [0] 2 2 6 4 3" xfId="2987" xr:uid="{724CD427-2673-4E39-A416-96BEE7935B57}"/>
    <cellStyle name="쉼표 [0] 2 2 6 5" xfId="788" xr:uid="{724CD427-2673-4E39-A416-96BEE7935B57}"/>
    <cellStyle name="쉼표 [0] 2 2 6 5 2" xfId="4216" xr:uid="{724CD427-2673-4E39-A416-96BEE7935B57}"/>
    <cellStyle name="쉼표 [0] 2 2 6 5 3" xfId="2503" xr:uid="{724CD427-2673-4E39-A416-96BEE7935B57}"/>
    <cellStyle name="쉼표 [0] 2 2 6 6" xfId="3643" xr:uid="{724CD427-2673-4E39-A416-96BEE7935B57}"/>
    <cellStyle name="쉼표 [0] 2 2 6 7" xfId="1930" xr:uid="{724CD427-2673-4E39-A416-96BEE7935B57}"/>
    <cellStyle name="쉼표 [0] 2 2 7" xfId="128" xr:uid="{724CD427-2673-4E39-A416-96BEE7935B57}"/>
    <cellStyle name="쉼표 [0] 2 2 7 2" xfId="539" xr:uid="{724CD427-2673-4E39-A416-96BEE7935B57}"/>
    <cellStyle name="쉼표 [0] 2 2 7 2 2" xfId="1599" xr:uid="{724CD427-2673-4E39-A416-96BEE7935B57}"/>
    <cellStyle name="쉼표 [0] 2 2 7 2 2 2" xfId="5025" xr:uid="{724CD427-2673-4E39-A416-96BEE7935B57}"/>
    <cellStyle name="쉼표 [0] 2 2 7 2 2 3" xfId="3312" xr:uid="{724CD427-2673-4E39-A416-96BEE7935B57}"/>
    <cellStyle name="쉼표 [0] 2 2 7 2 3" xfId="3968" xr:uid="{724CD427-2673-4E39-A416-96BEE7935B57}"/>
    <cellStyle name="쉼표 [0] 2 2 7 2 4" xfId="2255" xr:uid="{724CD427-2673-4E39-A416-96BEE7935B57}"/>
    <cellStyle name="쉼표 [0] 2 2 7 3" xfId="1192" xr:uid="{724CD427-2673-4E39-A416-96BEE7935B57}"/>
    <cellStyle name="쉼표 [0] 2 2 7 3 2" xfId="4619" xr:uid="{724CD427-2673-4E39-A416-96BEE7935B57}"/>
    <cellStyle name="쉼표 [0] 2 2 7 3 3" xfId="2906" xr:uid="{724CD427-2673-4E39-A416-96BEE7935B57}"/>
    <cellStyle name="쉼표 [0] 2 2 7 4" xfId="949" xr:uid="{724CD427-2673-4E39-A416-96BEE7935B57}"/>
    <cellStyle name="쉼표 [0] 2 2 7 4 2" xfId="4377" xr:uid="{724CD427-2673-4E39-A416-96BEE7935B57}"/>
    <cellStyle name="쉼표 [0] 2 2 7 4 3" xfId="2664" xr:uid="{724CD427-2673-4E39-A416-96BEE7935B57}"/>
    <cellStyle name="쉼표 [0] 2 2 7 5" xfId="3560" xr:uid="{724CD427-2673-4E39-A416-96BEE7935B57}"/>
    <cellStyle name="쉼표 [0] 2 2 7 6" xfId="1847" xr:uid="{724CD427-2673-4E39-A416-96BEE7935B57}"/>
    <cellStyle name="쉼표 [0] 2 2 8" xfId="458" xr:uid="{724CD427-2673-4E39-A416-96BEE7935B57}"/>
    <cellStyle name="쉼표 [0] 2 2 8 2" xfId="1518" xr:uid="{724CD427-2673-4E39-A416-96BEE7935B57}"/>
    <cellStyle name="쉼표 [0] 2 2 8 2 2" xfId="4944" xr:uid="{724CD427-2673-4E39-A416-96BEE7935B57}"/>
    <cellStyle name="쉼표 [0] 2 2 8 2 3" xfId="3231" xr:uid="{724CD427-2673-4E39-A416-96BEE7935B57}"/>
    <cellStyle name="쉼표 [0] 2 2 8 3" xfId="868" xr:uid="{724CD427-2673-4E39-A416-96BEE7935B57}"/>
    <cellStyle name="쉼표 [0] 2 2 8 3 2" xfId="4296" xr:uid="{724CD427-2673-4E39-A416-96BEE7935B57}"/>
    <cellStyle name="쉼표 [0] 2 2 8 3 3" xfId="2583" xr:uid="{724CD427-2673-4E39-A416-96BEE7935B57}"/>
    <cellStyle name="쉼표 [0] 2 2 8 4" xfId="3887" xr:uid="{724CD427-2673-4E39-A416-96BEE7935B57}"/>
    <cellStyle name="쉼표 [0] 2 2 8 5" xfId="2174" xr:uid="{724CD427-2673-4E39-A416-96BEE7935B57}"/>
    <cellStyle name="쉼표 [0] 2 2 9" xfId="294" xr:uid="{724CD427-2673-4E39-A416-96BEE7935B57}"/>
    <cellStyle name="쉼표 [0] 2 2 9 2" xfId="1354" xr:uid="{724CD427-2673-4E39-A416-96BEE7935B57}"/>
    <cellStyle name="쉼표 [0] 2 2 9 2 2" xfId="4781" xr:uid="{724CD427-2673-4E39-A416-96BEE7935B57}"/>
    <cellStyle name="쉼표 [0] 2 2 9 2 3" xfId="3068" xr:uid="{724CD427-2673-4E39-A416-96BEE7935B57}"/>
    <cellStyle name="쉼표 [0] 2 2 9 3" xfId="3724" xr:uid="{724CD427-2673-4E39-A416-96BEE7935B57}"/>
    <cellStyle name="쉼표 [0] 2 2 9 4" xfId="2011" xr:uid="{724CD427-2673-4E39-A416-96BEE7935B57}"/>
    <cellStyle name="쉼표 [0] 2 3" xfId="14" xr:uid="{724CD427-2673-4E39-A416-96BEE7935B57}"/>
    <cellStyle name="쉼표 [0] 2 3 10" xfId="707" xr:uid="{724CD427-2673-4E39-A416-96BEE7935B57}"/>
    <cellStyle name="쉼표 [0] 2 3 10 2" xfId="4135" xr:uid="{724CD427-2673-4E39-A416-96BEE7935B57}"/>
    <cellStyle name="쉼표 [0] 2 3 10 3" xfId="2422" xr:uid="{724CD427-2673-4E39-A416-96BEE7935B57}"/>
    <cellStyle name="쉼표 [0] 2 3 11" xfId="3480" xr:uid="{724CD427-2673-4E39-A416-96BEE7935B57}"/>
    <cellStyle name="쉼표 [0] 2 3 12" xfId="1767" xr:uid="{724CD427-2673-4E39-A416-96BEE7935B57}"/>
    <cellStyle name="쉼표 [0] 2 3 2" xfId="46" xr:uid="{D8BEC9A2-AEA4-481E-9154-FDDF43EA5ADF}"/>
    <cellStyle name="쉼표 [0] 2 3 2 10" xfId="1784" xr:uid="{D8BEC9A2-AEA4-481E-9154-FDDF43EA5ADF}"/>
    <cellStyle name="쉼표 [0] 2 3 2 2" xfId="98" xr:uid="{D8BEC9A2-AEA4-481E-9154-FDDF43EA5ADF}"/>
    <cellStyle name="쉼표 [0] 2 3 2 2 2" xfId="265" xr:uid="{D8BEC9A2-AEA4-481E-9154-FDDF43EA5ADF}"/>
    <cellStyle name="쉼표 [0] 2 3 2 2 2 2" xfId="676" xr:uid="{D8BEC9A2-AEA4-481E-9154-FDDF43EA5ADF}"/>
    <cellStyle name="쉼표 [0] 2 3 2 2 2 2 2" xfId="1736" xr:uid="{D8BEC9A2-AEA4-481E-9154-FDDF43EA5ADF}"/>
    <cellStyle name="쉼표 [0] 2 3 2 2 2 2 2 2" xfId="5162" xr:uid="{D8BEC9A2-AEA4-481E-9154-FDDF43EA5ADF}"/>
    <cellStyle name="쉼표 [0] 2 3 2 2 2 2 2 3" xfId="3449" xr:uid="{D8BEC9A2-AEA4-481E-9154-FDDF43EA5ADF}"/>
    <cellStyle name="쉼표 [0] 2 3 2 2 2 2 3" xfId="1086" xr:uid="{D8BEC9A2-AEA4-481E-9154-FDDF43EA5ADF}"/>
    <cellStyle name="쉼표 [0] 2 3 2 2 2 2 3 2" xfId="4514" xr:uid="{D8BEC9A2-AEA4-481E-9154-FDDF43EA5ADF}"/>
    <cellStyle name="쉼표 [0] 2 3 2 2 2 2 3 3" xfId="2801" xr:uid="{D8BEC9A2-AEA4-481E-9154-FDDF43EA5ADF}"/>
    <cellStyle name="쉼표 [0] 2 3 2 2 2 2 4" xfId="4105" xr:uid="{D8BEC9A2-AEA4-481E-9154-FDDF43EA5ADF}"/>
    <cellStyle name="쉼표 [0] 2 3 2 2 2 2 5" xfId="2392" xr:uid="{D8BEC9A2-AEA4-481E-9154-FDDF43EA5ADF}"/>
    <cellStyle name="쉼표 [0] 2 3 2 2 2 3" xfId="431" xr:uid="{D8BEC9A2-AEA4-481E-9154-FDDF43EA5ADF}"/>
    <cellStyle name="쉼표 [0] 2 3 2 2 2 3 2" xfId="1491" xr:uid="{D8BEC9A2-AEA4-481E-9154-FDDF43EA5ADF}"/>
    <cellStyle name="쉼표 [0] 2 3 2 2 2 3 2 2" xfId="4918" xr:uid="{D8BEC9A2-AEA4-481E-9154-FDDF43EA5ADF}"/>
    <cellStyle name="쉼표 [0] 2 3 2 2 2 3 2 3" xfId="3205" xr:uid="{D8BEC9A2-AEA4-481E-9154-FDDF43EA5ADF}"/>
    <cellStyle name="쉼표 [0] 2 3 2 2 2 3 3" xfId="3861" xr:uid="{D8BEC9A2-AEA4-481E-9154-FDDF43EA5ADF}"/>
    <cellStyle name="쉼표 [0] 2 3 2 2 2 3 4" xfId="2148" xr:uid="{D8BEC9A2-AEA4-481E-9154-FDDF43EA5ADF}"/>
    <cellStyle name="쉼표 [0] 2 3 2 2 2 4" xfId="1327" xr:uid="{D8BEC9A2-AEA4-481E-9154-FDDF43EA5ADF}"/>
    <cellStyle name="쉼표 [0] 2 3 2 2 2 4 2" xfId="4754" xr:uid="{D8BEC9A2-AEA4-481E-9154-FDDF43EA5ADF}"/>
    <cellStyle name="쉼표 [0] 2 3 2 2 2 4 3" xfId="3041" xr:uid="{D8BEC9A2-AEA4-481E-9154-FDDF43EA5ADF}"/>
    <cellStyle name="쉼표 [0] 2 3 2 2 2 5" xfId="842" xr:uid="{D8BEC9A2-AEA4-481E-9154-FDDF43EA5ADF}"/>
    <cellStyle name="쉼표 [0] 2 3 2 2 2 5 2" xfId="4270" xr:uid="{D8BEC9A2-AEA4-481E-9154-FDDF43EA5ADF}"/>
    <cellStyle name="쉼표 [0] 2 3 2 2 2 5 3" xfId="2557" xr:uid="{D8BEC9A2-AEA4-481E-9154-FDDF43EA5ADF}"/>
    <cellStyle name="쉼표 [0] 2 3 2 2 2 6" xfId="3697" xr:uid="{D8BEC9A2-AEA4-481E-9154-FDDF43EA5ADF}"/>
    <cellStyle name="쉼표 [0] 2 3 2 2 2 7" xfId="1984" xr:uid="{D8BEC9A2-AEA4-481E-9154-FDDF43EA5ADF}"/>
    <cellStyle name="쉼표 [0] 2 3 2 2 3" xfId="183" xr:uid="{D8BEC9A2-AEA4-481E-9154-FDDF43EA5ADF}"/>
    <cellStyle name="쉼표 [0] 2 3 2 2 3 2" xfId="594" xr:uid="{D8BEC9A2-AEA4-481E-9154-FDDF43EA5ADF}"/>
    <cellStyle name="쉼표 [0] 2 3 2 2 3 2 2" xfId="1654" xr:uid="{D8BEC9A2-AEA4-481E-9154-FDDF43EA5ADF}"/>
    <cellStyle name="쉼표 [0] 2 3 2 2 3 2 2 2" xfId="5080" xr:uid="{D8BEC9A2-AEA4-481E-9154-FDDF43EA5ADF}"/>
    <cellStyle name="쉼표 [0] 2 3 2 2 3 2 2 3" xfId="3367" xr:uid="{D8BEC9A2-AEA4-481E-9154-FDDF43EA5ADF}"/>
    <cellStyle name="쉼표 [0] 2 3 2 2 3 2 3" xfId="4023" xr:uid="{D8BEC9A2-AEA4-481E-9154-FDDF43EA5ADF}"/>
    <cellStyle name="쉼표 [0] 2 3 2 2 3 2 4" xfId="2310" xr:uid="{D8BEC9A2-AEA4-481E-9154-FDDF43EA5ADF}"/>
    <cellStyle name="쉼표 [0] 2 3 2 2 3 3" xfId="1246" xr:uid="{D8BEC9A2-AEA4-481E-9154-FDDF43EA5ADF}"/>
    <cellStyle name="쉼표 [0] 2 3 2 2 3 3 2" xfId="4673" xr:uid="{D8BEC9A2-AEA4-481E-9154-FDDF43EA5ADF}"/>
    <cellStyle name="쉼표 [0] 2 3 2 2 3 3 3" xfId="2960" xr:uid="{D8BEC9A2-AEA4-481E-9154-FDDF43EA5ADF}"/>
    <cellStyle name="쉼표 [0] 2 3 2 2 3 4" xfId="1004" xr:uid="{D8BEC9A2-AEA4-481E-9154-FDDF43EA5ADF}"/>
    <cellStyle name="쉼표 [0] 2 3 2 2 3 4 2" xfId="4432" xr:uid="{D8BEC9A2-AEA4-481E-9154-FDDF43EA5ADF}"/>
    <cellStyle name="쉼표 [0] 2 3 2 2 3 4 3" xfId="2719" xr:uid="{D8BEC9A2-AEA4-481E-9154-FDDF43EA5ADF}"/>
    <cellStyle name="쉼표 [0] 2 3 2 2 3 5" xfId="3615" xr:uid="{D8BEC9A2-AEA4-481E-9154-FDDF43EA5ADF}"/>
    <cellStyle name="쉼표 [0] 2 3 2 2 3 6" xfId="1902" xr:uid="{D8BEC9A2-AEA4-481E-9154-FDDF43EA5ADF}"/>
    <cellStyle name="쉼표 [0] 2 3 2 2 4" xfId="512" xr:uid="{D8BEC9A2-AEA4-481E-9154-FDDF43EA5ADF}"/>
    <cellStyle name="쉼표 [0] 2 3 2 2 4 2" xfId="1572" xr:uid="{D8BEC9A2-AEA4-481E-9154-FDDF43EA5ADF}"/>
    <cellStyle name="쉼표 [0] 2 3 2 2 4 2 2" xfId="4998" xr:uid="{D8BEC9A2-AEA4-481E-9154-FDDF43EA5ADF}"/>
    <cellStyle name="쉼표 [0] 2 3 2 2 4 2 3" xfId="3285" xr:uid="{D8BEC9A2-AEA4-481E-9154-FDDF43EA5ADF}"/>
    <cellStyle name="쉼표 [0] 2 3 2 2 4 3" xfId="922" xr:uid="{D8BEC9A2-AEA4-481E-9154-FDDF43EA5ADF}"/>
    <cellStyle name="쉼표 [0] 2 3 2 2 4 3 2" xfId="4350" xr:uid="{D8BEC9A2-AEA4-481E-9154-FDDF43EA5ADF}"/>
    <cellStyle name="쉼표 [0] 2 3 2 2 4 3 3" xfId="2637" xr:uid="{D8BEC9A2-AEA4-481E-9154-FDDF43EA5ADF}"/>
    <cellStyle name="쉼표 [0] 2 3 2 2 4 4" xfId="3941" xr:uid="{D8BEC9A2-AEA4-481E-9154-FDDF43EA5ADF}"/>
    <cellStyle name="쉼표 [0] 2 3 2 2 4 5" xfId="2228" xr:uid="{D8BEC9A2-AEA4-481E-9154-FDDF43EA5ADF}"/>
    <cellStyle name="쉼표 [0] 2 3 2 2 5" xfId="349" xr:uid="{D8BEC9A2-AEA4-481E-9154-FDDF43EA5ADF}"/>
    <cellStyle name="쉼표 [0] 2 3 2 2 5 2" xfId="1409" xr:uid="{D8BEC9A2-AEA4-481E-9154-FDDF43EA5ADF}"/>
    <cellStyle name="쉼표 [0] 2 3 2 2 5 2 2" xfId="4836" xr:uid="{D8BEC9A2-AEA4-481E-9154-FDDF43EA5ADF}"/>
    <cellStyle name="쉼표 [0] 2 3 2 2 5 2 3" xfId="3123" xr:uid="{D8BEC9A2-AEA4-481E-9154-FDDF43EA5ADF}"/>
    <cellStyle name="쉼표 [0] 2 3 2 2 5 3" xfId="3779" xr:uid="{D8BEC9A2-AEA4-481E-9154-FDDF43EA5ADF}"/>
    <cellStyle name="쉼표 [0] 2 3 2 2 5 4" xfId="2066" xr:uid="{D8BEC9A2-AEA4-481E-9154-FDDF43EA5ADF}"/>
    <cellStyle name="쉼표 [0] 2 3 2 2 6" xfId="1167" xr:uid="{D8BEC9A2-AEA4-481E-9154-FDDF43EA5ADF}"/>
    <cellStyle name="쉼표 [0] 2 3 2 2 6 2" xfId="4594" xr:uid="{D8BEC9A2-AEA4-481E-9154-FDDF43EA5ADF}"/>
    <cellStyle name="쉼표 [0] 2 3 2 2 6 3" xfId="2881" xr:uid="{D8BEC9A2-AEA4-481E-9154-FDDF43EA5ADF}"/>
    <cellStyle name="쉼표 [0] 2 3 2 2 7" xfId="760" xr:uid="{D8BEC9A2-AEA4-481E-9154-FDDF43EA5ADF}"/>
    <cellStyle name="쉼표 [0] 2 3 2 2 7 2" xfId="4188" xr:uid="{D8BEC9A2-AEA4-481E-9154-FDDF43EA5ADF}"/>
    <cellStyle name="쉼표 [0] 2 3 2 2 7 3" xfId="2475" xr:uid="{D8BEC9A2-AEA4-481E-9154-FDDF43EA5ADF}"/>
    <cellStyle name="쉼표 [0] 2 3 2 2 8" xfId="3533" xr:uid="{D8BEC9A2-AEA4-481E-9154-FDDF43EA5ADF}"/>
    <cellStyle name="쉼표 [0] 2 3 2 2 9" xfId="1820" xr:uid="{D8BEC9A2-AEA4-481E-9154-FDDF43EA5ADF}"/>
    <cellStyle name="쉼표 [0] 2 3 2 3" xfId="229" xr:uid="{D8BEC9A2-AEA4-481E-9154-FDDF43EA5ADF}"/>
    <cellStyle name="쉼표 [0] 2 3 2 3 2" xfId="640" xr:uid="{D8BEC9A2-AEA4-481E-9154-FDDF43EA5ADF}"/>
    <cellStyle name="쉼표 [0] 2 3 2 3 2 2" xfId="1700" xr:uid="{D8BEC9A2-AEA4-481E-9154-FDDF43EA5ADF}"/>
    <cellStyle name="쉼표 [0] 2 3 2 3 2 2 2" xfId="5126" xr:uid="{D8BEC9A2-AEA4-481E-9154-FDDF43EA5ADF}"/>
    <cellStyle name="쉼표 [0] 2 3 2 3 2 2 3" xfId="3413" xr:uid="{D8BEC9A2-AEA4-481E-9154-FDDF43EA5ADF}"/>
    <cellStyle name="쉼표 [0] 2 3 2 3 2 3" xfId="1050" xr:uid="{D8BEC9A2-AEA4-481E-9154-FDDF43EA5ADF}"/>
    <cellStyle name="쉼표 [0] 2 3 2 3 2 3 2" xfId="4478" xr:uid="{D8BEC9A2-AEA4-481E-9154-FDDF43EA5ADF}"/>
    <cellStyle name="쉼표 [0] 2 3 2 3 2 3 3" xfId="2765" xr:uid="{D8BEC9A2-AEA4-481E-9154-FDDF43EA5ADF}"/>
    <cellStyle name="쉼표 [0] 2 3 2 3 2 4" xfId="4069" xr:uid="{D8BEC9A2-AEA4-481E-9154-FDDF43EA5ADF}"/>
    <cellStyle name="쉼표 [0] 2 3 2 3 2 5" xfId="2356" xr:uid="{D8BEC9A2-AEA4-481E-9154-FDDF43EA5ADF}"/>
    <cellStyle name="쉼표 [0] 2 3 2 3 3" xfId="395" xr:uid="{D8BEC9A2-AEA4-481E-9154-FDDF43EA5ADF}"/>
    <cellStyle name="쉼표 [0] 2 3 2 3 3 2" xfId="1455" xr:uid="{D8BEC9A2-AEA4-481E-9154-FDDF43EA5ADF}"/>
    <cellStyle name="쉼표 [0] 2 3 2 3 3 2 2" xfId="4882" xr:uid="{D8BEC9A2-AEA4-481E-9154-FDDF43EA5ADF}"/>
    <cellStyle name="쉼표 [0] 2 3 2 3 3 2 3" xfId="3169" xr:uid="{D8BEC9A2-AEA4-481E-9154-FDDF43EA5ADF}"/>
    <cellStyle name="쉼표 [0] 2 3 2 3 3 3" xfId="3825" xr:uid="{D8BEC9A2-AEA4-481E-9154-FDDF43EA5ADF}"/>
    <cellStyle name="쉼표 [0] 2 3 2 3 3 4" xfId="2112" xr:uid="{D8BEC9A2-AEA4-481E-9154-FDDF43EA5ADF}"/>
    <cellStyle name="쉼표 [0] 2 3 2 3 4" xfId="1291" xr:uid="{D8BEC9A2-AEA4-481E-9154-FDDF43EA5ADF}"/>
    <cellStyle name="쉼표 [0] 2 3 2 3 4 2" xfId="4718" xr:uid="{D8BEC9A2-AEA4-481E-9154-FDDF43EA5ADF}"/>
    <cellStyle name="쉼표 [0] 2 3 2 3 4 3" xfId="3005" xr:uid="{D8BEC9A2-AEA4-481E-9154-FDDF43EA5ADF}"/>
    <cellStyle name="쉼표 [0] 2 3 2 3 5" xfId="806" xr:uid="{D8BEC9A2-AEA4-481E-9154-FDDF43EA5ADF}"/>
    <cellStyle name="쉼표 [0] 2 3 2 3 5 2" xfId="4234" xr:uid="{D8BEC9A2-AEA4-481E-9154-FDDF43EA5ADF}"/>
    <cellStyle name="쉼표 [0] 2 3 2 3 5 3" xfId="2521" xr:uid="{D8BEC9A2-AEA4-481E-9154-FDDF43EA5ADF}"/>
    <cellStyle name="쉼표 [0] 2 3 2 3 6" xfId="3661" xr:uid="{D8BEC9A2-AEA4-481E-9154-FDDF43EA5ADF}"/>
    <cellStyle name="쉼표 [0] 2 3 2 3 7" xfId="1948" xr:uid="{D8BEC9A2-AEA4-481E-9154-FDDF43EA5ADF}"/>
    <cellStyle name="쉼표 [0] 2 3 2 4" xfId="147" xr:uid="{D8BEC9A2-AEA4-481E-9154-FDDF43EA5ADF}"/>
    <cellStyle name="쉼표 [0] 2 3 2 4 2" xfId="558" xr:uid="{D8BEC9A2-AEA4-481E-9154-FDDF43EA5ADF}"/>
    <cellStyle name="쉼표 [0] 2 3 2 4 2 2" xfId="1618" xr:uid="{D8BEC9A2-AEA4-481E-9154-FDDF43EA5ADF}"/>
    <cellStyle name="쉼표 [0] 2 3 2 4 2 2 2" xfId="5044" xr:uid="{D8BEC9A2-AEA4-481E-9154-FDDF43EA5ADF}"/>
    <cellStyle name="쉼표 [0] 2 3 2 4 2 2 3" xfId="3331" xr:uid="{D8BEC9A2-AEA4-481E-9154-FDDF43EA5ADF}"/>
    <cellStyle name="쉼표 [0] 2 3 2 4 2 3" xfId="3987" xr:uid="{D8BEC9A2-AEA4-481E-9154-FDDF43EA5ADF}"/>
    <cellStyle name="쉼표 [0] 2 3 2 4 2 4" xfId="2274" xr:uid="{D8BEC9A2-AEA4-481E-9154-FDDF43EA5ADF}"/>
    <cellStyle name="쉼표 [0] 2 3 2 4 3" xfId="1210" xr:uid="{D8BEC9A2-AEA4-481E-9154-FDDF43EA5ADF}"/>
    <cellStyle name="쉼표 [0] 2 3 2 4 3 2" xfId="4637" xr:uid="{D8BEC9A2-AEA4-481E-9154-FDDF43EA5ADF}"/>
    <cellStyle name="쉼표 [0] 2 3 2 4 3 3" xfId="2924" xr:uid="{D8BEC9A2-AEA4-481E-9154-FDDF43EA5ADF}"/>
    <cellStyle name="쉼표 [0] 2 3 2 4 4" xfId="968" xr:uid="{D8BEC9A2-AEA4-481E-9154-FDDF43EA5ADF}"/>
    <cellStyle name="쉼표 [0] 2 3 2 4 4 2" xfId="4396" xr:uid="{D8BEC9A2-AEA4-481E-9154-FDDF43EA5ADF}"/>
    <cellStyle name="쉼표 [0] 2 3 2 4 4 3" xfId="2683" xr:uid="{D8BEC9A2-AEA4-481E-9154-FDDF43EA5ADF}"/>
    <cellStyle name="쉼표 [0] 2 3 2 4 5" xfId="3579" xr:uid="{D8BEC9A2-AEA4-481E-9154-FDDF43EA5ADF}"/>
    <cellStyle name="쉼표 [0] 2 3 2 4 6" xfId="1866" xr:uid="{D8BEC9A2-AEA4-481E-9154-FDDF43EA5ADF}"/>
    <cellStyle name="쉼표 [0] 2 3 2 5" xfId="476" xr:uid="{D8BEC9A2-AEA4-481E-9154-FDDF43EA5ADF}"/>
    <cellStyle name="쉼표 [0] 2 3 2 5 2" xfId="1536" xr:uid="{D8BEC9A2-AEA4-481E-9154-FDDF43EA5ADF}"/>
    <cellStyle name="쉼표 [0] 2 3 2 5 2 2" xfId="4962" xr:uid="{D8BEC9A2-AEA4-481E-9154-FDDF43EA5ADF}"/>
    <cellStyle name="쉼표 [0] 2 3 2 5 2 3" xfId="3249" xr:uid="{D8BEC9A2-AEA4-481E-9154-FDDF43EA5ADF}"/>
    <cellStyle name="쉼표 [0] 2 3 2 5 3" xfId="886" xr:uid="{D8BEC9A2-AEA4-481E-9154-FDDF43EA5ADF}"/>
    <cellStyle name="쉼표 [0] 2 3 2 5 3 2" xfId="4314" xr:uid="{D8BEC9A2-AEA4-481E-9154-FDDF43EA5ADF}"/>
    <cellStyle name="쉼표 [0] 2 3 2 5 3 3" xfId="2601" xr:uid="{D8BEC9A2-AEA4-481E-9154-FDDF43EA5ADF}"/>
    <cellStyle name="쉼표 [0] 2 3 2 5 4" xfId="3905" xr:uid="{D8BEC9A2-AEA4-481E-9154-FDDF43EA5ADF}"/>
    <cellStyle name="쉼표 [0] 2 3 2 5 5" xfId="2192" xr:uid="{D8BEC9A2-AEA4-481E-9154-FDDF43EA5ADF}"/>
    <cellStyle name="쉼표 [0] 2 3 2 6" xfId="313" xr:uid="{D8BEC9A2-AEA4-481E-9154-FDDF43EA5ADF}"/>
    <cellStyle name="쉼표 [0] 2 3 2 6 2" xfId="1373" xr:uid="{D8BEC9A2-AEA4-481E-9154-FDDF43EA5ADF}"/>
    <cellStyle name="쉼표 [0] 2 3 2 6 2 2" xfId="4800" xr:uid="{D8BEC9A2-AEA4-481E-9154-FDDF43EA5ADF}"/>
    <cellStyle name="쉼표 [0] 2 3 2 6 2 3" xfId="3087" xr:uid="{D8BEC9A2-AEA4-481E-9154-FDDF43EA5ADF}"/>
    <cellStyle name="쉼표 [0] 2 3 2 6 3" xfId="3743" xr:uid="{D8BEC9A2-AEA4-481E-9154-FDDF43EA5ADF}"/>
    <cellStyle name="쉼표 [0] 2 3 2 6 4" xfId="2030" xr:uid="{D8BEC9A2-AEA4-481E-9154-FDDF43EA5ADF}"/>
    <cellStyle name="쉼표 [0] 2 3 2 7" xfId="1131" xr:uid="{D8BEC9A2-AEA4-481E-9154-FDDF43EA5ADF}"/>
    <cellStyle name="쉼표 [0] 2 3 2 7 2" xfId="4558" xr:uid="{D8BEC9A2-AEA4-481E-9154-FDDF43EA5ADF}"/>
    <cellStyle name="쉼표 [0] 2 3 2 7 3" xfId="2845" xr:uid="{D8BEC9A2-AEA4-481E-9154-FDDF43EA5ADF}"/>
    <cellStyle name="쉼표 [0] 2 3 2 8" xfId="724" xr:uid="{D8BEC9A2-AEA4-481E-9154-FDDF43EA5ADF}"/>
    <cellStyle name="쉼표 [0] 2 3 2 8 2" xfId="4152" xr:uid="{D8BEC9A2-AEA4-481E-9154-FDDF43EA5ADF}"/>
    <cellStyle name="쉼표 [0] 2 3 2 8 3" xfId="2439" xr:uid="{D8BEC9A2-AEA4-481E-9154-FDDF43EA5ADF}"/>
    <cellStyle name="쉼표 [0] 2 3 2 9" xfId="3497" xr:uid="{D8BEC9A2-AEA4-481E-9154-FDDF43EA5ADF}"/>
    <cellStyle name="쉼표 [0] 2 3 3" xfId="31" xr:uid="{4DA45E9A-BF71-4F63-98DC-D47E6A6A26C0}"/>
    <cellStyle name="쉼표 [0] 2 3 3 2" xfId="221" xr:uid="{4DA45E9A-BF71-4F63-98DC-D47E6A6A26C0}"/>
    <cellStyle name="쉼표 [0] 2 3 3 2 2" xfId="632" xr:uid="{4DA45E9A-BF71-4F63-98DC-D47E6A6A26C0}"/>
    <cellStyle name="쉼표 [0] 2 3 3 2 2 2" xfId="1692" xr:uid="{4DA45E9A-BF71-4F63-98DC-D47E6A6A26C0}"/>
    <cellStyle name="쉼표 [0] 2 3 3 2 2 2 2" xfId="5118" xr:uid="{4DA45E9A-BF71-4F63-98DC-D47E6A6A26C0}"/>
    <cellStyle name="쉼표 [0] 2 3 3 2 2 2 3" xfId="3405" xr:uid="{4DA45E9A-BF71-4F63-98DC-D47E6A6A26C0}"/>
    <cellStyle name="쉼표 [0] 2 3 3 2 2 3" xfId="1042" xr:uid="{4DA45E9A-BF71-4F63-98DC-D47E6A6A26C0}"/>
    <cellStyle name="쉼표 [0] 2 3 3 2 2 3 2" xfId="4470" xr:uid="{4DA45E9A-BF71-4F63-98DC-D47E6A6A26C0}"/>
    <cellStyle name="쉼표 [0] 2 3 3 2 2 3 3" xfId="2757" xr:uid="{4DA45E9A-BF71-4F63-98DC-D47E6A6A26C0}"/>
    <cellStyle name="쉼표 [0] 2 3 3 2 2 4" xfId="4061" xr:uid="{4DA45E9A-BF71-4F63-98DC-D47E6A6A26C0}"/>
    <cellStyle name="쉼표 [0] 2 3 3 2 2 5" xfId="2348" xr:uid="{4DA45E9A-BF71-4F63-98DC-D47E6A6A26C0}"/>
    <cellStyle name="쉼표 [0] 2 3 3 2 3" xfId="387" xr:uid="{4DA45E9A-BF71-4F63-98DC-D47E6A6A26C0}"/>
    <cellStyle name="쉼표 [0] 2 3 3 2 3 2" xfId="1447" xr:uid="{4DA45E9A-BF71-4F63-98DC-D47E6A6A26C0}"/>
    <cellStyle name="쉼표 [0] 2 3 3 2 3 2 2" xfId="4874" xr:uid="{4DA45E9A-BF71-4F63-98DC-D47E6A6A26C0}"/>
    <cellStyle name="쉼표 [0] 2 3 3 2 3 2 3" xfId="3161" xr:uid="{4DA45E9A-BF71-4F63-98DC-D47E6A6A26C0}"/>
    <cellStyle name="쉼표 [0] 2 3 3 2 3 3" xfId="3817" xr:uid="{4DA45E9A-BF71-4F63-98DC-D47E6A6A26C0}"/>
    <cellStyle name="쉼표 [0] 2 3 3 2 3 4" xfId="2104" xr:uid="{4DA45E9A-BF71-4F63-98DC-D47E6A6A26C0}"/>
    <cellStyle name="쉼표 [0] 2 3 3 2 4" xfId="1283" xr:uid="{4DA45E9A-BF71-4F63-98DC-D47E6A6A26C0}"/>
    <cellStyle name="쉼표 [0] 2 3 3 2 4 2" xfId="4710" xr:uid="{4DA45E9A-BF71-4F63-98DC-D47E6A6A26C0}"/>
    <cellStyle name="쉼표 [0] 2 3 3 2 4 3" xfId="2997" xr:uid="{4DA45E9A-BF71-4F63-98DC-D47E6A6A26C0}"/>
    <cellStyle name="쉼표 [0] 2 3 3 2 5" xfId="798" xr:uid="{4DA45E9A-BF71-4F63-98DC-D47E6A6A26C0}"/>
    <cellStyle name="쉼표 [0] 2 3 3 2 5 2" xfId="4226" xr:uid="{4DA45E9A-BF71-4F63-98DC-D47E6A6A26C0}"/>
    <cellStyle name="쉼표 [0] 2 3 3 2 5 3" xfId="2513" xr:uid="{4DA45E9A-BF71-4F63-98DC-D47E6A6A26C0}"/>
    <cellStyle name="쉼표 [0] 2 3 3 2 6" xfId="3653" xr:uid="{4DA45E9A-BF71-4F63-98DC-D47E6A6A26C0}"/>
    <cellStyle name="쉼표 [0] 2 3 3 2 7" xfId="1940" xr:uid="{4DA45E9A-BF71-4F63-98DC-D47E6A6A26C0}"/>
    <cellStyle name="쉼표 [0] 2 3 3 3" xfId="139" xr:uid="{4DA45E9A-BF71-4F63-98DC-D47E6A6A26C0}"/>
    <cellStyle name="쉼표 [0] 2 3 3 3 2" xfId="550" xr:uid="{4DA45E9A-BF71-4F63-98DC-D47E6A6A26C0}"/>
    <cellStyle name="쉼표 [0] 2 3 3 3 2 2" xfId="1610" xr:uid="{4DA45E9A-BF71-4F63-98DC-D47E6A6A26C0}"/>
    <cellStyle name="쉼표 [0] 2 3 3 3 2 2 2" xfId="5036" xr:uid="{4DA45E9A-BF71-4F63-98DC-D47E6A6A26C0}"/>
    <cellStyle name="쉼표 [0] 2 3 3 3 2 2 3" xfId="3323" xr:uid="{4DA45E9A-BF71-4F63-98DC-D47E6A6A26C0}"/>
    <cellStyle name="쉼표 [0] 2 3 3 3 2 3" xfId="3979" xr:uid="{4DA45E9A-BF71-4F63-98DC-D47E6A6A26C0}"/>
    <cellStyle name="쉼표 [0] 2 3 3 3 2 4" xfId="2266" xr:uid="{4DA45E9A-BF71-4F63-98DC-D47E6A6A26C0}"/>
    <cellStyle name="쉼표 [0] 2 3 3 3 3" xfId="1202" xr:uid="{4DA45E9A-BF71-4F63-98DC-D47E6A6A26C0}"/>
    <cellStyle name="쉼표 [0] 2 3 3 3 3 2" xfId="4629" xr:uid="{4DA45E9A-BF71-4F63-98DC-D47E6A6A26C0}"/>
    <cellStyle name="쉼표 [0] 2 3 3 3 3 3" xfId="2916" xr:uid="{4DA45E9A-BF71-4F63-98DC-D47E6A6A26C0}"/>
    <cellStyle name="쉼표 [0] 2 3 3 3 4" xfId="960" xr:uid="{4DA45E9A-BF71-4F63-98DC-D47E6A6A26C0}"/>
    <cellStyle name="쉼표 [0] 2 3 3 3 4 2" xfId="4388" xr:uid="{4DA45E9A-BF71-4F63-98DC-D47E6A6A26C0}"/>
    <cellStyle name="쉼표 [0] 2 3 3 3 4 3" xfId="2675" xr:uid="{4DA45E9A-BF71-4F63-98DC-D47E6A6A26C0}"/>
    <cellStyle name="쉼표 [0] 2 3 3 3 5" xfId="3571" xr:uid="{4DA45E9A-BF71-4F63-98DC-D47E6A6A26C0}"/>
    <cellStyle name="쉼표 [0] 2 3 3 3 6" xfId="1858" xr:uid="{4DA45E9A-BF71-4F63-98DC-D47E6A6A26C0}"/>
    <cellStyle name="쉼표 [0] 2 3 3 4" xfId="468" xr:uid="{4DA45E9A-BF71-4F63-98DC-D47E6A6A26C0}"/>
    <cellStyle name="쉼표 [0] 2 3 3 4 2" xfId="1528" xr:uid="{4DA45E9A-BF71-4F63-98DC-D47E6A6A26C0}"/>
    <cellStyle name="쉼표 [0] 2 3 3 4 2 2" xfId="4954" xr:uid="{4DA45E9A-BF71-4F63-98DC-D47E6A6A26C0}"/>
    <cellStyle name="쉼표 [0] 2 3 3 4 2 3" xfId="3241" xr:uid="{4DA45E9A-BF71-4F63-98DC-D47E6A6A26C0}"/>
    <cellStyle name="쉼표 [0] 2 3 3 4 3" xfId="878" xr:uid="{4DA45E9A-BF71-4F63-98DC-D47E6A6A26C0}"/>
    <cellStyle name="쉼표 [0] 2 3 3 4 3 2" xfId="4306" xr:uid="{4DA45E9A-BF71-4F63-98DC-D47E6A6A26C0}"/>
    <cellStyle name="쉼표 [0] 2 3 3 4 3 3" xfId="2593" xr:uid="{4DA45E9A-BF71-4F63-98DC-D47E6A6A26C0}"/>
    <cellStyle name="쉼표 [0] 2 3 3 4 4" xfId="3897" xr:uid="{4DA45E9A-BF71-4F63-98DC-D47E6A6A26C0}"/>
    <cellStyle name="쉼표 [0] 2 3 3 4 5" xfId="2184" xr:uid="{4DA45E9A-BF71-4F63-98DC-D47E6A6A26C0}"/>
    <cellStyle name="쉼표 [0] 2 3 3 5" xfId="305" xr:uid="{4DA45E9A-BF71-4F63-98DC-D47E6A6A26C0}"/>
    <cellStyle name="쉼표 [0] 2 3 3 5 2" xfId="1365" xr:uid="{4DA45E9A-BF71-4F63-98DC-D47E6A6A26C0}"/>
    <cellStyle name="쉼표 [0] 2 3 3 5 2 2" xfId="4792" xr:uid="{4DA45E9A-BF71-4F63-98DC-D47E6A6A26C0}"/>
    <cellStyle name="쉼표 [0] 2 3 3 5 2 3" xfId="3079" xr:uid="{4DA45E9A-BF71-4F63-98DC-D47E6A6A26C0}"/>
    <cellStyle name="쉼표 [0] 2 3 3 5 3" xfId="3735" xr:uid="{4DA45E9A-BF71-4F63-98DC-D47E6A6A26C0}"/>
    <cellStyle name="쉼표 [0] 2 3 3 5 4" xfId="2022" xr:uid="{4DA45E9A-BF71-4F63-98DC-D47E6A6A26C0}"/>
    <cellStyle name="쉼표 [0] 2 3 3 6" xfId="1123" xr:uid="{4DA45E9A-BF71-4F63-98DC-D47E6A6A26C0}"/>
    <cellStyle name="쉼표 [0] 2 3 3 6 2" xfId="4550" xr:uid="{4DA45E9A-BF71-4F63-98DC-D47E6A6A26C0}"/>
    <cellStyle name="쉼표 [0] 2 3 3 6 3" xfId="2837" xr:uid="{4DA45E9A-BF71-4F63-98DC-D47E6A6A26C0}"/>
    <cellStyle name="쉼표 [0] 2 3 3 7" xfId="716" xr:uid="{4DA45E9A-BF71-4F63-98DC-D47E6A6A26C0}"/>
    <cellStyle name="쉼표 [0] 2 3 3 7 2" xfId="4144" xr:uid="{4DA45E9A-BF71-4F63-98DC-D47E6A6A26C0}"/>
    <cellStyle name="쉼표 [0] 2 3 3 7 3" xfId="2431" xr:uid="{4DA45E9A-BF71-4F63-98DC-D47E6A6A26C0}"/>
    <cellStyle name="쉼표 [0] 2 3 3 8" xfId="3489" xr:uid="{4DA45E9A-BF71-4F63-98DC-D47E6A6A26C0}"/>
    <cellStyle name="쉼표 [0] 2 3 3 9" xfId="1776" xr:uid="{4DA45E9A-BF71-4F63-98DC-D47E6A6A26C0}"/>
    <cellStyle name="쉼표 [0] 2 3 4" xfId="90" xr:uid="{4DA45E9A-BF71-4F63-98DC-D47E6A6A26C0}"/>
    <cellStyle name="쉼표 [0] 2 3 4 2" xfId="257" xr:uid="{4DA45E9A-BF71-4F63-98DC-D47E6A6A26C0}"/>
    <cellStyle name="쉼표 [0] 2 3 4 2 2" xfId="668" xr:uid="{4DA45E9A-BF71-4F63-98DC-D47E6A6A26C0}"/>
    <cellStyle name="쉼표 [0] 2 3 4 2 2 2" xfId="1728" xr:uid="{4DA45E9A-BF71-4F63-98DC-D47E6A6A26C0}"/>
    <cellStyle name="쉼표 [0] 2 3 4 2 2 2 2" xfId="5154" xr:uid="{4DA45E9A-BF71-4F63-98DC-D47E6A6A26C0}"/>
    <cellStyle name="쉼표 [0] 2 3 4 2 2 2 3" xfId="3441" xr:uid="{4DA45E9A-BF71-4F63-98DC-D47E6A6A26C0}"/>
    <cellStyle name="쉼표 [0] 2 3 4 2 2 3" xfId="1078" xr:uid="{4DA45E9A-BF71-4F63-98DC-D47E6A6A26C0}"/>
    <cellStyle name="쉼표 [0] 2 3 4 2 2 3 2" xfId="4506" xr:uid="{4DA45E9A-BF71-4F63-98DC-D47E6A6A26C0}"/>
    <cellStyle name="쉼표 [0] 2 3 4 2 2 3 3" xfId="2793" xr:uid="{4DA45E9A-BF71-4F63-98DC-D47E6A6A26C0}"/>
    <cellStyle name="쉼표 [0] 2 3 4 2 2 4" xfId="4097" xr:uid="{4DA45E9A-BF71-4F63-98DC-D47E6A6A26C0}"/>
    <cellStyle name="쉼표 [0] 2 3 4 2 2 5" xfId="2384" xr:uid="{4DA45E9A-BF71-4F63-98DC-D47E6A6A26C0}"/>
    <cellStyle name="쉼표 [0] 2 3 4 2 3" xfId="423" xr:uid="{4DA45E9A-BF71-4F63-98DC-D47E6A6A26C0}"/>
    <cellStyle name="쉼표 [0] 2 3 4 2 3 2" xfId="1483" xr:uid="{4DA45E9A-BF71-4F63-98DC-D47E6A6A26C0}"/>
    <cellStyle name="쉼표 [0] 2 3 4 2 3 2 2" xfId="4910" xr:uid="{4DA45E9A-BF71-4F63-98DC-D47E6A6A26C0}"/>
    <cellStyle name="쉼표 [0] 2 3 4 2 3 2 3" xfId="3197" xr:uid="{4DA45E9A-BF71-4F63-98DC-D47E6A6A26C0}"/>
    <cellStyle name="쉼표 [0] 2 3 4 2 3 3" xfId="3853" xr:uid="{4DA45E9A-BF71-4F63-98DC-D47E6A6A26C0}"/>
    <cellStyle name="쉼표 [0] 2 3 4 2 3 4" xfId="2140" xr:uid="{4DA45E9A-BF71-4F63-98DC-D47E6A6A26C0}"/>
    <cellStyle name="쉼표 [0] 2 3 4 2 4" xfId="1319" xr:uid="{4DA45E9A-BF71-4F63-98DC-D47E6A6A26C0}"/>
    <cellStyle name="쉼표 [0] 2 3 4 2 4 2" xfId="4746" xr:uid="{4DA45E9A-BF71-4F63-98DC-D47E6A6A26C0}"/>
    <cellStyle name="쉼표 [0] 2 3 4 2 4 3" xfId="3033" xr:uid="{4DA45E9A-BF71-4F63-98DC-D47E6A6A26C0}"/>
    <cellStyle name="쉼표 [0] 2 3 4 2 5" xfId="834" xr:uid="{4DA45E9A-BF71-4F63-98DC-D47E6A6A26C0}"/>
    <cellStyle name="쉼표 [0] 2 3 4 2 5 2" xfId="4262" xr:uid="{4DA45E9A-BF71-4F63-98DC-D47E6A6A26C0}"/>
    <cellStyle name="쉼표 [0] 2 3 4 2 5 3" xfId="2549" xr:uid="{4DA45E9A-BF71-4F63-98DC-D47E6A6A26C0}"/>
    <cellStyle name="쉼표 [0] 2 3 4 2 6" xfId="3689" xr:uid="{4DA45E9A-BF71-4F63-98DC-D47E6A6A26C0}"/>
    <cellStyle name="쉼표 [0] 2 3 4 2 7" xfId="1976" xr:uid="{4DA45E9A-BF71-4F63-98DC-D47E6A6A26C0}"/>
    <cellStyle name="쉼표 [0] 2 3 4 3" xfId="175" xr:uid="{4DA45E9A-BF71-4F63-98DC-D47E6A6A26C0}"/>
    <cellStyle name="쉼표 [0] 2 3 4 3 2" xfId="586" xr:uid="{4DA45E9A-BF71-4F63-98DC-D47E6A6A26C0}"/>
    <cellStyle name="쉼표 [0] 2 3 4 3 2 2" xfId="1646" xr:uid="{4DA45E9A-BF71-4F63-98DC-D47E6A6A26C0}"/>
    <cellStyle name="쉼표 [0] 2 3 4 3 2 2 2" xfId="5072" xr:uid="{4DA45E9A-BF71-4F63-98DC-D47E6A6A26C0}"/>
    <cellStyle name="쉼표 [0] 2 3 4 3 2 2 3" xfId="3359" xr:uid="{4DA45E9A-BF71-4F63-98DC-D47E6A6A26C0}"/>
    <cellStyle name="쉼표 [0] 2 3 4 3 2 3" xfId="4015" xr:uid="{4DA45E9A-BF71-4F63-98DC-D47E6A6A26C0}"/>
    <cellStyle name="쉼표 [0] 2 3 4 3 2 4" xfId="2302" xr:uid="{4DA45E9A-BF71-4F63-98DC-D47E6A6A26C0}"/>
    <cellStyle name="쉼표 [0] 2 3 4 3 3" xfId="1238" xr:uid="{4DA45E9A-BF71-4F63-98DC-D47E6A6A26C0}"/>
    <cellStyle name="쉼표 [0] 2 3 4 3 3 2" xfId="4665" xr:uid="{4DA45E9A-BF71-4F63-98DC-D47E6A6A26C0}"/>
    <cellStyle name="쉼표 [0] 2 3 4 3 3 3" xfId="2952" xr:uid="{4DA45E9A-BF71-4F63-98DC-D47E6A6A26C0}"/>
    <cellStyle name="쉼표 [0] 2 3 4 3 4" xfId="996" xr:uid="{4DA45E9A-BF71-4F63-98DC-D47E6A6A26C0}"/>
    <cellStyle name="쉼표 [0] 2 3 4 3 4 2" xfId="4424" xr:uid="{4DA45E9A-BF71-4F63-98DC-D47E6A6A26C0}"/>
    <cellStyle name="쉼표 [0] 2 3 4 3 4 3" xfId="2711" xr:uid="{4DA45E9A-BF71-4F63-98DC-D47E6A6A26C0}"/>
    <cellStyle name="쉼표 [0] 2 3 4 3 5" xfId="3607" xr:uid="{4DA45E9A-BF71-4F63-98DC-D47E6A6A26C0}"/>
    <cellStyle name="쉼표 [0] 2 3 4 3 6" xfId="1894" xr:uid="{4DA45E9A-BF71-4F63-98DC-D47E6A6A26C0}"/>
    <cellStyle name="쉼표 [0] 2 3 4 4" xfId="504" xr:uid="{4DA45E9A-BF71-4F63-98DC-D47E6A6A26C0}"/>
    <cellStyle name="쉼표 [0] 2 3 4 4 2" xfId="1564" xr:uid="{4DA45E9A-BF71-4F63-98DC-D47E6A6A26C0}"/>
    <cellStyle name="쉼표 [0] 2 3 4 4 2 2" xfId="4990" xr:uid="{4DA45E9A-BF71-4F63-98DC-D47E6A6A26C0}"/>
    <cellStyle name="쉼표 [0] 2 3 4 4 2 3" xfId="3277" xr:uid="{4DA45E9A-BF71-4F63-98DC-D47E6A6A26C0}"/>
    <cellStyle name="쉼표 [0] 2 3 4 4 3" xfId="914" xr:uid="{4DA45E9A-BF71-4F63-98DC-D47E6A6A26C0}"/>
    <cellStyle name="쉼표 [0] 2 3 4 4 3 2" xfId="4342" xr:uid="{4DA45E9A-BF71-4F63-98DC-D47E6A6A26C0}"/>
    <cellStyle name="쉼표 [0] 2 3 4 4 3 3" xfId="2629" xr:uid="{4DA45E9A-BF71-4F63-98DC-D47E6A6A26C0}"/>
    <cellStyle name="쉼표 [0] 2 3 4 4 4" xfId="3933" xr:uid="{4DA45E9A-BF71-4F63-98DC-D47E6A6A26C0}"/>
    <cellStyle name="쉼표 [0] 2 3 4 4 5" xfId="2220" xr:uid="{4DA45E9A-BF71-4F63-98DC-D47E6A6A26C0}"/>
    <cellStyle name="쉼표 [0] 2 3 4 5" xfId="341" xr:uid="{4DA45E9A-BF71-4F63-98DC-D47E6A6A26C0}"/>
    <cellStyle name="쉼표 [0] 2 3 4 5 2" xfId="1401" xr:uid="{4DA45E9A-BF71-4F63-98DC-D47E6A6A26C0}"/>
    <cellStyle name="쉼표 [0] 2 3 4 5 2 2" xfId="4828" xr:uid="{4DA45E9A-BF71-4F63-98DC-D47E6A6A26C0}"/>
    <cellStyle name="쉼표 [0] 2 3 4 5 2 3" xfId="3115" xr:uid="{4DA45E9A-BF71-4F63-98DC-D47E6A6A26C0}"/>
    <cellStyle name="쉼표 [0] 2 3 4 5 3" xfId="3771" xr:uid="{4DA45E9A-BF71-4F63-98DC-D47E6A6A26C0}"/>
    <cellStyle name="쉼표 [0] 2 3 4 5 4" xfId="2058" xr:uid="{4DA45E9A-BF71-4F63-98DC-D47E6A6A26C0}"/>
    <cellStyle name="쉼표 [0] 2 3 4 6" xfId="1159" xr:uid="{4DA45E9A-BF71-4F63-98DC-D47E6A6A26C0}"/>
    <cellStyle name="쉼표 [0] 2 3 4 6 2" xfId="4586" xr:uid="{4DA45E9A-BF71-4F63-98DC-D47E6A6A26C0}"/>
    <cellStyle name="쉼표 [0] 2 3 4 6 3" xfId="2873" xr:uid="{4DA45E9A-BF71-4F63-98DC-D47E6A6A26C0}"/>
    <cellStyle name="쉼표 [0] 2 3 4 7" xfId="752" xr:uid="{4DA45E9A-BF71-4F63-98DC-D47E6A6A26C0}"/>
    <cellStyle name="쉼표 [0] 2 3 4 7 2" xfId="4180" xr:uid="{4DA45E9A-BF71-4F63-98DC-D47E6A6A26C0}"/>
    <cellStyle name="쉼표 [0] 2 3 4 7 3" xfId="2467" xr:uid="{4DA45E9A-BF71-4F63-98DC-D47E6A6A26C0}"/>
    <cellStyle name="쉼표 [0] 2 3 4 8" xfId="3525" xr:uid="{4DA45E9A-BF71-4F63-98DC-D47E6A6A26C0}"/>
    <cellStyle name="쉼표 [0] 2 3 4 9" xfId="1812" xr:uid="{4DA45E9A-BF71-4F63-98DC-D47E6A6A26C0}"/>
    <cellStyle name="쉼표 [0] 2 3 5" xfId="213" xr:uid="{724CD427-2673-4E39-A416-96BEE7935B57}"/>
    <cellStyle name="쉼표 [0] 2 3 5 2" xfId="624" xr:uid="{724CD427-2673-4E39-A416-96BEE7935B57}"/>
    <cellStyle name="쉼표 [0] 2 3 5 2 2" xfId="1684" xr:uid="{724CD427-2673-4E39-A416-96BEE7935B57}"/>
    <cellStyle name="쉼표 [0] 2 3 5 2 2 2" xfId="5110" xr:uid="{724CD427-2673-4E39-A416-96BEE7935B57}"/>
    <cellStyle name="쉼표 [0] 2 3 5 2 2 3" xfId="3397" xr:uid="{724CD427-2673-4E39-A416-96BEE7935B57}"/>
    <cellStyle name="쉼표 [0] 2 3 5 2 3" xfId="1034" xr:uid="{724CD427-2673-4E39-A416-96BEE7935B57}"/>
    <cellStyle name="쉼표 [0] 2 3 5 2 3 2" xfId="4462" xr:uid="{724CD427-2673-4E39-A416-96BEE7935B57}"/>
    <cellStyle name="쉼표 [0] 2 3 5 2 3 3" xfId="2749" xr:uid="{724CD427-2673-4E39-A416-96BEE7935B57}"/>
    <cellStyle name="쉼표 [0] 2 3 5 2 4" xfId="4053" xr:uid="{724CD427-2673-4E39-A416-96BEE7935B57}"/>
    <cellStyle name="쉼표 [0] 2 3 5 2 5" xfId="2340" xr:uid="{724CD427-2673-4E39-A416-96BEE7935B57}"/>
    <cellStyle name="쉼표 [0] 2 3 5 3" xfId="379" xr:uid="{724CD427-2673-4E39-A416-96BEE7935B57}"/>
    <cellStyle name="쉼표 [0] 2 3 5 3 2" xfId="1439" xr:uid="{724CD427-2673-4E39-A416-96BEE7935B57}"/>
    <cellStyle name="쉼표 [0] 2 3 5 3 2 2" xfId="4866" xr:uid="{724CD427-2673-4E39-A416-96BEE7935B57}"/>
    <cellStyle name="쉼표 [0] 2 3 5 3 2 3" xfId="3153" xr:uid="{724CD427-2673-4E39-A416-96BEE7935B57}"/>
    <cellStyle name="쉼표 [0] 2 3 5 3 3" xfId="3809" xr:uid="{724CD427-2673-4E39-A416-96BEE7935B57}"/>
    <cellStyle name="쉼표 [0] 2 3 5 3 4" xfId="2096" xr:uid="{724CD427-2673-4E39-A416-96BEE7935B57}"/>
    <cellStyle name="쉼표 [0] 2 3 5 4" xfId="1275" xr:uid="{724CD427-2673-4E39-A416-96BEE7935B57}"/>
    <cellStyle name="쉼표 [0] 2 3 5 4 2" xfId="4702" xr:uid="{724CD427-2673-4E39-A416-96BEE7935B57}"/>
    <cellStyle name="쉼표 [0] 2 3 5 4 3" xfId="2989" xr:uid="{724CD427-2673-4E39-A416-96BEE7935B57}"/>
    <cellStyle name="쉼표 [0] 2 3 5 5" xfId="790" xr:uid="{724CD427-2673-4E39-A416-96BEE7935B57}"/>
    <cellStyle name="쉼표 [0] 2 3 5 5 2" xfId="4218" xr:uid="{724CD427-2673-4E39-A416-96BEE7935B57}"/>
    <cellStyle name="쉼표 [0] 2 3 5 5 3" xfId="2505" xr:uid="{724CD427-2673-4E39-A416-96BEE7935B57}"/>
    <cellStyle name="쉼표 [0] 2 3 5 6" xfId="3645" xr:uid="{724CD427-2673-4E39-A416-96BEE7935B57}"/>
    <cellStyle name="쉼표 [0] 2 3 5 7" xfId="1932" xr:uid="{724CD427-2673-4E39-A416-96BEE7935B57}"/>
    <cellStyle name="쉼표 [0] 2 3 6" xfId="130" xr:uid="{724CD427-2673-4E39-A416-96BEE7935B57}"/>
    <cellStyle name="쉼표 [0] 2 3 6 2" xfId="541" xr:uid="{724CD427-2673-4E39-A416-96BEE7935B57}"/>
    <cellStyle name="쉼표 [0] 2 3 6 2 2" xfId="1601" xr:uid="{724CD427-2673-4E39-A416-96BEE7935B57}"/>
    <cellStyle name="쉼표 [0] 2 3 6 2 2 2" xfId="5027" xr:uid="{724CD427-2673-4E39-A416-96BEE7935B57}"/>
    <cellStyle name="쉼표 [0] 2 3 6 2 2 3" xfId="3314" xr:uid="{724CD427-2673-4E39-A416-96BEE7935B57}"/>
    <cellStyle name="쉼표 [0] 2 3 6 2 3" xfId="3970" xr:uid="{724CD427-2673-4E39-A416-96BEE7935B57}"/>
    <cellStyle name="쉼표 [0] 2 3 6 2 4" xfId="2257" xr:uid="{724CD427-2673-4E39-A416-96BEE7935B57}"/>
    <cellStyle name="쉼표 [0] 2 3 6 3" xfId="1194" xr:uid="{724CD427-2673-4E39-A416-96BEE7935B57}"/>
    <cellStyle name="쉼표 [0] 2 3 6 3 2" xfId="4621" xr:uid="{724CD427-2673-4E39-A416-96BEE7935B57}"/>
    <cellStyle name="쉼표 [0] 2 3 6 3 3" xfId="2908" xr:uid="{724CD427-2673-4E39-A416-96BEE7935B57}"/>
    <cellStyle name="쉼표 [0] 2 3 6 4" xfId="951" xr:uid="{724CD427-2673-4E39-A416-96BEE7935B57}"/>
    <cellStyle name="쉼표 [0] 2 3 6 4 2" xfId="4379" xr:uid="{724CD427-2673-4E39-A416-96BEE7935B57}"/>
    <cellStyle name="쉼표 [0] 2 3 6 4 3" xfId="2666" xr:uid="{724CD427-2673-4E39-A416-96BEE7935B57}"/>
    <cellStyle name="쉼표 [0] 2 3 6 5" xfId="3562" xr:uid="{724CD427-2673-4E39-A416-96BEE7935B57}"/>
    <cellStyle name="쉼표 [0] 2 3 6 6" xfId="1849" xr:uid="{724CD427-2673-4E39-A416-96BEE7935B57}"/>
    <cellStyle name="쉼표 [0] 2 3 7" xfId="460" xr:uid="{724CD427-2673-4E39-A416-96BEE7935B57}"/>
    <cellStyle name="쉼표 [0] 2 3 7 2" xfId="1520" xr:uid="{724CD427-2673-4E39-A416-96BEE7935B57}"/>
    <cellStyle name="쉼표 [0] 2 3 7 2 2" xfId="4946" xr:uid="{724CD427-2673-4E39-A416-96BEE7935B57}"/>
    <cellStyle name="쉼표 [0] 2 3 7 2 3" xfId="3233" xr:uid="{724CD427-2673-4E39-A416-96BEE7935B57}"/>
    <cellStyle name="쉼표 [0] 2 3 7 3" xfId="870" xr:uid="{724CD427-2673-4E39-A416-96BEE7935B57}"/>
    <cellStyle name="쉼표 [0] 2 3 7 3 2" xfId="4298" xr:uid="{724CD427-2673-4E39-A416-96BEE7935B57}"/>
    <cellStyle name="쉼표 [0] 2 3 7 3 3" xfId="2585" xr:uid="{724CD427-2673-4E39-A416-96BEE7935B57}"/>
    <cellStyle name="쉼표 [0] 2 3 7 4" xfId="3889" xr:uid="{724CD427-2673-4E39-A416-96BEE7935B57}"/>
    <cellStyle name="쉼표 [0] 2 3 7 5" xfId="2176" xr:uid="{724CD427-2673-4E39-A416-96BEE7935B57}"/>
    <cellStyle name="쉼표 [0] 2 3 8" xfId="296" xr:uid="{724CD427-2673-4E39-A416-96BEE7935B57}"/>
    <cellStyle name="쉼표 [0] 2 3 8 2" xfId="1356" xr:uid="{724CD427-2673-4E39-A416-96BEE7935B57}"/>
    <cellStyle name="쉼표 [0] 2 3 8 2 2" xfId="4783" xr:uid="{724CD427-2673-4E39-A416-96BEE7935B57}"/>
    <cellStyle name="쉼표 [0] 2 3 8 2 3" xfId="3070" xr:uid="{724CD427-2673-4E39-A416-96BEE7935B57}"/>
    <cellStyle name="쉼표 [0] 2 3 8 3" xfId="3726" xr:uid="{724CD427-2673-4E39-A416-96BEE7935B57}"/>
    <cellStyle name="쉼표 [0] 2 3 8 4" xfId="2013" xr:uid="{724CD427-2673-4E39-A416-96BEE7935B57}"/>
    <cellStyle name="쉼표 [0] 2 3 9" xfId="1115" xr:uid="{724CD427-2673-4E39-A416-96BEE7935B57}"/>
    <cellStyle name="쉼표 [0] 2 3 9 2" xfId="4542" xr:uid="{724CD427-2673-4E39-A416-96BEE7935B57}"/>
    <cellStyle name="쉼표 [0] 2 3 9 3" xfId="2829" xr:uid="{724CD427-2673-4E39-A416-96BEE7935B57}"/>
    <cellStyle name="쉼표 [0] 2 4" xfId="34" xr:uid="{3C5745C3-F4B7-4E2A-B754-82D162D2EA73}"/>
    <cellStyle name="쉼표 [0] 2 4 10" xfId="1778" xr:uid="{3C5745C3-F4B7-4E2A-B754-82D162D2EA73}"/>
    <cellStyle name="쉼표 [0] 2 4 2" xfId="92" xr:uid="{3C5745C3-F4B7-4E2A-B754-82D162D2EA73}"/>
    <cellStyle name="쉼표 [0] 2 4 2 2" xfId="259" xr:uid="{3C5745C3-F4B7-4E2A-B754-82D162D2EA73}"/>
    <cellStyle name="쉼표 [0] 2 4 2 2 2" xfId="670" xr:uid="{3C5745C3-F4B7-4E2A-B754-82D162D2EA73}"/>
    <cellStyle name="쉼표 [0] 2 4 2 2 2 2" xfId="1730" xr:uid="{3C5745C3-F4B7-4E2A-B754-82D162D2EA73}"/>
    <cellStyle name="쉼표 [0] 2 4 2 2 2 2 2" xfId="5156" xr:uid="{3C5745C3-F4B7-4E2A-B754-82D162D2EA73}"/>
    <cellStyle name="쉼표 [0] 2 4 2 2 2 2 3" xfId="3443" xr:uid="{3C5745C3-F4B7-4E2A-B754-82D162D2EA73}"/>
    <cellStyle name="쉼표 [0] 2 4 2 2 2 3" xfId="1080" xr:uid="{3C5745C3-F4B7-4E2A-B754-82D162D2EA73}"/>
    <cellStyle name="쉼표 [0] 2 4 2 2 2 3 2" xfId="4508" xr:uid="{3C5745C3-F4B7-4E2A-B754-82D162D2EA73}"/>
    <cellStyle name="쉼표 [0] 2 4 2 2 2 3 3" xfId="2795" xr:uid="{3C5745C3-F4B7-4E2A-B754-82D162D2EA73}"/>
    <cellStyle name="쉼표 [0] 2 4 2 2 2 4" xfId="4099" xr:uid="{3C5745C3-F4B7-4E2A-B754-82D162D2EA73}"/>
    <cellStyle name="쉼표 [0] 2 4 2 2 2 5" xfId="2386" xr:uid="{3C5745C3-F4B7-4E2A-B754-82D162D2EA73}"/>
    <cellStyle name="쉼표 [0] 2 4 2 2 3" xfId="425" xr:uid="{3C5745C3-F4B7-4E2A-B754-82D162D2EA73}"/>
    <cellStyle name="쉼표 [0] 2 4 2 2 3 2" xfId="1485" xr:uid="{3C5745C3-F4B7-4E2A-B754-82D162D2EA73}"/>
    <cellStyle name="쉼표 [0] 2 4 2 2 3 2 2" xfId="4912" xr:uid="{3C5745C3-F4B7-4E2A-B754-82D162D2EA73}"/>
    <cellStyle name="쉼표 [0] 2 4 2 2 3 2 3" xfId="3199" xr:uid="{3C5745C3-F4B7-4E2A-B754-82D162D2EA73}"/>
    <cellStyle name="쉼표 [0] 2 4 2 2 3 3" xfId="3855" xr:uid="{3C5745C3-F4B7-4E2A-B754-82D162D2EA73}"/>
    <cellStyle name="쉼표 [0] 2 4 2 2 3 4" xfId="2142" xr:uid="{3C5745C3-F4B7-4E2A-B754-82D162D2EA73}"/>
    <cellStyle name="쉼표 [0] 2 4 2 2 4" xfId="1321" xr:uid="{3C5745C3-F4B7-4E2A-B754-82D162D2EA73}"/>
    <cellStyle name="쉼표 [0] 2 4 2 2 4 2" xfId="4748" xr:uid="{3C5745C3-F4B7-4E2A-B754-82D162D2EA73}"/>
    <cellStyle name="쉼표 [0] 2 4 2 2 4 3" xfId="3035" xr:uid="{3C5745C3-F4B7-4E2A-B754-82D162D2EA73}"/>
    <cellStyle name="쉼표 [0] 2 4 2 2 5" xfId="836" xr:uid="{3C5745C3-F4B7-4E2A-B754-82D162D2EA73}"/>
    <cellStyle name="쉼표 [0] 2 4 2 2 5 2" xfId="4264" xr:uid="{3C5745C3-F4B7-4E2A-B754-82D162D2EA73}"/>
    <cellStyle name="쉼표 [0] 2 4 2 2 5 3" xfId="2551" xr:uid="{3C5745C3-F4B7-4E2A-B754-82D162D2EA73}"/>
    <cellStyle name="쉼표 [0] 2 4 2 2 6" xfId="3691" xr:uid="{3C5745C3-F4B7-4E2A-B754-82D162D2EA73}"/>
    <cellStyle name="쉼표 [0] 2 4 2 2 7" xfId="1978" xr:uid="{3C5745C3-F4B7-4E2A-B754-82D162D2EA73}"/>
    <cellStyle name="쉼표 [0] 2 4 2 3" xfId="177" xr:uid="{3C5745C3-F4B7-4E2A-B754-82D162D2EA73}"/>
    <cellStyle name="쉼표 [0] 2 4 2 3 2" xfId="588" xr:uid="{3C5745C3-F4B7-4E2A-B754-82D162D2EA73}"/>
    <cellStyle name="쉼표 [0] 2 4 2 3 2 2" xfId="1648" xr:uid="{3C5745C3-F4B7-4E2A-B754-82D162D2EA73}"/>
    <cellStyle name="쉼표 [0] 2 4 2 3 2 2 2" xfId="5074" xr:uid="{3C5745C3-F4B7-4E2A-B754-82D162D2EA73}"/>
    <cellStyle name="쉼표 [0] 2 4 2 3 2 2 3" xfId="3361" xr:uid="{3C5745C3-F4B7-4E2A-B754-82D162D2EA73}"/>
    <cellStyle name="쉼표 [0] 2 4 2 3 2 3" xfId="4017" xr:uid="{3C5745C3-F4B7-4E2A-B754-82D162D2EA73}"/>
    <cellStyle name="쉼표 [0] 2 4 2 3 2 4" xfId="2304" xr:uid="{3C5745C3-F4B7-4E2A-B754-82D162D2EA73}"/>
    <cellStyle name="쉼표 [0] 2 4 2 3 3" xfId="1240" xr:uid="{3C5745C3-F4B7-4E2A-B754-82D162D2EA73}"/>
    <cellStyle name="쉼표 [0] 2 4 2 3 3 2" xfId="4667" xr:uid="{3C5745C3-F4B7-4E2A-B754-82D162D2EA73}"/>
    <cellStyle name="쉼표 [0] 2 4 2 3 3 3" xfId="2954" xr:uid="{3C5745C3-F4B7-4E2A-B754-82D162D2EA73}"/>
    <cellStyle name="쉼표 [0] 2 4 2 3 4" xfId="998" xr:uid="{3C5745C3-F4B7-4E2A-B754-82D162D2EA73}"/>
    <cellStyle name="쉼표 [0] 2 4 2 3 4 2" xfId="4426" xr:uid="{3C5745C3-F4B7-4E2A-B754-82D162D2EA73}"/>
    <cellStyle name="쉼표 [0] 2 4 2 3 4 3" xfId="2713" xr:uid="{3C5745C3-F4B7-4E2A-B754-82D162D2EA73}"/>
    <cellStyle name="쉼표 [0] 2 4 2 3 5" xfId="3609" xr:uid="{3C5745C3-F4B7-4E2A-B754-82D162D2EA73}"/>
    <cellStyle name="쉼표 [0] 2 4 2 3 6" xfId="1896" xr:uid="{3C5745C3-F4B7-4E2A-B754-82D162D2EA73}"/>
    <cellStyle name="쉼표 [0] 2 4 2 4" xfId="506" xr:uid="{3C5745C3-F4B7-4E2A-B754-82D162D2EA73}"/>
    <cellStyle name="쉼표 [0] 2 4 2 4 2" xfId="1566" xr:uid="{3C5745C3-F4B7-4E2A-B754-82D162D2EA73}"/>
    <cellStyle name="쉼표 [0] 2 4 2 4 2 2" xfId="4992" xr:uid="{3C5745C3-F4B7-4E2A-B754-82D162D2EA73}"/>
    <cellStyle name="쉼표 [0] 2 4 2 4 2 3" xfId="3279" xr:uid="{3C5745C3-F4B7-4E2A-B754-82D162D2EA73}"/>
    <cellStyle name="쉼표 [0] 2 4 2 4 3" xfId="916" xr:uid="{3C5745C3-F4B7-4E2A-B754-82D162D2EA73}"/>
    <cellStyle name="쉼표 [0] 2 4 2 4 3 2" xfId="4344" xr:uid="{3C5745C3-F4B7-4E2A-B754-82D162D2EA73}"/>
    <cellStyle name="쉼표 [0] 2 4 2 4 3 3" xfId="2631" xr:uid="{3C5745C3-F4B7-4E2A-B754-82D162D2EA73}"/>
    <cellStyle name="쉼표 [0] 2 4 2 4 4" xfId="3935" xr:uid="{3C5745C3-F4B7-4E2A-B754-82D162D2EA73}"/>
    <cellStyle name="쉼표 [0] 2 4 2 4 5" xfId="2222" xr:uid="{3C5745C3-F4B7-4E2A-B754-82D162D2EA73}"/>
    <cellStyle name="쉼표 [0] 2 4 2 5" xfId="343" xr:uid="{3C5745C3-F4B7-4E2A-B754-82D162D2EA73}"/>
    <cellStyle name="쉼표 [0] 2 4 2 5 2" xfId="1403" xr:uid="{3C5745C3-F4B7-4E2A-B754-82D162D2EA73}"/>
    <cellStyle name="쉼표 [0] 2 4 2 5 2 2" xfId="4830" xr:uid="{3C5745C3-F4B7-4E2A-B754-82D162D2EA73}"/>
    <cellStyle name="쉼표 [0] 2 4 2 5 2 3" xfId="3117" xr:uid="{3C5745C3-F4B7-4E2A-B754-82D162D2EA73}"/>
    <cellStyle name="쉼표 [0] 2 4 2 5 3" xfId="3773" xr:uid="{3C5745C3-F4B7-4E2A-B754-82D162D2EA73}"/>
    <cellStyle name="쉼표 [0] 2 4 2 5 4" xfId="2060" xr:uid="{3C5745C3-F4B7-4E2A-B754-82D162D2EA73}"/>
    <cellStyle name="쉼표 [0] 2 4 2 6" xfId="1161" xr:uid="{3C5745C3-F4B7-4E2A-B754-82D162D2EA73}"/>
    <cellStyle name="쉼표 [0] 2 4 2 6 2" xfId="4588" xr:uid="{3C5745C3-F4B7-4E2A-B754-82D162D2EA73}"/>
    <cellStyle name="쉼표 [0] 2 4 2 6 3" xfId="2875" xr:uid="{3C5745C3-F4B7-4E2A-B754-82D162D2EA73}"/>
    <cellStyle name="쉼표 [0] 2 4 2 7" xfId="754" xr:uid="{3C5745C3-F4B7-4E2A-B754-82D162D2EA73}"/>
    <cellStyle name="쉼표 [0] 2 4 2 7 2" xfId="4182" xr:uid="{3C5745C3-F4B7-4E2A-B754-82D162D2EA73}"/>
    <cellStyle name="쉼표 [0] 2 4 2 7 3" xfId="2469" xr:uid="{3C5745C3-F4B7-4E2A-B754-82D162D2EA73}"/>
    <cellStyle name="쉼표 [0] 2 4 2 8" xfId="3527" xr:uid="{3C5745C3-F4B7-4E2A-B754-82D162D2EA73}"/>
    <cellStyle name="쉼표 [0] 2 4 2 9" xfId="1814" xr:uid="{3C5745C3-F4B7-4E2A-B754-82D162D2EA73}"/>
    <cellStyle name="쉼표 [0] 2 4 3" xfId="223" xr:uid="{3C5745C3-F4B7-4E2A-B754-82D162D2EA73}"/>
    <cellStyle name="쉼표 [0] 2 4 3 2" xfId="634" xr:uid="{3C5745C3-F4B7-4E2A-B754-82D162D2EA73}"/>
    <cellStyle name="쉼표 [0] 2 4 3 2 2" xfId="1694" xr:uid="{3C5745C3-F4B7-4E2A-B754-82D162D2EA73}"/>
    <cellStyle name="쉼표 [0] 2 4 3 2 2 2" xfId="5120" xr:uid="{3C5745C3-F4B7-4E2A-B754-82D162D2EA73}"/>
    <cellStyle name="쉼표 [0] 2 4 3 2 2 3" xfId="3407" xr:uid="{3C5745C3-F4B7-4E2A-B754-82D162D2EA73}"/>
    <cellStyle name="쉼표 [0] 2 4 3 2 3" xfId="1044" xr:uid="{3C5745C3-F4B7-4E2A-B754-82D162D2EA73}"/>
    <cellStyle name="쉼표 [0] 2 4 3 2 3 2" xfId="4472" xr:uid="{3C5745C3-F4B7-4E2A-B754-82D162D2EA73}"/>
    <cellStyle name="쉼표 [0] 2 4 3 2 3 3" xfId="2759" xr:uid="{3C5745C3-F4B7-4E2A-B754-82D162D2EA73}"/>
    <cellStyle name="쉼표 [0] 2 4 3 2 4" xfId="4063" xr:uid="{3C5745C3-F4B7-4E2A-B754-82D162D2EA73}"/>
    <cellStyle name="쉼표 [0] 2 4 3 2 5" xfId="2350" xr:uid="{3C5745C3-F4B7-4E2A-B754-82D162D2EA73}"/>
    <cellStyle name="쉼표 [0] 2 4 3 3" xfId="389" xr:uid="{3C5745C3-F4B7-4E2A-B754-82D162D2EA73}"/>
    <cellStyle name="쉼표 [0] 2 4 3 3 2" xfId="1449" xr:uid="{3C5745C3-F4B7-4E2A-B754-82D162D2EA73}"/>
    <cellStyle name="쉼표 [0] 2 4 3 3 2 2" xfId="4876" xr:uid="{3C5745C3-F4B7-4E2A-B754-82D162D2EA73}"/>
    <cellStyle name="쉼표 [0] 2 4 3 3 2 3" xfId="3163" xr:uid="{3C5745C3-F4B7-4E2A-B754-82D162D2EA73}"/>
    <cellStyle name="쉼표 [0] 2 4 3 3 3" xfId="3819" xr:uid="{3C5745C3-F4B7-4E2A-B754-82D162D2EA73}"/>
    <cellStyle name="쉼표 [0] 2 4 3 3 4" xfId="2106" xr:uid="{3C5745C3-F4B7-4E2A-B754-82D162D2EA73}"/>
    <cellStyle name="쉼표 [0] 2 4 3 4" xfId="1285" xr:uid="{3C5745C3-F4B7-4E2A-B754-82D162D2EA73}"/>
    <cellStyle name="쉼표 [0] 2 4 3 4 2" xfId="4712" xr:uid="{3C5745C3-F4B7-4E2A-B754-82D162D2EA73}"/>
    <cellStyle name="쉼표 [0] 2 4 3 4 3" xfId="2999" xr:uid="{3C5745C3-F4B7-4E2A-B754-82D162D2EA73}"/>
    <cellStyle name="쉼표 [0] 2 4 3 5" xfId="800" xr:uid="{3C5745C3-F4B7-4E2A-B754-82D162D2EA73}"/>
    <cellStyle name="쉼표 [0] 2 4 3 5 2" xfId="4228" xr:uid="{3C5745C3-F4B7-4E2A-B754-82D162D2EA73}"/>
    <cellStyle name="쉼표 [0] 2 4 3 5 3" xfId="2515" xr:uid="{3C5745C3-F4B7-4E2A-B754-82D162D2EA73}"/>
    <cellStyle name="쉼표 [0] 2 4 3 6" xfId="3655" xr:uid="{3C5745C3-F4B7-4E2A-B754-82D162D2EA73}"/>
    <cellStyle name="쉼표 [0] 2 4 3 7" xfId="1942" xr:uid="{3C5745C3-F4B7-4E2A-B754-82D162D2EA73}"/>
    <cellStyle name="쉼표 [0] 2 4 4" xfId="141" xr:uid="{3C5745C3-F4B7-4E2A-B754-82D162D2EA73}"/>
    <cellStyle name="쉼표 [0] 2 4 4 2" xfId="552" xr:uid="{3C5745C3-F4B7-4E2A-B754-82D162D2EA73}"/>
    <cellStyle name="쉼표 [0] 2 4 4 2 2" xfId="1612" xr:uid="{3C5745C3-F4B7-4E2A-B754-82D162D2EA73}"/>
    <cellStyle name="쉼표 [0] 2 4 4 2 2 2" xfId="5038" xr:uid="{3C5745C3-F4B7-4E2A-B754-82D162D2EA73}"/>
    <cellStyle name="쉼표 [0] 2 4 4 2 2 3" xfId="3325" xr:uid="{3C5745C3-F4B7-4E2A-B754-82D162D2EA73}"/>
    <cellStyle name="쉼표 [0] 2 4 4 2 3" xfId="3981" xr:uid="{3C5745C3-F4B7-4E2A-B754-82D162D2EA73}"/>
    <cellStyle name="쉼표 [0] 2 4 4 2 4" xfId="2268" xr:uid="{3C5745C3-F4B7-4E2A-B754-82D162D2EA73}"/>
    <cellStyle name="쉼표 [0] 2 4 4 3" xfId="1204" xr:uid="{3C5745C3-F4B7-4E2A-B754-82D162D2EA73}"/>
    <cellStyle name="쉼표 [0] 2 4 4 3 2" xfId="4631" xr:uid="{3C5745C3-F4B7-4E2A-B754-82D162D2EA73}"/>
    <cellStyle name="쉼표 [0] 2 4 4 3 3" xfId="2918" xr:uid="{3C5745C3-F4B7-4E2A-B754-82D162D2EA73}"/>
    <cellStyle name="쉼표 [0] 2 4 4 4" xfId="962" xr:uid="{3C5745C3-F4B7-4E2A-B754-82D162D2EA73}"/>
    <cellStyle name="쉼표 [0] 2 4 4 4 2" xfId="4390" xr:uid="{3C5745C3-F4B7-4E2A-B754-82D162D2EA73}"/>
    <cellStyle name="쉼표 [0] 2 4 4 4 3" xfId="2677" xr:uid="{3C5745C3-F4B7-4E2A-B754-82D162D2EA73}"/>
    <cellStyle name="쉼표 [0] 2 4 4 5" xfId="3573" xr:uid="{3C5745C3-F4B7-4E2A-B754-82D162D2EA73}"/>
    <cellStyle name="쉼표 [0] 2 4 4 6" xfId="1860" xr:uid="{3C5745C3-F4B7-4E2A-B754-82D162D2EA73}"/>
    <cellStyle name="쉼표 [0] 2 4 5" xfId="470" xr:uid="{3C5745C3-F4B7-4E2A-B754-82D162D2EA73}"/>
    <cellStyle name="쉼표 [0] 2 4 5 2" xfId="1530" xr:uid="{3C5745C3-F4B7-4E2A-B754-82D162D2EA73}"/>
    <cellStyle name="쉼표 [0] 2 4 5 2 2" xfId="4956" xr:uid="{3C5745C3-F4B7-4E2A-B754-82D162D2EA73}"/>
    <cellStyle name="쉼표 [0] 2 4 5 2 3" xfId="3243" xr:uid="{3C5745C3-F4B7-4E2A-B754-82D162D2EA73}"/>
    <cellStyle name="쉼표 [0] 2 4 5 3" xfId="880" xr:uid="{3C5745C3-F4B7-4E2A-B754-82D162D2EA73}"/>
    <cellStyle name="쉼표 [0] 2 4 5 3 2" xfId="4308" xr:uid="{3C5745C3-F4B7-4E2A-B754-82D162D2EA73}"/>
    <cellStyle name="쉼표 [0] 2 4 5 3 3" xfId="2595" xr:uid="{3C5745C3-F4B7-4E2A-B754-82D162D2EA73}"/>
    <cellStyle name="쉼표 [0] 2 4 5 4" xfId="3899" xr:uid="{3C5745C3-F4B7-4E2A-B754-82D162D2EA73}"/>
    <cellStyle name="쉼표 [0] 2 4 5 5" xfId="2186" xr:uid="{3C5745C3-F4B7-4E2A-B754-82D162D2EA73}"/>
    <cellStyle name="쉼표 [0] 2 4 6" xfId="307" xr:uid="{3C5745C3-F4B7-4E2A-B754-82D162D2EA73}"/>
    <cellStyle name="쉼표 [0] 2 4 6 2" xfId="1367" xr:uid="{3C5745C3-F4B7-4E2A-B754-82D162D2EA73}"/>
    <cellStyle name="쉼표 [0] 2 4 6 2 2" xfId="4794" xr:uid="{3C5745C3-F4B7-4E2A-B754-82D162D2EA73}"/>
    <cellStyle name="쉼표 [0] 2 4 6 2 3" xfId="3081" xr:uid="{3C5745C3-F4B7-4E2A-B754-82D162D2EA73}"/>
    <cellStyle name="쉼표 [0] 2 4 6 3" xfId="3737" xr:uid="{3C5745C3-F4B7-4E2A-B754-82D162D2EA73}"/>
    <cellStyle name="쉼표 [0] 2 4 6 4" xfId="2024" xr:uid="{3C5745C3-F4B7-4E2A-B754-82D162D2EA73}"/>
    <cellStyle name="쉼표 [0] 2 4 7" xfId="1125" xr:uid="{3C5745C3-F4B7-4E2A-B754-82D162D2EA73}"/>
    <cellStyle name="쉼표 [0] 2 4 7 2" xfId="4552" xr:uid="{3C5745C3-F4B7-4E2A-B754-82D162D2EA73}"/>
    <cellStyle name="쉼표 [0] 2 4 7 3" xfId="2839" xr:uid="{3C5745C3-F4B7-4E2A-B754-82D162D2EA73}"/>
    <cellStyle name="쉼표 [0] 2 4 8" xfId="718" xr:uid="{3C5745C3-F4B7-4E2A-B754-82D162D2EA73}"/>
    <cellStyle name="쉼표 [0] 2 4 8 2" xfId="4146" xr:uid="{3C5745C3-F4B7-4E2A-B754-82D162D2EA73}"/>
    <cellStyle name="쉼표 [0] 2 4 8 3" xfId="2433" xr:uid="{3C5745C3-F4B7-4E2A-B754-82D162D2EA73}"/>
    <cellStyle name="쉼표 [0] 2 4 9" xfId="3491" xr:uid="{3C5745C3-F4B7-4E2A-B754-82D162D2EA73}"/>
    <cellStyle name="쉼표 [0] 2 5" xfId="22" xr:uid="{00000000-0005-0000-0000-000030000000}"/>
    <cellStyle name="쉼표 [0] 2 5 10" xfId="1773" xr:uid="{00000000-0005-0000-0000-000030000000}"/>
    <cellStyle name="쉼표 [0] 2 5 2" xfId="87" xr:uid="{00000000-0005-0000-0000-000030000000}"/>
    <cellStyle name="쉼표 [0] 2 5 2 2" xfId="254" xr:uid="{00000000-0005-0000-0000-000030000000}"/>
    <cellStyle name="쉼표 [0] 2 5 2 2 2" xfId="665" xr:uid="{00000000-0005-0000-0000-000030000000}"/>
    <cellStyle name="쉼표 [0] 2 5 2 2 2 2" xfId="1725" xr:uid="{00000000-0005-0000-0000-000030000000}"/>
    <cellStyle name="쉼표 [0] 2 5 2 2 2 2 2" xfId="5151" xr:uid="{00000000-0005-0000-0000-000030000000}"/>
    <cellStyle name="쉼표 [0] 2 5 2 2 2 2 3" xfId="3438" xr:uid="{00000000-0005-0000-0000-000030000000}"/>
    <cellStyle name="쉼표 [0] 2 5 2 2 2 3" xfId="1075" xr:uid="{00000000-0005-0000-0000-000030000000}"/>
    <cellStyle name="쉼표 [0] 2 5 2 2 2 3 2" xfId="4503" xr:uid="{00000000-0005-0000-0000-000030000000}"/>
    <cellStyle name="쉼표 [0] 2 5 2 2 2 3 3" xfId="2790" xr:uid="{00000000-0005-0000-0000-000030000000}"/>
    <cellStyle name="쉼표 [0] 2 5 2 2 2 4" xfId="4094" xr:uid="{00000000-0005-0000-0000-000030000000}"/>
    <cellStyle name="쉼표 [0] 2 5 2 2 2 5" xfId="2381" xr:uid="{00000000-0005-0000-0000-000030000000}"/>
    <cellStyle name="쉼표 [0] 2 5 2 2 3" xfId="420" xr:uid="{00000000-0005-0000-0000-000030000000}"/>
    <cellStyle name="쉼표 [0] 2 5 2 2 3 2" xfId="1480" xr:uid="{00000000-0005-0000-0000-000030000000}"/>
    <cellStyle name="쉼표 [0] 2 5 2 2 3 2 2" xfId="4907" xr:uid="{00000000-0005-0000-0000-000030000000}"/>
    <cellStyle name="쉼표 [0] 2 5 2 2 3 2 3" xfId="3194" xr:uid="{00000000-0005-0000-0000-000030000000}"/>
    <cellStyle name="쉼표 [0] 2 5 2 2 3 3" xfId="3850" xr:uid="{00000000-0005-0000-0000-000030000000}"/>
    <cellStyle name="쉼표 [0] 2 5 2 2 3 4" xfId="2137" xr:uid="{00000000-0005-0000-0000-000030000000}"/>
    <cellStyle name="쉼표 [0] 2 5 2 2 4" xfId="1316" xr:uid="{00000000-0005-0000-0000-000030000000}"/>
    <cellStyle name="쉼표 [0] 2 5 2 2 4 2" xfId="4743" xr:uid="{00000000-0005-0000-0000-000030000000}"/>
    <cellStyle name="쉼표 [0] 2 5 2 2 4 3" xfId="3030" xr:uid="{00000000-0005-0000-0000-000030000000}"/>
    <cellStyle name="쉼표 [0] 2 5 2 2 5" xfId="831" xr:uid="{00000000-0005-0000-0000-000030000000}"/>
    <cellStyle name="쉼표 [0] 2 5 2 2 5 2" xfId="4259" xr:uid="{00000000-0005-0000-0000-000030000000}"/>
    <cellStyle name="쉼표 [0] 2 5 2 2 5 3" xfId="2546" xr:uid="{00000000-0005-0000-0000-000030000000}"/>
    <cellStyle name="쉼표 [0] 2 5 2 2 6" xfId="3686" xr:uid="{00000000-0005-0000-0000-000030000000}"/>
    <cellStyle name="쉼표 [0] 2 5 2 2 7" xfId="1973" xr:uid="{00000000-0005-0000-0000-000030000000}"/>
    <cellStyle name="쉼표 [0] 2 5 2 3" xfId="172" xr:uid="{00000000-0005-0000-0000-000030000000}"/>
    <cellStyle name="쉼표 [0] 2 5 2 3 2" xfId="583" xr:uid="{00000000-0005-0000-0000-000030000000}"/>
    <cellStyle name="쉼표 [0] 2 5 2 3 2 2" xfId="1643" xr:uid="{00000000-0005-0000-0000-000030000000}"/>
    <cellStyle name="쉼표 [0] 2 5 2 3 2 2 2" xfId="5069" xr:uid="{00000000-0005-0000-0000-000030000000}"/>
    <cellStyle name="쉼표 [0] 2 5 2 3 2 2 3" xfId="3356" xr:uid="{00000000-0005-0000-0000-000030000000}"/>
    <cellStyle name="쉼표 [0] 2 5 2 3 2 3" xfId="4012" xr:uid="{00000000-0005-0000-0000-000030000000}"/>
    <cellStyle name="쉼표 [0] 2 5 2 3 2 4" xfId="2299" xr:uid="{00000000-0005-0000-0000-000030000000}"/>
    <cellStyle name="쉼표 [0] 2 5 2 3 3" xfId="1235" xr:uid="{00000000-0005-0000-0000-000030000000}"/>
    <cellStyle name="쉼표 [0] 2 5 2 3 3 2" xfId="4662" xr:uid="{00000000-0005-0000-0000-000030000000}"/>
    <cellStyle name="쉼표 [0] 2 5 2 3 3 3" xfId="2949" xr:uid="{00000000-0005-0000-0000-000030000000}"/>
    <cellStyle name="쉼표 [0] 2 5 2 3 4" xfId="993" xr:uid="{00000000-0005-0000-0000-000030000000}"/>
    <cellStyle name="쉼표 [0] 2 5 2 3 4 2" xfId="4421" xr:uid="{00000000-0005-0000-0000-000030000000}"/>
    <cellStyle name="쉼표 [0] 2 5 2 3 4 3" xfId="2708" xr:uid="{00000000-0005-0000-0000-000030000000}"/>
    <cellStyle name="쉼표 [0] 2 5 2 3 5" xfId="3604" xr:uid="{00000000-0005-0000-0000-000030000000}"/>
    <cellStyle name="쉼표 [0] 2 5 2 3 6" xfId="1891" xr:uid="{00000000-0005-0000-0000-000030000000}"/>
    <cellStyle name="쉼표 [0] 2 5 2 4" xfId="501" xr:uid="{00000000-0005-0000-0000-000030000000}"/>
    <cellStyle name="쉼표 [0] 2 5 2 4 2" xfId="1561" xr:uid="{00000000-0005-0000-0000-000030000000}"/>
    <cellStyle name="쉼표 [0] 2 5 2 4 2 2" xfId="4987" xr:uid="{00000000-0005-0000-0000-000030000000}"/>
    <cellStyle name="쉼표 [0] 2 5 2 4 2 3" xfId="3274" xr:uid="{00000000-0005-0000-0000-000030000000}"/>
    <cellStyle name="쉼표 [0] 2 5 2 4 3" xfId="911" xr:uid="{00000000-0005-0000-0000-000030000000}"/>
    <cellStyle name="쉼표 [0] 2 5 2 4 3 2" xfId="4339" xr:uid="{00000000-0005-0000-0000-000030000000}"/>
    <cellStyle name="쉼표 [0] 2 5 2 4 3 3" xfId="2626" xr:uid="{00000000-0005-0000-0000-000030000000}"/>
    <cellStyle name="쉼표 [0] 2 5 2 4 4" xfId="3930" xr:uid="{00000000-0005-0000-0000-000030000000}"/>
    <cellStyle name="쉼표 [0] 2 5 2 4 5" xfId="2217" xr:uid="{00000000-0005-0000-0000-000030000000}"/>
    <cellStyle name="쉼표 [0] 2 5 2 5" xfId="338" xr:uid="{00000000-0005-0000-0000-000030000000}"/>
    <cellStyle name="쉼표 [0] 2 5 2 5 2" xfId="1398" xr:uid="{00000000-0005-0000-0000-000030000000}"/>
    <cellStyle name="쉼표 [0] 2 5 2 5 2 2" xfId="4825" xr:uid="{00000000-0005-0000-0000-000030000000}"/>
    <cellStyle name="쉼표 [0] 2 5 2 5 2 3" xfId="3112" xr:uid="{00000000-0005-0000-0000-000030000000}"/>
    <cellStyle name="쉼표 [0] 2 5 2 5 3" xfId="3768" xr:uid="{00000000-0005-0000-0000-000030000000}"/>
    <cellStyle name="쉼표 [0] 2 5 2 5 4" xfId="2055" xr:uid="{00000000-0005-0000-0000-000030000000}"/>
    <cellStyle name="쉼표 [0] 2 5 2 6" xfId="1156" xr:uid="{00000000-0005-0000-0000-000030000000}"/>
    <cellStyle name="쉼표 [0] 2 5 2 6 2" xfId="4583" xr:uid="{00000000-0005-0000-0000-000030000000}"/>
    <cellStyle name="쉼표 [0] 2 5 2 6 3" xfId="2870" xr:uid="{00000000-0005-0000-0000-000030000000}"/>
    <cellStyle name="쉼표 [0] 2 5 2 7" xfId="749" xr:uid="{00000000-0005-0000-0000-000030000000}"/>
    <cellStyle name="쉼표 [0] 2 5 2 7 2" xfId="4177" xr:uid="{00000000-0005-0000-0000-000030000000}"/>
    <cellStyle name="쉼표 [0] 2 5 2 7 3" xfId="2464" xr:uid="{00000000-0005-0000-0000-000030000000}"/>
    <cellStyle name="쉼표 [0] 2 5 2 8" xfId="3522" xr:uid="{00000000-0005-0000-0000-000030000000}"/>
    <cellStyle name="쉼표 [0] 2 5 2 9" xfId="1809" xr:uid="{00000000-0005-0000-0000-000030000000}"/>
    <cellStyle name="쉼표 [0] 2 5 3" xfId="218" xr:uid="{00000000-0005-0000-0000-000030000000}"/>
    <cellStyle name="쉼표 [0] 2 5 3 2" xfId="629" xr:uid="{00000000-0005-0000-0000-000030000000}"/>
    <cellStyle name="쉼표 [0] 2 5 3 2 2" xfId="1689" xr:uid="{00000000-0005-0000-0000-000030000000}"/>
    <cellStyle name="쉼표 [0] 2 5 3 2 2 2" xfId="5115" xr:uid="{00000000-0005-0000-0000-000030000000}"/>
    <cellStyle name="쉼표 [0] 2 5 3 2 2 3" xfId="3402" xr:uid="{00000000-0005-0000-0000-000030000000}"/>
    <cellStyle name="쉼표 [0] 2 5 3 2 3" xfId="1039" xr:uid="{00000000-0005-0000-0000-000030000000}"/>
    <cellStyle name="쉼표 [0] 2 5 3 2 3 2" xfId="4467" xr:uid="{00000000-0005-0000-0000-000030000000}"/>
    <cellStyle name="쉼표 [0] 2 5 3 2 3 3" xfId="2754" xr:uid="{00000000-0005-0000-0000-000030000000}"/>
    <cellStyle name="쉼표 [0] 2 5 3 2 4" xfId="4058" xr:uid="{00000000-0005-0000-0000-000030000000}"/>
    <cellStyle name="쉼표 [0] 2 5 3 2 5" xfId="2345" xr:uid="{00000000-0005-0000-0000-000030000000}"/>
    <cellStyle name="쉼표 [0] 2 5 3 3" xfId="384" xr:uid="{00000000-0005-0000-0000-000030000000}"/>
    <cellStyle name="쉼표 [0] 2 5 3 3 2" xfId="1444" xr:uid="{00000000-0005-0000-0000-000030000000}"/>
    <cellStyle name="쉼표 [0] 2 5 3 3 2 2" xfId="4871" xr:uid="{00000000-0005-0000-0000-000030000000}"/>
    <cellStyle name="쉼표 [0] 2 5 3 3 2 3" xfId="3158" xr:uid="{00000000-0005-0000-0000-000030000000}"/>
    <cellStyle name="쉼표 [0] 2 5 3 3 3" xfId="3814" xr:uid="{00000000-0005-0000-0000-000030000000}"/>
    <cellStyle name="쉼표 [0] 2 5 3 3 4" xfId="2101" xr:uid="{00000000-0005-0000-0000-000030000000}"/>
    <cellStyle name="쉼표 [0] 2 5 3 4" xfId="1280" xr:uid="{00000000-0005-0000-0000-000030000000}"/>
    <cellStyle name="쉼표 [0] 2 5 3 4 2" xfId="4707" xr:uid="{00000000-0005-0000-0000-000030000000}"/>
    <cellStyle name="쉼표 [0] 2 5 3 4 3" xfId="2994" xr:uid="{00000000-0005-0000-0000-000030000000}"/>
    <cellStyle name="쉼표 [0] 2 5 3 5" xfId="795" xr:uid="{00000000-0005-0000-0000-000030000000}"/>
    <cellStyle name="쉼표 [0] 2 5 3 5 2" xfId="4223" xr:uid="{00000000-0005-0000-0000-000030000000}"/>
    <cellStyle name="쉼표 [0] 2 5 3 5 3" xfId="2510" xr:uid="{00000000-0005-0000-0000-000030000000}"/>
    <cellStyle name="쉼표 [0] 2 5 3 6" xfId="3650" xr:uid="{00000000-0005-0000-0000-000030000000}"/>
    <cellStyle name="쉼표 [0] 2 5 3 7" xfId="1937" xr:uid="{00000000-0005-0000-0000-000030000000}"/>
    <cellStyle name="쉼표 [0] 2 5 4" xfId="136" xr:uid="{00000000-0005-0000-0000-000030000000}"/>
    <cellStyle name="쉼표 [0] 2 5 4 2" xfId="547" xr:uid="{00000000-0005-0000-0000-000030000000}"/>
    <cellStyle name="쉼표 [0] 2 5 4 2 2" xfId="1607" xr:uid="{00000000-0005-0000-0000-000030000000}"/>
    <cellStyle name="쉼표 [0] 2 5 4 2 2 2" xfId="5033" xr:uid="{00000000-0005-0000-0000-000030000000}"/>
    <cellStyle name="쉼표 [0] 2 5 4 2 2 3" xfId="3320" xr:uid="{00000000-0005-0000-0000-000030000000}"/>
    <cellStyle name="쉼표 [0] 2 5 4 2 3" xfId="3976" xr:uid="{00000000-0005-0000-0000-000030000000}"/>
    <cellStyle name="쉼표 [0] 2 5 4 2 4" xfId="2263" xr:uid="{00000000-0005-0000-0000-000030000000}"/>
    <cellStyle name="쉼표 [0] 2 5 4 3" xfId="1199" xr:uid="{00000000-0005-0000-0000-000030000000}"/>
    <cellStyle name="쉼표 [0] 2 5 4 3 2" xfId="4626" xr:uid="{00000000-0005-0000-0000-000030000000}"/>
    <cellStyle name="쉼표 [0] 2 5 4 3 3" xfId="2913" xr:uid="{00000000-0005-0000-0000-000030000000}"/>
    <cellStyle name="쉼표 [0] 2 5 4 4" xfId="957" xr:uid="{00000000-0005-0000-0000-000030000000}"/>
    <cellStyle name="쉼표 [0] 2 5 4 4 2" xfId="4385" xr:uid="{00000000-0005-0000-0000-000030000000}"/>
    <cellStyle name="쉼표 [0] 2 5 4 4 3" xfId="2672" xr:uid="{00000000-0005-0000-0000-000030000000}"/>
    <cellStyle name="쉼표 [0] 2 5 4 5" xfId="3568" xr:uid="{00000000-0005-0000-0000-000030000000}"/>
    <cellStyle name="쉼표 [0] 2 5 4 6" xfId="1855" xr:uid="{00000000-0005-0000-0000-000030000000}"/>
    <cellStyle name="쉼표 [0] 2 5 5" xfId="465" xr:uid="{00000000-0005-0000-0000-000030000000}"/>
    <cellStyle name="쉼표 [0] 2 5 5 2" xfId="1525" xr:uid="{00000000-0005-0000-0000-000030000000}"/>
    <cellStyle name="쉼표 [0] 2 5 5 2 2" xfId="4951" xr:uid="{00000000-0005-0000-0000-000030000000}"/>
    <cellStyle name="쉼표 [0] 2 5 5 2 3" xfId="3238" xr:uid="{00000000-0005-0000-0000-000030000000}"/>
    <cellStyle name="쉼표 [0] 2 5 5 3" xfId="875" xr:uid="{00000000-0005-0000-0000-000030000000}"/>
    <cellStyle name="쉼표 [0] 2 5 5 3 2" xfId="4303" xr:uid="{00000000-0005-0000-0000-000030000000}"/>
    <cellStyle name="쉼표 [0] 2 5 5 3 3" xfId="2590" xr:uid="{00000000-0005-0000-0000-000030000000}"/>
    <cellStyle name="쉼표 [0] 2 5 5 4" xfId="3894" xr:uid="{00000000-0005-0000-0000-000030000000}"/>
    <cellStyle name="쉼표 [0] 2 5 5 5" xfId="2181" xr:uid="{00000000-0005-0000-0000-000030000000}"/>
    <cellStyle name="쉼표 [0] 2 5 6" xfId="302" xr:uid="{00000000-0005-0000-0000-000030000000}"/>
    <cellStyle name="쉼표 [0] 2 5 6 2" xfId="1362" xr:uid="{00000000-0005-0000-0000-000030000000}"/>
    <cellStyle name="쉼표 [0] 2 5 6 2 2" xfId="4789" xr:uid="{00000000-0005-0000-0000-000030000000}"/>
    <cellStyle name="쉼표 [0] 2 5 6 2 3" xfId="3076" xr:uid="{00000000-0005-0000-0000-000030000000}"/>
    <cellStyle name="쉼표 [0] 2 5 6 3" xfId="3732" xr:uid="{00000000-0005-0000-0000-000030000000}"/>
    <cellStyle name="쉼표 [0] 2 5 6 4" xfId="2019" xr:uid="{00000000-0005-0000-0000-000030000000}"/>
    <cellStyle name="쉼표 [0] 2 5 7" xfId="1120" xr:uid="{00000000-0005-0000-0000-000030000000}"/>
    <cellStyle name="쉼표 [0] 2 5 7 2" xfId="4547" xr:uid="{00000000-0005-0000-0000-000030000000}"/>
    <cellStyle name="쉼표 [0] 2 5 7 3" xfId="2834" xr:uid="{00000000-0005-0000-0000-000030000000}"/>
    <cellStyle name="쉼표 [0] 2 5 8" xfId="713" xr:uid="{00000000-0005-0000-0000-000030000000}"/>
    <cellStyle name="쉼표 [0] 2 5 8 2" xfId="4141" xr:uid="{00000000-0005-0000-0000-000030000000}"/>
    <cellStyle name="쉼표 [0] 2 5 8 3" xfId="2428" xr:uid="{00000000-0005-0000-0000-000030000000}"/>
    <cellStyle name="쉼표 [0] 2 5 9" xfId="3486" xr:uid="{00000000-0005-0000-0000-000030000000}"/>
    <cellStyle name="쉼표 [0] 2 6" xfId="16" xr:uid="{724CD427-2673-4E39-A416-96BEE7935B57}"/>
    <cellStyle name="쉼표 [0] 2 6 2" xfId="215" xr:uid="{724CD427-2673-4E39-A416-96BEE7935B57}"/>
    <cellStyle name="쉼표 [0] 2 6 2 2" xfId="626" xr:uid="{724CD427-2673-4E39-A416-96BEE7935B57}"/>
    <cellStyle name="쉼표 [0] 2 6 2 2 2" xfId="1686" xr:uid="{724CD427-2673-4E39-A416-96BEE7935B57}"/>
    <cellStyle name="쉼표 [0] 2 6 2 2 2 2" xfId="5112" xr:uid="{724CD427-2673-4E39-A416-96BEE7935B57}"/>
    <cellStyle name="쉼표 [0] 2 6 2 2 2 3" xfId="3399" xr:uid="{724CD427-2673-4E39-A416-96BEE7935B57}"/>
    <cellStyle name="쉼표 [0] 2 6 2 2 3" xfId="1036" xr:uid="{724CD427-2673-4E39-A416-96BEE7935B57}"/>
    <cellStyle name="쉼표 [0] 2 6 2 2 3 2" xfId="4464" xr:uid="{724CD427-2673-4E39-A416-96BEE7935B57}"/>
    <cellStyle name="쉼표 [0] 2 6 2 2 3 3" xfId="2751" xr:uid="{724CD427-2673-4E39-A416-96BEE7935B57}"/>
    <cellStyle name="쉼표 [0] 2 6 2 2 4" xfId="4055" xr:uid="{724CD427-2673-4E39-A416-96BEE7935B57}"/>
    <cellStyle name="쉼표 [0] 2 6 2 2 5" xfId="2342" xr:uid="{724CD427-2673-4E39-A416-96BEE7935B57}"/>
    <cellStyle name="쉼표 [0] 2 6 2 3" xfId="381" xr:uid="{724CD427-2673-4E39-A416-96BEE7935B57}"/>
    <cellStyle name="쉼표 [0] 2 6 2 3 2" xfId="1441" xr:uid="{724CD427-2673-4E39-A416-96BEE7935B57}"/>
    <cellStyle name="쉼표 [0] 2 6 2 3 2 2" xfId="4868" xr:uid="{724CD427-2673-4E39-A416-96BEE7935B57}"/>
    <cellStyle name="쉼표 [0] 2 6 2 3 2 3" xfId="3155" xr:uid="{724CD427-2673-4E39-A416-96BEE7935B57}"/>
    <cellStyle name="쉼표 [0] 2 6 2 3 3" xfId="3811" xr:uid="{724CD427-2673-4E39-A416-96BEE7935B57}"/>
    <cellStyle name="쉼표 [0] 2 6 2 3 4" xfId="2098" xr:uid="{724CD427-2673-4E39-A416-96BEE7935B57}"/>
    <cellStyle name="쉼표 [0] 2 6 2 4" xfId="1277" xr:uid="{724CD427-2673-4E39-A416-96BEE7935B57}"/>
    <cellStyle name="쉼표 [0] 2 6 2 4 2" xfId="4704" xr:uid="{724CD427-2673-4E39-A416-96BEE7935B57}"/>
    <cellStyle name="쉼표 [0] 2 6 2 4 3" xfId="2991" xr:uid="{724CD427-2673-4E39-A416-96BEE7935B57}"/>
    <cellStyle name="쉼표 [0] 2 6 2 5" xfId="792" xr:uid="{724CD427-2673-4E39-A416-96BEE7935B57}"/>
    <cellStyle name="쉼표 [0] 2 6 2 5 2" xfId="4220" xr:uid="{724CD427-2673-4E39-A416-96BEE7935B57}"/>
    <cellStyle name="쉼표 [0] 2 6 2 5 3" xfId="2507" xr:uid="{724CD427-2673-4E39-A416-96BEE7935B57}"/>
    <cellStyle name="쉼표 [0] 2 6 2 6" xfId="3647" xr:uid="{724CD427-2673-4E39-A416-96BEE7935B57}"/>
    <cellStyle name="쉼표 [0] 2 6 2 7" xfId="1934" xr:uid="{724CD427-2673-4E39-A416-96BEE7935B57}"/>
    <cellStyle name="쉼표 [0] 2 6 3" xfId="132" xr:uid="{724CD427-2673-4E39-A416-96BEE7935B57}"/>
    <cellStyle name="쉼표 [0] 2 6 3 2" xfId="543" xr:uid="{724CD427-2673-4E39-A416-96BEE7935B57}"/>
    <cellStyle name="쉼표 [0] 2 6 3 2 2" xfId="1603" xr:uid="{724CD427-2673-4E39-A416-96BEE7935B57}"/>
    <cellStyle name="쉼표 [0] 2 6 3 2 2 2" xfId="5029" xr:uid="{724CD427-2673-4E39-A416-96BEE7935B57}"/>
    <cellStyle name="쉼표 [0] 2 6 3 2 2 3" xfId="3316" xr:uid="{724CD427-2673-4E39-A416-96BEE7935B57}"/>
    <cellStyle name="쉼표 [0] 2 6 3 2 3" xfId="3972" xr:uid="{724CD427-2673-4E39-A416-96BEE7935B57}"/>
    <cellStyle name="쉼표 [0] 2 6 3 2 4" xfId="2259" xr:uid="{724CD427-2673-4E39-A416-96BEE7935B57}"/>
    <cellStyle name="쉼표 [0] 2 6 3 3" xfId="1196" xr:uid="{724CD427-2673-4E39-A416-96BEE7935B57}"/>
    <cellStyle name="쉼표 [0] 2 6 3 3 2" xfId="4623" xr:uid="{724CD427-2673-4E39-A416-96BEE7935B57}"/>
    <cellStyle name="쉼표 [0] 2 6 3 3 3" xfId="2910" xr:uid="{724CD427-2673-4E39-A416-96BEE7935B57}"/>
    <cellStyle name="쉼표 [0] 2 6 3 4" xfId="953" xr:uid="{724CD427-2673-4E39-A416-96BEE7935B57}"/>
    <cellStyle name="쉼표 [0] 2 6 3 4 2" xfId="4381" xr:uid="{724CD427-2673-4E39-A416-96BEE7935B57}"/>
    <cellStyle name="쉼표 [0] 2 6 3 4 3" xfId="2668" xr:uid="{724CD427-2673-4E39-A416-96BEE7935B57}"/>
    <cellStyle name="쉼표 [0] 2 6 3 5" xfId="3564" xr:uid="{724CD427-2673-4E39-A416-96BEE7935B57}"/>
    <cellStyle name="쉼표 [0] 2 6 3 6" xfId="1851" xr:uid="{724CD427-2673-4E39-A416-96BEE7935B57}"/>
    <cellStyle name="쉼표 [0] 2 6 4" xfId="462" xr:uid="{724CD427-2673-4E39-A416-96BEE7935B57}"/>
    <cellStyle name="쉼표 [0] 2 6 4 2" xfId="1522" xr:uid="{724CD427-2673-4E39-A416-96BEE7935B57}"/>
    <cellStyle name="쉼표 [0] 2 6 4 2 2" xfId="4948" xr:uid="{724CD427-2673-4E39-A416-96BEE7935B57}"/>
    <cellStyle name="쉼표 [0] 2 6 4 2 3" xfId="3235" xr:uid="{724CD427-2673-4E39-A416-96BEE7935B57}"/>
    <cellStyle name="쉼표 [0] 2 6 4 3" xfId="872" xr:uid="{724CD427-2673-4E39-A416-96BEE7935B57}"/>
    <cellStyle name="쉼표 [0] 2 6 4 3 2" xfId="4300" xr:uid="{724CD427-2673-4E39-A416-96BEE7935B57}"/>
    <cellStyle name="쉼표 [0] 2 6 4 3 3" xfId="2587" xr:uid="{724CD427-2673-4E39-A416-96BEE7935B57}"/>
    <cellStyle name="쉼표 [0] 2 6 4 4" xfId="3891" xr:uid="{724CD427-2673-4E39-A416-96BEE7935B57}"/>
    <cellStyle name="쉼표 [0] 2 6 4 5" xfId="2178" xr:uid="{724CD427-2673-4E39-A416-96BEE7935B57}"/>
    <cellStyle name="쉼표 [0] 2 6 5" xfId="298" xr:uid="{724CD427-2673-4E39-A416-96BEE7935B57}"/>
    <cellStyle name="쉼표 [0] 2 6 5 2" xfId="1358" xr:uid="{724CD427-2673-4E39-A416-96BEE7935B57}"/>
    <cellStyle name="쉼표 [0] 2 6 5 2 2" xfId="4785" xr:uid="{724CD427-2673-4E39-A416-96BEE7935B57}"/>
    <cellStyle name="쉼표 [0] 2 6 5 2 3" xfId="3072" xr:uid="{724CD427-2673-4E39-A416-96BEE7935B57}"/>
    <cellStyle name="쉼표 [0] 2 6 5 3" xfId="3728" xr:uid="{724CD427-2673-4E39-A416-96BEE7935B57}"/>
    <cellStyle name="쉼표 [0] 2 6 5 4" xfId="2015" xr:uid="{724CD427-2673-4E39-A416-96BEE7935B57}"/>
    <cellStyle name="쉼표 [0] 2 6 6" xfId="1117" xr:uid="{724CD427-2673-4E39-A416-96BEE7935B57}"/>
    <cellStyle name="쉼표 [0] 2 6 6 2" xfId="4544" xr:uid="{724CD427-2673-4E39-A416-96BEE7935B57}"/>
    <cellStyle name="쉼표 [0] 2 6 6 3" xfId="2831" xr:uid="{724CD427-2673-4E39-A416-96BEE7935B57}"/>
    <cellStyle name="쉼표 [0] 2 6 7" xfId="709" xr:uid="{724CD427-2673-4E39-A416-96BEE7935B57}"/>
    <cellStyle name="쉼표 [0] 2 6 7 2" xfId="4137" xr:uid="{724CD427-2673-4E39-A416-96BEE7935B57}"/>
    <cellStyle name="쉼표 [0] 2 6 7 3" xfId="2424" xr:uid="{724CD427-2673-4E39-A416-96BEE7935B57}"/>
    <cellStyle name="쉼표 [0] 2 6 8" xfId="3482" xr:uid="{724CD427-2673-4E39-A416-96BEE7935B57}"/>
    <cellStyle name="쉼표 [0] 2 6 9" xfId="1769" xr:uid="{724CD427-2673-4E39-A416-96BEE7935B57}"/>
    <cellStyle name="쉼표 [0] 2 7" xfId="84" xr:uid="{724CD427-2673-4E39-A416-96BEE7935B57}"/>
    <cellStyle name="쉼표 [0] 2 7 2" xfId="251" xr:uid="{724CD427-2673-4E39-A416-96BEE7935B57}"/>
    <cellStyle name="쉼표 [0] 2 7 2 2" xfId="662" xr:uid="{724CD427-2673-4E39-A416-96BEE7935B57}"/>
    <cellStyle name="쉼표 [0] 2 7 2 2 2" xfId="1722" xr:uid="{724CD427-2673-4E39-A416-96BEE7935B57}"/>
    <cellStyle name="쉼표 [0] 2 7 2 2 2 2" xfId="5148" xr:uid="{724CD427-2673-4E39-A416-96BEE7935B57}"/>
    <cellStyle name="쉼표 [0] 2 7 2 2 2 3" xfId="3435" xr:uid="{724CD427-2673-4E39-A416-96BEE7935B57}"/>
    <cellStyle name="쉼표 [0] 2 7 2 2 3" xfId="1072" xr:uid="{724CD427-2673-4E39-A416-96BEE7935B57}"/>
    <cellStyle name="쉼표 [0] 2 7 2 2 3 2" xfId="4500" xr:uid="{724CD427-2673-4E39-A416-96BEE7935B57}"/>
    <cellStyle name="쉼표 [0] 2 7 2 2 3 3" xfId="2787" xr:uid="{724CD427-2673-4E39-A416-96BEE7935B57}"/>
    <cellStyle name="쉼표 [0] 2 7 2 2 4" xfId="4091" xr:uid="{724CD427-2673-4E39-A416-96BEE7935B57}"/>
    <cellStyle name="쉼표 [0] 2 7 2 2 5" xfId="2378" xr:uid="{724CD427-2673-4E39-A416-96BEE7935B57}"/>
    <cellStyle name="쉼표 [0] 2 7 2 3" xfId="417" xr:uid="{724CD427-2673-4E39-A416-96BEE7935B57}"/>
    <cellStyle name="쉼표 [0] 2 7 2 3 2" xfId="1477" xr:uid="{724CD427-2673-4E39-A416-96BEE7935B57}"/>
    <cellStyle name="쉼표 [0] 2 7 2 3 2 2" xfId="4904" xr:uid="{724CD427-2673-4E39-A416-96BEE7935B57}"/>
    <cellStyle name="쉼표 [0] 2 7 2 3 2 3" xfId="3191" xr:uid="{724CD427-2673-4E39-A416-96BEE7935B57}"/>
    <cellStyle name="쉼표 [0] 2 7 2 3 3" xfId="3847" xr:uid="{724CD427-2673-4E39-A416-96BEE7935B57}"/>
    <cellStyle name="쉼표 [0] 2 7 2 3 4" xfId="2134" xr:uid="{724CD427-2673-4E39-A416-96BEE7935B57}"/>
    <cellStyle name="쉼표 [0] 2 7 2 4" xfId="1313" xr:uid="{724CD427-2673-4E39-A416-96BEE7935B57}"/>
    <cellStyle name="쉼표 [0] 2 7 2 4 2" xfId="4740" xr:uid="{724CD427-2673-4E39-A416-96BEE7935B57}"/>
    <cellStyle name="쉼표 [0] 2 7 2 4 3" xfId="3027" xr:uid="{724CD427-2673-4E39-A416-96BEE7935B57}"/>
    <cellStyle name="쉼표 [0] 2 7 2 5" xfId="828" xr:uid="{724CD427-2673-4E39-A416-96BEE7935B57}"/>
    <cellStyle name="쉼표 [0] 2 7 2 5 2" xfId="4256" xr:uid="{724CD427-2673-4E39-A416-96BEE7935B57}"/>
    <cellStyle name="쉼표 [0] 2 7 2 5 3" xfId="2543" xr:uid="{724CD427-2673-4E39-A416-96BEE7935B57}"/>
    <cellStyle name="쉼표 [0] 2 7 2 6" xfId="3683" xr:uid="{724CD427-2673-4E39-A416-96BEE7935B57}"/>
    <cellStyle name="쉼표 [0] 2 7 2 7" xfId="1970" xr:uid="{724CD427-2673-4E39-A416-96BEE7935B57}"/>
    <cellStyle name="쉼표 [0] 2 7 3" xfId="169" xr:uid="{724CD427-2673-4E39-A416-96BEE7935B57}"/>
    <cellStyle name="쉼표 [0] 2 7 3 2" xfId="580" xr:uid="{724CD427-2673-4E39-A416-96BEE7935B57}"/>
    <cellStyle name="쉼표 [0] 2 7 3 2 2" xfId="1640" xr:uid="{724CD427-2673-4E39-A416-96BEE7935B57}"/>
    <cellStyle name="쉼표 [0] 2 7 3 2 2 2" xfId="5066" xr:uid="{724CD427-2673-4E39-A416-96BEE7935B57}"/>
    <cellStyle name="쉼표 [0] 2 7 3 2 2 3" xfId="3353" xr:uid="{724CD427-2673-4E39-A416-96BEE7935B57}"/>
    <cellStyle name="쉼표 [0] 2 7 3 2 3" xfId="4009" xr:uid="{724CD427-2673-4E39-A416-96BEE7935B57}"/>
    <cellStyle name="쉼표 [0] 2 7 3 2 4" xfId="2296" xr:uid="{724CD427-2673-4E39-A416-96BEE7935B57}"/>
    <cellStyle name="쉼표 [0] 2 7 3 3" xfId="1232" xr:uid="{724CD427-2673-4E39-A416-96BEE7935B57}"/>
    <cellStyle name="쉼표 [0] 2 7 3 3 2" xfId="4659" xr:uid="{724CD427-2673-4E39-A416-96BEE7935B57}"/>
    <cellStyle name="쉼표 [0] 2 7 3 3 3" xfId="2946" xr:uid="{724CD427-2673-4E39-A416-96BEE7935B57}"/>
    <cellStyle name="쉼표 [0] 2 7 3 4" xfId="990" xr:uid="{724CD427-2673-4E39-A416-96BEE7935B57}"/>
    <cellStyle name="쉼표 [0] 2 7 3 4 2" xfId="4418" xr:uid="{724CD427-2673-4E39-A416-96BEE7935B57}"/>
    <cellStyle name="쉼표 [0] 2 7 3 4 3" xfId="2705" xr:uid="{724CD427-2673-4E39-A416-96BEE7935B57}"/>
    <cellStyle name="쉼표 [0] 2 7 3 5" xfId="3601" xr:uid="{724CD427-2673-4E39-A416-96BEE7935B57}"/>
    <cellStyle name="쉼표 [0] 2 7 3 6" xfId="1888" xr:uid="{724CD427-2673-4E39-A416-96BEE7935B57}"/>
    <cellStyle name="쉼표 [0] 2 7 4" xfId="498" xr:uid="{724CD427-2673-4E39-A416-96BEE7935B57}"/>
    <cellStyle name="쉼표 [0] 2 7 4 2" xfId="1558" xr:uid="{724CD427-2673-4E39-A416-96BEE7935B57}"/>
    <cellStyle name="쉼표 [0] 2 7 4 2 2" xfId="4984" xr:uid="{724CD427-2673-4E39-A416-96BEE7935B57}"/>
    <cellStyle name="쉼표 [0] 2 7 4 2 3" xfId="3271" xr:uid="{724CD427-2673-4E39-A416-96BEE7935B57}"/>
    <cellStyle name="쉼표 [0] 2 7 4 3" xfId="908" xr:uid="{724CD427-2673-4E39-A416-96BEE7935B57}"/>
    <cellStyle name="쉼표 [0] 2 7 4 3 2" xfId="4336" xr:uid="{724CD427-2673-4E39-A416-96BEE7935B57}"/>
    <cellStyle name="쉼표 [0] 2 7 4 3 3" xfId="2623" xr:uid="{724CD427-2673-4E39-A416-96BEE7935B57}"/>
    <cellStyle name="쉼표 [0] 2 7 4 4" xfId="3927" xr:uid="{724CD427-2673-4E39-A416-96BEE7935B57}"/>
    <cellStyle name="쉼표 [0] 2 7 4 5" xfId="2214" xr:uid="{724CD427-2673-4E39-A416-96BEE7935B57}"/>
    <cellStyle name="쉼표 [0] 2 7 5" xfId="335" xr:uid="{724CD427-2673-4E39-A416-96BEE7935B57}"/>
    <cellStyle name="쉼표 [0] 2 7 5 2" xfId="1395" xr:uid="{724CD427-2673-4E39-A416-96BEE7935B57}"/>
    <cellStyle name="쉼표 [0] 2 7 5 2 2" xfId="4822" xr:uid="{724CD427-2673-4E39-A416-96BEE7935B57}"/>
    <cellStyle name="쉼표 [0] 2 7 5 2 3" xfId="3109" xr:uid="{724CD427-2673-4E39-A416-96BEE7935B57}"/>
    <cellStyle name="쉼표 [0] 2 7 5 3" xfId="3765" xr:uid="{724CD427-2673-4E39-A416-96BEE7935B57}"/>
    <cellStyle name="쉼표 [0] 2 7 5 4" xfId="2052" xr:uid="{724CD427-2673-4E39-A416-96BEE7935B57}"/>
    <cellStyle name="쉼표 [0] 2 7 6" xfId="1153" xr:uid="{724CD427-2673-4E39-A416-96BEE7935B57}"/>
    <cellStyle name="쉼표 [0] 2 7 6 2" xfId="4580" xr:uid="{724CD427-2673-4E39-A416-96BEE7935B57}"/>
    <cellStyle name="쉼표 [0] 2 7 6 3" xfId="2867" xr:uid="{724CD427-2673-4E39-A416-96BEE7935B57}"/>
    <cellStyle name="쉼표 [0] 2 7 7" xfId="746" xr:uid="{724CD427-2673-4E39-A416-96BEE7935B57}"/>
    <cellStyle name="쉼표 [0] 2 7 7 2" xfId="4174" xr:uid="{724CD427-2673-4E39-A416-96BEE7935B57}"/>
    <cellStyle name="쉼표 [0] 2 7 7 3" xfId="2461" xr:uid="{724CD427-2673-4E39-A416-96BEE7935B57}"/>
    <cellStyle name="쉼표 [0] 2 7 8" xfId="3519" xr:uid="{724CD427-2673-4E39-A416-96BEE7935B57}"/>
    <cellStyle name="쉼표 [0] 2 7 9" xfId="1806" xr:uid="{724CD427-2673-4E39-A416-96BEE7935B57}"/>
    <cellStyle name="쉼표 [0] 2 8" xfId="210" xr:uid="{00000000-0005-0000-0000-00002F000000}"/>
    <cellStyle name="쉼표 [0] 2 8 2" xfId="621" xr:uid="{00000000-0005-0000-0000-00002F000000}"/>
    <cellStyle name="쉼표 [0] 2 8 2 2" xfId="1681" xr:uid="{00000000-0005-0000-0000-00002F000000}"/>
    <cellStyle name="쉼표 [0] 2 8 2 2 2" xfId="5107" xr:uid="{00000000-0005-0000-0000-00002F000000}"/>
    <cellStyle name="쉼표 [0] 2 8 2 2 3" xfId="3394" xr:uid="{00000000-0005-0000-0000-00002F000000}"/>
    <cellStyle name="쉼표 [0] 2 8 2 3" xfId="1031" xr:uid="{00000000-0005-0000-0000-00002F000000}"/>
    <cellStyle name="쉼표 [0] 2 8 2 3 2" xfId="4459" xr:uid="{00000000-0005-0000-0000-00002F000000}"/>
    <cellStyle name="쉼표 [0] 2 8 2 3 3" xfId="2746" xr:uid="{00000000-0005-0000-0000-00002F000000}"/>
    <cellStyle name="쉼표 [0] 2 8 2 4" xfId="4050" xr:uid="{00000000-0005-0000-0000-00002F000000}"/>
    <cellStyle name="쉼표 [0] 2 8 2 5" xfId="2337" xr:uid="{00000000-0005-0000-0000-00002F000000}"/>
    <cellStyle name="쉼표 [0] 2 8 3" xfId="376" xr:uid="{00000000-0005-0000-0000-00002F000000}"/>
    <cellStyle name="쉼표 [0] 2 8 3 2" xfId="1436" xr:uid="{00000000-0005-0000-0000-00002F000000}"/>
    <cellStyle name="쉼표 [0] 2 8 3 2 2" xfId="4863" xr:uid="{00000000-0005-0000-0000-00002F000000}"/>
    <cellStyle name="쉼표 [0] 2 8 3 2 3" xfId="3150" xr:uid="{00000000-0005-0000-0000-00002F000000}"/>
    <cellStyle name="쉼표 [0] 2 8 3 3" xfId="3806" xr:uid="{00000000-0005-0000-0000-00002F000000}"/>
    <cellStyle name="쉼표 [0] 2 8 3 4" xfId="2093" xr:uid="{00000000-0005-0000-0000-00002F000000}"/>
    <cellStyle name="쉼표 [0] 2 8 4" xfId="1272" xr:uid="{00000000-0005-0000-0000-00002F000000}"/>
    <cellStyle name="쉼표 [0] 2 8 4 2" xfId="4699" xr:uid="{00000000-0005-0000-0000-00002F000000}"/>
    <cellStyle name="쉼표 [0] 2 8 4 3" xfId="2986" xr:uid="{00000000-0005-0000-0000-00002F000000}"/>
    <cellStyle name="쉼표 [0] 2 8 5" xfId="787" xr:uid="{00000000-0005-0000-0000-00002F000000}"/>
    <cellStyle name="쉼표 [0] 2 8 5 2" xfId="4215" xr:uid="{00000000-0005-0000-0000-00002F000000}"/>
    <cellStyle name="쉼표 [0] 2 8 5 3" xfId="2502" xr:uid="{00000000-0005-0000-0000-00002F000000}"/>
    <cellStyle name="쉼표 [0] 2 8 6" xfId="3642" xr:uid="{00000000-0005-0000-0000-00002F000000}"/>
    <cellStyle name="쉼표 [0] 2 8 7" xfId="1929" xr:uid="{00000000-0005-0000-0000-00002F000000}"/>
    <cellStyle name="쉼표 [0] 2 9" xfId="126" xr:uid="{00000000-0005-0000-0000-00002F000000}"/>
    <cellStyle name="쉼표 [0] 2 9 2" xfId="537" xr:uid="{00000000-0005-0000-0000-00002F000000}"/>
    <cellStyle name="쉼표 [0] 2 9 2 2" xfId="1597" xr:uid="{00000000-0005-0000-0000-00002F000000}"/>
    <cellStyle name="쉼표 [0] 2 9 2 2 2" xfId="5023" xr:uid="{00000000-0005-0000-0000-00002F000000}"/>
    <cellStyle name="쉼표 [0] 2 9 2 2 3" xfId="3310" xr:uid="{00000000-0005-0000-0000-00002F000000}"/>
    <cellStyle name="쉼표 [0] 2 9 2 3" xfId="3966" xr:uid="{00000000-0005-0000-0000-00002F000000}"/>
    <cellStyle name="쉼표 [0] 2 9 2 4" xfId="2253" xr:uid="{00000000-0005-0000-0000-00002F000000}"/>
    <cellStyle name="쉼표 [0] 2 9 3" xfId="1191" xr:uid="{00000000-0005-0000-0000-00002F000000}"/>
    <cellStyle name="쉼표 [0] 2 9 3 2" xfId="4618" xr:uid="{00000000-0005-0000-0000-00002F000000}"/>
    <cellStyle name="쉼표 [0] 2 9 3 3" xfId="2905" xr:uid="{00000000-0005-0000-0000-00002F000000}"/>
    <cellStyle name="쉼표 [0] 2 9 4" xfId="947" xr:uid="{00000000-0005-0000-0000-00002F000000}"/>
    <cellStyle name="쉼표 [0] 2 9 4 2" xfId="4375" xr:uid="{00000000-0005-0000-0000-00002F000000}"/>
    <cellStyle name="쉼표 [0] 2 9 4 3" xfId="2662" xr:uid="{00000000-0005-0000-0000-00002F000000}"/>
    <cellStyle name="쉼표 [0] 2 9 5" xfId="3558" xr:uid="{00000000-0005-0000-0000-00002F000000}"/>
    <cellStyle name="쉼표 [0] 2 9 6" xfId="1845" xr:uid="{00000000-0005-0000-0000-00002F000000}"/>
    <cellStyle name="쉼표 [0] 20" xfId="78" xr:uid="{0075F0EC-D5BD-4CFA-A830-C0BE176706A0}"/>
    <cellStyle name="쉼표 [0] 20 10" xfId="1803" xr:uid="{0075F0EC-D5BD-4CFA-A830-C0BE176706A0}"/>
    <cellStyle name="쉼표 [0] 20 2" xfId="117" xr:uid="{0075F0EC-D5BD-4CFA-A830-C0BE176706A0}"/>
    <cellStyle name="쉼표 [0] 20 2 2" xfId="284" xr:uid="{0075F0EC-D5BD-4CFA-A830-C0BE176706A0}"/>
    <cellStyle name="쉼표 [0] 20 2 2 2" xfId="695" xr:uid="{0075F0EC-D5BD-4CFA-A830-C0BE176706A0}"/>
    <cellStyle name="쉼표 [0] 20 2 2 2 2" xfId="1755" xr:uid="{0075F0EC-D5BD-4CFA-A830-C0BE176706A0}"/>
    <cellStyle name="쉼표 [0] 20 2 2 2 2 2" xfId="5181" xr:uid="{0075F0EC-D5BD-4CFA-A830-C0BE176706A0}"/>
    <cellStyle name="쉼표 [0] 20 2 2 2 2 3" xfId="3468" xr:uid="{0075F0EC-D5BD-4CFA-A830-C0BE176706A0}"/>
    <cellStyle name="쉼표 [0] 20 2 2 2 3" xfId="1105" xr:uid="{0075F0EC-D5BD-4CFA-A830-C0BE176706A0}"/>
    <cellStyle name="쉼표 [0] 20 2 2 2 3 2" xfId="4533" xr:uid="{0075F0EC-D5BD-4CFA-A830-C0BE176706A0}"/>
    <cellStyle name="쉼표 [0] 20 2 2 2 3 3" xfId="2820" xr:uid="{0075F0EC-D5BD-4CFA-A830-C0BE176706A0}"/>
    <cellStyle name="쉼표 [0] 20 2 2 2 4" xfId="4124" xr:uid="{0075F0EC-D5BD-4CFA-A830-C0BE176706A0}"/>
    <cellStyle name="쉼표 [0] 20 2 2 2 5" xfId="2411" xr:uid="{0075F0EC-D5BD-4CFA-A830-C0BE176706A0}"/>
    <cellStyle name="쉼표 [0] 20 2 2 3" xfId="450" xr:uid="{0075F0EC-D5BD-4CFA-A830-C0BE176706A0}"/>
    <cellStyle name="쉼표 [0] 20 2 2 3 2" xfId="1510" xr:uid="{0075F0EC-D5BD-4CFA-A830-C0BE176706A0}"/>
    <cellStyle name="쉼표 [0] 20 2 2 3 2 2" xfId="4937" xr:uid="{0075F0EC-D5BD-4CFA-A830-C0BE176706A0}"/>
    <cellStyle name="쉼표 [0] 20 2 2 3 2 3" xfId="3224" xr:uid="{0075F0EC-D5BD-4CFA-A830-C0BE176706A0}"/>
    <cellStyle name="쉼표 [0] 20 2 2 3 3" xfId="3880" xr:uid="{0075F0EC-D5BD-4CFA-A830-C0BE176706A0}"/>
    <cellStyle name="쉼표 [0] 20 2 2 3 4" xfId="2167" xr:uid="{0075F0EC-D5BD-4CFA-A830-C0BE176706A0}"/>
    <cellStyle name="쉼표 [0] 20 2 2 4" xfId="1346" xr:uid="{0075F0EC-D5BD-4CFA-A830-C0BE176706A0}"/>
    <cellStyle name="쉼표 [0] 20 2 2 4 2" xfId="4773" xr:uid="{0075F0EC-D5BD-4CFA-A830-C0BE176706A0}"/>
    <cellStyle name="쉼표 [0] 20 2 2 4 3" xfId="3060" xr:uid="{0075F0EC-D5BD-4CFA-A830-C0BE176706A0}"/>
    <cellStyle name="쉼표 [0] 20 2 2 5" xfId="861" xr:uid="{0075F0EC-D5BD-4CFA-A830-C0BE176706A0}"/>
    <cellStyle name="쉼표 [0] 20 2 2 5 2" xfId="4289" xr:uid="{0075F0EC-D5BD-4CFA-A830-C0BE176706A0}"/>
    <cellStyle name="쉼표 [0] 20 2 2 5 3" xfId="2576" xr:uid="{0075F0EC-D5BD-4CFA-A830-C0BE176706A0}"/>
    <cellStyle name="쉼표 [0] 20 2 2 6" xfId="3716" xr:uid="{0075F0EC-D5BD-4CFA-A830-C0BE176706A0}"/>
    <cellStyle name="쉼표 [0] 20 2 2 7" xfId="2003" xr:uid="{0075F0EC-D5BD-4CFA-A830-C0BE176706A0}"/>
    <cellStyle name="쉼표 [0] 20 2 3" xfId="202" xr:uid="{0075F0EC-D5BD-4CFA-A830-C0BE176706A0}"/>
    <cellStyle name="쉼표 [0] 20 2 3 2" xfId="613" xr:uid="{0075F0EC-D5BD-4CFA-A830-C0BE176706A0}"/>
    <cellStyle name="쉼표 [0] 20 2 3 2 2" xfId="1673" xr:uid="{0075F0EC-D5BD-4CFA-A830-C0BE176706A0}"/>
    <cellStyle name="쉼표 [0] 20 2 3 2 2 2" xfId="5099" xr:uid="{0075F0EC-D5BD-4CFA-A830-C0BE176706A0}"/>
    <cellStyle name="쉼표 [0] 20 2 3 2 2 3" xfId="3386" xr:uid="{0075F0EC-D5BD-4CFA-A830-C0BE176706A0}"/>
    <cellStyle name="쉼표 [0] 20 2 3 2 3" xfId="4042" xr:uid="{0075F0EC-D5BD-4CFA-A830-C0BE176706A0}"/>
    <cellStyle name="쉼표 [0] 20 2 3 2 4" xfId="2329" xr:uid="{0075F0EC-D5BD-4CFA-A830-C0BE176706A0}"/>
    <cellStyle name="쉼표 [0] 20 2 3 3" xfId="1265" xr:uid="{0075F0EC-D5BD-4CFA-A830-C0BE176706A0}"/>
    <cellStyle name="쉼표 [0] 20 2 3 3 2" xfId="4692" xr:uid="{0075F0EC-D5BD-4CFA-A830-C0BE176706A0}"/>
    <cellStyle name="쉼표 [0] 20 2 3 3 3" xfId="2979" xr:uid="{0075F0EC-D5BD-4CFA-A830-C0BE176706A0}"/>
    <cellStyle name="쉼표 [0] 20 2 3 4" xfId="1023" xr:uid="{0075F0EC-D5BD-4CFA-A830-C0BE176706A0}"/>
    <cellStyle name="쉼표 [0] 20 2 3 4 2" xfId="4451" xr:uid="{0075F0EC-D5BD-4CFA-A830-C0BE176706A0}"/>
    <cellStyle name="쉼표 [0] 20 2 3 4 3" xfId="2738" xr:uid="{0075F0EC-D5BD-4CFA-A830-C0BE176706A0}"/>
    <cellStyle name="쉼표 [0] 20 2 3 5" xfId="3634" xr:uid="{0075F0EC-D5BD-4CFA-A830-C0BE176706A0}"/>
    <cellStyle name="쉼표 [0] 20 2 3 6" xfId="1921" xr:uid="{0075F0EC-D5BD-4CFA-A830-C0BE176706A0}"/>
    <cellStyle name="쉼표 [0] 20 2 4" xfId="531" xr:uid="{0075F0EC-D5BD-4CFA-A830-C0BE176706A0}"/>
    <cellStyle name="쉼표 [0] 20 2 4 2" xfId="1591" xr:uid="{0075F0EC-D5BD-4CFA-A830-C0BE176706A0}"/>
    <cellStyle name="쉼표 [0] 20 2 4 2 2" xfId="5017" xr:uid="{0075F0EC-D5BD-4CFA-A830-C0BE176706A0}"/>
    <cellStyle name="쉼표 [0] 20 2 4 2 3" xfId="3304" xr:uid="{0075F0EC-D5BD-4CFA-A830-C0BE176706A0}"/>
    <cellStyle name="쉼표 [0] 20 2 4 3" xfId="941" xr:uid="{0075F0EC-D5BD-4CFA-A830-C0BE176706A0}"/>
    <cellStyle name="쉼표 [0] 20 2 4 3 2" xfId="4369" xr:uid="{0075F0EC-D5BD-4CFA-A830-C0BE176706A0}"/>
    <cellStyle name="쉼표 [0] 20 2 4 3 3" xfId="2656" xr:uid="{0075F0EC-D5BD-4CFA-A830-C0BE176706A0}"/>
    <cellStyle name="쉼표 [0] 20 2 4 4" xfId="3960" xr:uid="{0075F0EC-D5BD-4CFA-A830-C0BE176706A0}"/>
    <cellStyle name="쉼표 [0] 20 2 4 5" xfId="2247" xr:uid="{0075F0EC-D5BD-4CFA-A830-C0BE176706A0}"/>
    <cellStyle name="쉼표 [0] 20 2 5" xfId="368" xr:uid="{0075F0EC-D5BD-4CFA-A830-C0BE176706A0}"/>
    <cellStyle name="쉼표 [0] 20 2 5 2" xfId="1428" xr:uid="{0075F0EC-D5BD-4CFA-A830-C0BE176706A0}"/>
    <cellStyle name="쉼표 [0] 20 2 5 2 2" xfId="4855" xr:uid="{0075F0EC-D5BD-4CFA-A830-C0BE176706A0}"/>
    <cellStyle name="쉼표 [0] 20 2 5 2 3" xfId="3142" xr:uid="{0075F0EC-D5BD-4CFA-A830-C0BE176706A0}"/>
    <cellStyle name="쉼표 [0] 20 2 5 3" xfId="3798" xr:uid="{0075F0EC-D5BD-4CFA-A830-C0BE176706A0}"/>
    <cellStyle name="쉼표 [0] 20 2 5 4" xfId="2085" xr:uid="{0075F0EC-D5BD-4CFA-A830-C0BE176706A0}"/>
    <cellStyle name="쉼표 [0] 20 2 6" xfId="1186" xr:uid="{0075F0EC-D5BD-4CFA-A830-C0BE176706A0}"/>
    <cellStyle name="쉼표 [0] 20 2 6 2" xfId="4613" xr:uid="{0075F0EC-D5BD-4CFA-A830-C0BE176706A0}"/>
    <cellStyle name="쉼표 [0] 20 2 6 3" xfId="2900" xr:uid="{0075F0EC-D5BD-4CFA-A830-C0BE176706A0}"/>
    <cellStyle name="쉼표 [0] 20 2 7" xfId="779" xr:uid="{0075F0EC-D5BD-4CFA-A830-C0BE176706A0}"/>
    <cellStyle name="쉼표 [0] 20 2 7 2" xfId="4207" xr:uid="{0075F0EC-D5BD-4CFA-A830-C0BE176706A0}"/>
    <cellStyle name="쉼표 [0] 20 2 7 3" xfId="2494" xr:uid="{0075F0EC-D5BD-4CFA-A830-C0BE176706A0}"/>
    <cellStyle name="쉼표 [0] 20 2 8" xfId="3552" xr:uid="{0075F0EC-D5BD-4CFA-A830-C0BE176706A0}"/>
    <cellStyle name="쉼표 [0] 20 2 9" xfId="1839" xr:uid="{0075F0EC-D5BD-4CFA-A830-C0BE176706A0}"/>
    <cellStyle name="쉼표 [0] 20 3" xfId="248" xr:uid="{0075F0EC-D5BD-4CFA-A830-C0BE176706A0}"/>
    <cellStyle name="쉼표 [0] 20 3 2" xfId="659" xr:uid="{0075F0EC-D5BD-4CFA-A830-C0BE176706A0}"/>
    <cellStyle name="쉼표 [0] 20 3 2 2" xfId="1719" xr:uid="{0075F0EC-D5BD-4CFA-A830-C0BE176706A0}"/>
    <cellStyle name="쉼표 [0] 20 3 2 2 2" xfId="5145" xr:uid="{0075F0EC-D5BD-4CFA-A830-C0BE176706A0}"/>
    <cellStyle name="쉼표 [0] 20 3 2 2 3" xfId="3432" xr:uid="{0075F0EC-D5BD-4CFA-A830-C0BE176706A0}"/>
    <cellStyle name="쉼표 [0] 20 3 2 3" xfId="1069" xr:uid="{0075F0EC-D5BD-4CFA-A830-C0BE176706A0}"/>
    <cellStyle name="쉼표 [0] 20 3 2 3 2" xfId="4497" xr:uid="{0075F0EC-D5BD-4CFA-A830-C0BE176706A0}"/>
    <cellStyle name="쉼표 [0] 20 3 2 3 3" xfId="2784" xr:uid="{0075F0EC-D5BD-4CFA-A830-C0BE176706A0}"/>
    <cellStyle name="쉼표 [0] 20 3 2 4" xfId="4088" xr:uid="{0075F0EC-D5BD-4CFA-A830-C0BE176706A0}"/>
    <cellStyle name="쉼표 [0] 20 3 2 5" xfId="2375" xr:uid="{0075F0EC-D5BD-4CFA-A830-C0BE176706A0}"/>
    <cellStyle name="쉼표 [0] 20 3 3" xfId="414" xr:uid="{0075F0EC-D5BD-4CFA-A830-C0BE176706A0}"/>
    <cellStyle name="쉼표 [0] 20 3 3 2" xfId="1474" xr:uid="{0075F0EC-D5BD-4CFA-A830-C0BE176706A0}"/>
    <cellStyle name="쉼표 [0] 20 3 3 2 2" xfId="4901" xr:uid="{0075F0EC-D5BD-4CFA-A830-C0BE176706A0}"/>
    <cellStyle name="쉼표 [0] 20 3 3 2 3" xfId="3188" xr:uid="{0075F0EC-D5BD-4CFA-A830-C0BE176706A0}"/>
    <cellStyle name="쉼표 [0] 20 3 3 3" xfId="3844" xr:uid="{0075F0EC-D5BD-4CFA-A830-C0BE176706A0}"/>
    <cellStyle name="쉼표 [0] 20 3 3 4" xfId="2131" xr:uid="{0075F0EC-D5BD-4CFA-A830-C0BE176706A0}"/>
    <cellStyle name="쉼표 [0] 20 3 4" xfId="1310" xr:uid="{0075F0EC-D5BD-4CFA-A830-C0BE176706A0}"/>
    <cellStyle name="쉼표 [0] 20 3 4 2" xfId="4737" xr:uid="{0075F0EC-D5BD-4CFA-A830-C0BE176706A0}"/>
    <cellStyle name="쉼표 [0] 20 3 4 3" xfId="3024" xr:uid="{0075F0EC-D5BD-4CFA-A830-C0BE176706A0}"/>
    <cellStyle name="쉼표 [0] 20 3 5" xfId="825" xr:uid="{0075F0EC-D5BD-4CFA-A830-C0BE176706A0}"/>
    <cellStyle name="쉼표 [0] 20 3 5 2" xfId="4253" xr:uid="{0075F0EC-D5BD-4CFA-A830-C0BE176706A0}"/>
    <cellStyle name="쉼표 [0] 20 3 5 3" xfId="2540" xr:uid="{0075F0EC-D5BD-4CFA-A830-C0BE176706A0}"/>
    <cellStyle name="쉼표 [0] 20 3 6" xfId="3680" xr:uid="{0075F0EC-D5BD-4CFA-A830-C0BE176706A0}"/>
    <cellStyle name="쉼표 [0] 20 3 7" xfId="1967" xr:uid="{0075F0EC-D5BD-4CFA-A830-C0BE176706A0}"/>
    <cellStyle name="쉼표 [0] 20 4" xfId="166" xr:uid="{0075F0EC-D5BD-4CFA-A830-C0BE176706A0}"/>
    <cellStyle name="쉼표 [0] 20 4 2" xfId="577" xr:uid="{0075F0EC-D5BD-4CFA-A830-C0BE176706A0}"/>
    <cellStyle name="쉼표 [0] 20 4 2 2" xfId="1637" xr:uid="{0075F0EC-D5BD-4CFA-A830-C0BE176706A0}"/>
    <cellStyle name="쉼표 [0] 20 4 2 2 2" xfId="5063" xr:uid="{0075F0EC-D5BD-4CFA-A830-C0BE176706A0}"/>
    <cellStyle name="쉼표 [0] 20 4 2 2 3" xfId="3350" xr:uid="{0075F0EC-D5BD-4CFA-A830-C0BE176706A0}"/>
    <cellStyle name="쉼표 [0] 20 4 2 3" xfId="4006" xr:uid="{0075F0EC-D5BD-4CFA-A830-C0BE176706A0}"/>
    <cellStyle name="쉼표 [0] 20 4 2 4" xfId="2293" xr:uid="{0075F0EC-D5BD-4CFA-A830-C0BE176706A0}"/>
    <cellStyle name="쉼표 [0] 20 4 3" xfId="1229" xr:uid="{0075F0EC-D5BD-4CFA-A830-C0BE176706A0}"/>
    <cellStyle name="쉼표 [0] 20 4 3 2" xfId="4656" xr:uid="{0075F0EC-D5BD-4CFA-A830-C0BE176706A0}"/>
    <cellStyle name="쉼표 [0] 20 4 3 3" xfId="2943" xr:uid="{0075F0EC-D5BD-4CFA-A830-C0BE176706A0}"/>
    <cellStyle name="쉼표 [0] 20 4 4" xfId="987" xr:uid="{0075F0EC-D5BD-4CFA-A830-C0BE176706A0}"/>
    <cellStyle name="쉼표 [0] 20 4 4 2" xfId="4415" xr:uid="{0075F0EC-D5BD-4CFA-A830-C0BE176706A0}"/>
    <cellStyle name="쉼표 [0] 20 4 4 3" xfId="2702" xr:uid="{0075F0EC-D5BD-4CFA-A830-C0BE176706A0}"/>
    <cellStyle name="쉼표 [0] 20 4 5" xfId="3598" xr:uid="{0075F0EC-D5BD-4CFA-A830-C0BE176706A0}"/>
    <cellStyle name="쉼표 [0] 20 4 6" xfId="1885" xr:uid="{0075F0EC-D5BD-4CFA-A830-C0BE176706A0}"/>
    <cellStyle name="쉼표 [0] 20 5" xfId="495" xr:uid="{0075F0EC-D5BD-4CFA-A830-C0BE176706A0}"/>
    <cellStyle name="쉼표 [0] 20 5 2" xfId="1555" xr:uid="{0075F0EC-D5BD-4CFA-A830-C0BE176706A0}"/>
    <cellStyle name="쉼표 [0] 20 5 2 2" xfId="4981" xr:uid="{0075F0EC-D5BD-4CFA-A830-C0BE176706A0}"/>
    <cellStyle name="쉼표 [0] 20 5 2 3" xfId="3268" xr:uid="{0075F0EC-D5BD-4CFA-A830-C0BE176706A0}"/>
    <cellStyle name="쉼표 [0] 20 5 3" xfId="905" xr:uid="{0075F0EC-D5BD-4CFA-A830-C0BE176706A0}"/>
    <cellStyle name="쉼표 [0] 20 5 3 2" xfId="4333" xr:uid="{0075F0EC-D5BD-4CFA-A830-C0BE176706A0}"/>
    <cellStyle name="쉼표 [0] 20 5 3 3" xfId="2620" xr:uid="{0075F0EC-D5BD-4CFA-A830-C0BE176706A0}"/>
    <cellStyle name="쉼표 [0] 20 5 4" xfId="3924" xr:uid="{0075F0EC-D5BD-4CFA-A830-C0BE176706A0}"/>
    <cellStyle name="쉼표 [0] 20 5 5" xfId="2211" xr:uid="{0075F0EC-D5BD-4CFA-A830-C0BE176706A0}"/>
    <cellStyle name="쉼표 [0] 20 6" xfId="332" xr:uid="{0075F0EC-D5BD-4CFA-A830-C0BE176706A0}"/>
    <cellStyle name="쉼표 [0] 20 6 2" xfId="1392" xr:uid="{0075F0EC-D5BD-4CFA-A830-C0BE176706A0}"/>
    <cellStyle name="쉼표 [0] 20 6 2 2" xfId="4819" xr:uid="{0075F0EC-D5BD-4CFA-A830-C0BE176706A0}"/>
    <cellStyle name="쉼표 [0] 20 6 2 3" xfId="3106" xr:uid="{0075F0EC-D5BD-4CFA-A830-C0BE176706A0}"/>
    <cellStyle name="쉼표 [0] 20 6 3" xfId="3762" xr:uid="{0075F0EC-D5BD-4CFA-A830-C0BE176706A0}"/>
    <cellStyle name="쉼표 [0] 20 6 4" xfId="2049" xr:uid="{0075F0EC-D5BD-4CFA-A830-C0BE176706A0}"/>
    <cellStyle name="쉼표 [0] 20 7" xfId="1150" xr:uid="{0075F0EC-D5BD-4CFA-A830-C0BE176706A0}"/>
    <cellStyle name="쉼표 [0] 20 7 2" xfId="4577" xr:uid="{0075F0EC-D5BD-4CFA-A830-C0BE176706A0}"/>
    <cellStyle name="쉼표 [0] 20 7 3" xfId="2864" xr:uid="{0075F0EC-D5BD-4CFA-A830-C0BE176706A0}"/>
    <cellStyle name="쉼표 [0] 20 8" xfId="743" xr:uid="{0075F0EC-D5BD-4CFA-A830-C0BE176706A0}"/>
    <cellStyle name="쉼표 [0] 20 8 2" xfId="4171" xr:uid="{0075F0EC-D5BD-4CFA-A830-C0BE176706A0}"/>
    <cellStyle name="쉼표 [0] 20 8 3" xfId="2458" xr:uid="{0075F0EC-D5BD-4CFA-A830-C0BE176706A0}"/>
    <cellStyle name="쉼표 [0] 20 9" xfId="3516" xr:uid="{0075F0EC-D5BD-4CFA-A830-C0BE176706A0}"/>
    <cellStyle name="쉼표 [0] 21" xfId="81" xr:uid="{92968503-5AB7-4CC2-BA33-811ADAF3E6BD}"/>
    <cellStyle name="쉼표 [0] 21 10" xfId="1804" xr:uid="{92968503-5AB7-4CC2-BA33-811ADAF3E6BD}"/>
    <cellStyle name="쉼표 [0] 21 2" xfId="118" xr:uid="{92968503-5AB7-4CC2-BA33-811ADAF3E6BD}"/>
    <cellStyle name="쉼표 [0] 21 2 2" xfId="285" xr:uid="{92968503-5AB7-4CC2-BA33-811ADAF3E6BD}"/>
    <cellStyle name="쉼표 [0] 21 2 2 2" xfId="696" xr:uid="{92968503-5AB7-4CC2-BA33-811ADAF3E6BD}"/>
    <cellStyle name="쉼표 [0] 21 2 2 2 2" xfId="1756" xr:uid="{92968503-5AB7-4CC2-BA33-811ADAF3E6BD}"/>
    <cellStyle name="쉼표 [0] 21 2 2 2 2 2" xfId="5182" xr:uid="{92968503-5AB7-4CC2-BA33-811ADAF3E6BD}"/>
    <cellStyle name="쉼표 [0] 21 2 2 2 2 3" xfId="3469" xr:uid="{92968503-5AB7-4CC2-BA33-811ADAF3E6BD}"/>
    <cellStyle name="쉼표 [0] 21 2 2 2 3" xfId="1106" xr:uid="{92968503-5AB7-4CC2-BA33-811ADAF3E6BD}"/>
    <cellStyle name="쉼표 [0] 21 2 2 2 3 2" xfId="4534" xr:uid="{92968503-5AB7-4CC2-BA33-811ADAF3E6BD}"/>
    <cellStyle name="쉼표 [0] 21 2 2 2 3 3" xfId="2821" xr:uid="{92968503-5AB7-4CC2-BA33-811ADAF3E6BD}"/>
    <cellStyle name="쉼표 [0] 21 2 2 2 4" xfId="4125" xr:uid="{92968503-5AB7-4CC2-BA33-811ADAF3E6BD}"/>
    <cellStyle name="쉼표 [0] 21 2 2 2 5" xfId="2412" xr:uid="{92968503-5AB7-4CC2-BA33-811ADAF3E6BD}"/>
    <cellStyle name="쉼표 [0] 21 2 2 3" xfId="451" xr:uid="{92968503-5AB7-4CC2-BA33-811ADAF3E6BD}"/>
    <cellStyle name="쉼표 [0] 21 2 2 3 2" xfId="1511" xr:uid="{92968503-5AB7-4CC2-BA33-811ADAF3E6BD}"/>
    <cellStyle name="쉼표 [0] 21 2 2 3 2 2" xfId="4938" xr:uid="{92968503-5AB7-4CC2-BA33-811ADAF3E6BD}"/>
    <cellStyle name="쉼표 [0] 21 2 2 3 2 3" xfId="3225" xr:uid="{92968503-5AB7-4CC2-BA33-811ADAF3E6BD}"/>
    <cellStyle name="쉼표 [0] 21 2 2 3 3" xfId="3881" xr:uid="{92968503-5AB7-4CC2-BA33-811ADAF3E6BD}"/>
    <cellStyle name="쉼표 [0] 21 2 2 3 4" xfId="2168" xr:uid="{92968503-5AB7-4CC2-BA33-811ADAF3E6BD}"/>
    <cellStyle name="쉼표 [0] 21 2 2 4" xfId="1347" xr:uid="{92968503-5AB7-4CC2-BA33-811ADAF3E6BD}"/>
    <cellStyle name="쉼표 [0] 21 2 2 4 2" xfId="4774" xr:uid="{92968503-5AB7-4CC2-BA33-811ADAF3E6BD}"/>
    <cellStyle name="쉼표 [0] 21 2 2 4 3" xfId="3061" xr:uid="{92968503-5AB7-4CC2-BA33-811ADAF3E6BD}"/>
    <cellStyle name="쉼표 [0] 21 2 2 5" xfId="862" xr:uid="{92968503-5AB7-4CC2-BA33-811ADAF3E6BD}"/>
    <cellStyle name="쉼표 [0] 21 2 2 5 2" xfId="4290" xr:uid="{92968503-5AB7-4CC2-BA33-811ADAF3E6BD}"/>
    <cellStyle name="쉼표 [0] 21 2 2 5 3" xfId="2577" xr:uid="{92968503-5AB7-4CC2-BA33-811ADAF3E6BD}"/>
    <cellStyle name="쉼표 [0] 21 2 2 6" xfId="3717" xr:uid="{92968503-5AB7-4CC2-BA33-811ADAF3E6BD}"/>
    <cellStyle name="쉼표 [0] 21 2 2 7" xfId="2004" xr:uid="{92968503-5AB7-4CC2-BA33-811ADAF3E6BD}"/>
    <cellStyle name="쉼표 [0] 21 2 3" xfId="203" xr:uid="{92968503-5AB7-4CC2-BA33-811ADAF3E6BD}"/>
    <cellStyle name="쉼표 [0] 21 2 3 2" xfId="614" xr:uid="{92968503-5AB7-4CC2-BA33-811ADAF3E6BD}"/>
    <cellStyle name="쉼표 [0] 21 2 3 2 2" xfId="1674" xr:uid="{92968503-5AB7-4CC2-BA33-811ADAF3E6BD}"/>
    <cellStyle name="쉼표 [0] 21 2 3 2 2 2" xfId="5100" xr:uid="{92968503-5AB7-4CC2-BA33-811ADAF3E6BD}"/>
    <cellStyle name="쉼표 [0] 21 2 3 2 2 3" xfId="3387" xr:uid="{92968503-5AB7-4CC2-BA33-811ADAF3E6BD}"/>
    <cellStyle name="쉼표 [0] 21 2 3 2 3" xfId="4043" xr:uid="{92968503-5AB7-4CC2-BA33-811ADAF3E6BD}"/>
    <cellStyle name="쉼표 [0] 21 2 3 2 4" xfId="2330" xr:uid="{92968503-5AB7-4CC2-BA33-811ADAF3E6BD}"/>
    <cellStyle name="쉼표 [0] 21 2 3 3" xfId="1266" xr:uid="{92968503-5AB7-4CC2-BA33-811ADAF3E6BD}"/>
    <cellStyle name="쉼표 [0] 21 2 3 3 2" xfId="4693" xr:uid="{92968503-5AB7-4CC2-BA33-811ADAF3E6BD}"/>
    <cellStyle name="쉼표 [0] 21 2 3 3 3" xfId="2980" xr:uid="{92968503-5AB7-4CC2-BA33-811ADAF3E6BD}"/>
    <cellStyle name="쉼표 [0] 21 2 3 4" xfId="1024" xr:uid="{92968503-5AB7-4CC2-BA33-811ADAF3E6BD}"/>
    <cellStyle name="쉼표 [0] 21 2 3 4 2" xfId="4452" xr:uid="{92968503-5AB7-4CC2-BA33-811ADAF3E6BD}"/>
    <cellStyle name="쉼표 [0] 21 2 3 4 3" xfId="2739" xr:uid="{92968503-5AB7-4CC2-BA33-811ADAF3E6BD}"/>
    <cellStyle name="쉼표 [0] 21 2 3 5" xfId="3635" xr:uid="{92968503-5AB7-4CC2-BA33-811ADAF3E6BD}"/>
    <cellStyle name="쉼표 [0] 21 2 3 6" xfId="1922" xr:uid="{92968503-5AB7-4CC2-BA33-811ADAF3E6BD}"/>
    <cellStyle name="쉼표 [0] 21 2 4" xfId="532" xr:uid="{92968503-5AB7-4CC2-BA33-811ADAF3E6BD}"/>
    <cellStyle name="쉼표 [0] 21 2 4 2" xfId="1592" xr:uid="{92968503-5AB7-4CC2-BA33-811ADAF3E6BD}"/>
    <cellStyle name="쉼표 [0] 21 2 4 2 2" xfId="5018" xr:uid="{92968503-5AB7-4CC2-BA33-811ADAF3E6BD}"/>
    <cellStyle name="쉼표 [0] 21 2 4 2 3" xfId="3305" xr:uid="{92968503-5AB7-4CC2-BA33-811ADAF3E6BD}"/>
    <cellStyle name="쉼표 [0] 21 2 4 3" xfId="942" xr:uid="{92968503-5AB7-4CC2-BA33-811ADAF3E6BD}"/>
    <cellStyle name="쉼표 [0] 21 2 4 3 2" xfId="4370" xr:uid="{92968503-5AB7-4CC2-BA33-811ADAF3E6BD}"/>
    <cellStyle name="쉼표 [0] 21 2 4 3 3" xfId="2657" xr:uid="{92968503-5AB7-4CC2-BA33-811ADAF3E6BD}"/>
    <cellStyle name="쉼표 [0] 21 2 4 4" xfId="3961" xr:uid="{92968503-5AB7-4CC2-BA33-811ADAF3E6BD}"/>
    <cellStyle name="쉼표 [0] 21 2 4 5" xfId="2248" xr:uid="{92968503-5AB7-4CC2-BA33-811ADAF3E6BD}"/>
    <cellStyle name="쉼표 [0] 21 2 5" xfId="369" xr:uid="{92968503-5AB7-4CC2-BA33-811ADAF3E6BD}"/>
    <cellStyle name="쉼표 [0] 21 2 5 2" xfId="1429" xr:uid="{92968503-5AB7-4CC2-BA33-811ADAF3E6BD}"/>
    <cellStyle name="쉼표 [0] 21 2 5 2 2" xfId="4856" xr:uid="{92968503-5AB7-4CC2-BA33-811ADAF3E6BD}"/>
    <cellStyle name="쉼표 [0] 21 2 5 2 3" xfId="3143" xr:uid="{92968503-5AB7-4CC2-BA33-811ADAF3E6BD}"/>
    <cellStyle name="쉼표 [0] 21 2 5 3" xfId="3799" xr:uid="{92968503-5AB7-4CC2-BA33-811ADAF3E6BD}"/>
    <cellStyle name="쉼표 [0] 21 2 5 4" xfId="2086" xr:uid="{92968503-5AB7-4CC2-BA33-811ADAF3E6BD}"/>
    <cellStyle name="쉼표 [0] 21 2 6" xfId="1187" xr:uid="{92968503-5AB7-4CC2-BA33-811ADAF3E6BD}"/>
    <cellStyle name="쉼표 [0] 21 2 6 2" xfId="4614" xr:uid="{92968503-5AB7-4CC2-BA33-811ADAF3E6BD}"/>
    <cellStyle name="쉼표 [0] 21 2 6 3" xfId="2901" xr:uid="{92968503-5AB7-4CC2-BA33-811ADAF3E6BD}"/>
    <cellStyle name="쉼표 [0] 21 2 7" xfId="780" xr:uid="{92968503-5AB7-4CC2-BA33-811ADAF3E6BD}"/>
    <cellStyle name="쉼표 [0] 21 2 7 2" xfId="4208" xr:uid="{92968503-5AB7-4CC2-BA33-811ADAF3E6BD}"/>
    <cellStyle name="쉼표 [0] 21 2 7 3" xfId="2495" xr:uid="{92968503-5AB7-4CC2-BA33-811ADAF3E6BD}"/>
    <cellStyle name="쉼표 [0] 21 2 8" xfId="3553" xr:uid="{92968503-5AB7-4CC2-BA33-811ADAF3E6BD}"/>
    <cellStyle name="쉼표 [0] 21 2 9" xfId="1840" xr:uid="{92968503-5AB7-4CC2-BA33-811ADAF3E6BD}"/>
    <cellStyle name="쉼표 [0] 21 3" xfId="249" xr:uid="{92968503-5AB7-4CC2-BA33-811ADAF3E6BD}"/>
    <cellStyle name="쉼표 [0] 21 3 2" xfId="660" xr:uid="{92968503-5AB7-4CC2-BA33-811ADAF3E6BD}"/>
    <cellStyle name="쉼표 [0] 21 3 2 2" xfId="1720" xr:uid="{92968503-5AB7-4CC2-BA33-811ADAF3E6BD}"/>
    <cellStyle name="쉼표 [0] 21 3 2 2 2" xfId="5146" xr:uid="{92968503-5AB7-4CC2-BA33-811ADAF3E6BD}"/>
    <cellStyle name="쉼표 [0] 21 3 2 2 3" xfId="3433" xr:uid="{92968503-5AB7-4CC2-BA33-811ADAF3E6BD}"/>
    <cellStyle name="쉼표 [0] 21 3 2 3" xfId="1070" xr:uid="{92968503-5AB7-4CC2-BA33-811ADAF3E6BD}"/>
    <cellStyle name="쉼표 [0] 21 3 2 3 2" xfId="4498" xr:uid="{92968503-5AB7-4CC2-BA33-811ADAF3E6BD}"/>
    <cellStyle name="쉼표 [0] 21 3 2 3 3" xfId="2785" xr:uid="{92968503-5AB7-4CC2-BA33-811ADAF3E6BD}"/>
    <cellStyle name="쉼표 [0] 21 3 2 4" xfId="4089" xr:uid="{92968503-5AB7-4CC2-BA33-811ADAF3E6BD}"/>
    <cellStyle name="쉼표 [0] 21 3 2 5" xfId="2376" xr:uid="{92968503-5AB7-4CC2-BA33-811ADAF3E6BD}"/>
    <cellStyle name="쉼표 [0] 21 3 3" xfId="415" xr:uid="{92968503-5AB7-4CC2-BA33-811ADAF3E6BD}"/>
    <cellStyle name="쉼표 [0] 21 3 3 2" xfId="1475" xr:uid="{92968503-5AB7-4CC2-BA33-811ADAF3E6BD}"/>
    <cellStyle name="쉼표 [0] 21 3 3 2 2" xfId="4902" xr:uid="{92968503-5AB7-4CC2-BA33-811ADAF3E6BD}"/>
    <cellStyle name="쉼표 [0] 21 3 3 2 3" xfId="3189" xr:uid="{92968503-5AB7-4CC2-BA33-811ADAF3E6BD}"/>
    <cellStyle name="쉼표 [0] 21 3 3 3" xfId="3845" xr:uid="{92968503-5AB7-4CC2-BA33-811ADAF3E6BD}"/>
    <cellStyle name="쉼표 [0] 21 3 3 4" xfId="2132" xr:uid="{92968503-5AB7-4CC2-BA33-811ADAF3E6BD}"/>
    <cellStyle name="쉼표 [0] 21 3 4" xfId="1311" xr:uid="{92968503-5AB7-4CC2-BA33-811ADAF3E6BD}"/>
    <cellStyle name="쉼표 [0] 21 3 4 2" xfId="4738" xr:uid="{92968503-5AB7-4CC2-BA33-811ADAF3E6BD}"/>
    <cellStyle name="쉼표 [0] 21 3 4 3" xfId="3025" xr:uid="{92968503-5AB7-4CC2-BA33-811ADAF3E6BD}"/>
    <cellStyle name="쉼표 [0] 21 3 5" xfId="826" xr:uid="{92968503-5AB7-4CC2-BA33-811ADAF3E6BD}"/>
    <cellStyle name="쉼표 [0] 21 3 5 2" xfId="4254" xr:uid="{92968503-5AB7-4CC2-BA33-811ADAF3E6BD}"/>
    <cellStyle name="쉼표 [0] 21 3 5 3" xfId="2541" xr:uid="{92968503-5AB7-4CC2-BA33-811ADAF3E6BD}"/>
    <cellStyle name="쉼표 [0] 21 3 6" xfId="3681" xr:uid="{92968503-5AB7-4CC2-BA33-811ADAF3E6BD}"/>
    <cellStyle name="쉼표 [0] 21 3 7" xfId="1968" xr:uid="{92968503-5AB7-4CC2-BA33-811ADAF3E6BD}"/>
    <cellStyle name="쉼표 [0] 21 4" xfId="167" xr:uid="{92968503-5AB7-4CC2-BA33-811ADAF3E6BD}"/>
    <cellStyle name="쉼표 [0] 21 4 2" xfId="578" xr:uid="{92968503-5AB7-4CC2-BA33-811ADAF3E6BD}"/>
    <cellStyle name="쉼표 [0] 21 4 2 2" xfId="1638" xr:uid="{92968503-5AB7-4CC2-BA33-811ADAF3E6BD}"/>
    <cellStyle name="쉼표 [0] 21 4 2 2 2" xfId="5064" xr:uid="{92968503-5AB7-4CC2-BA33-811ADAF3E6BD}"/>
    <cellStyle name="쉼표 [0] 21 4 2 2 3" xfId="3351" xr:uid="{92968503-5AB7-4CC2-BA33-811ADAF3E6BD}"/>
    <cellStyle name="쉼표 [0] 21 4 2 3" xfId="4007" xr:uid="{92968503-5AB7-4CC2-BA33-811ADAF3E6BD}"/>
    <cellStyle name="쉼표 [0] 21 4 2 4" xfId="2294" xr:uid="{92968503-5AB7-4CC2-BA33-811ADAF3E6BD}"/>
    <cellStyle name="쉼표 [0] 21 4 3" xfId="1230" xr:uid="{92968503-5AB7-4CC2-BA33-811ADAF3E6BD}"/>
    <cellStyle name="쉼표 [0] 21 4 3 2" xfId="4657" xr:uid="{92968503-5AB7-4CC2-BA33-811ADAF3E6BD}"/>
    <cellStyle name="쉼표 [0] 21 4 3 3" xfId="2944" xr:uid="{92968503-5AB7-4CC2-BA33-811ADAF3E6BD}"/>
    <cellStyle name="쉼표 [0] 21 4 4" xfId="988" xr:uid="{92968503-5AB7-4CC2-BA33-811ADAF3E6BD}"/>
    <cellStyle name="쉼표 [0] 21 4 4 2" xfId="4416" xr:uid="{92968503-5AB7-4CC2-BA33-811ADAF3E6BD}"/>
    <cellStyle name="쉼표 [0] 21 4 4 3" xfId="2703" xr:uid="{92968503-5AB7-4CC2-BA33-811ADAF3E6BD}"/>
    <cellStyle name="쉼표 [0] 21 4 5" xfId="3599" xr:uid="{92968503-5AB7-4CC2-BA33-811ADAF3E6BD}"/>
    <cellStyle name="쉼표 [0] 21 4 6" xfId="1886" xr:uid="{92968503-5AB7-4CC2-BA33-811ADAF3E6BD}"/>
    <cellStyle name="쉼표 [0] 21 5" xfId="496" xr:uid="{92968503-5AB7-4CC2-BA33-811ADAF3E6BD}"/>
    <cellStyle name="쉼표 [0] 21 5 2" xfId="1556" xr:uid="{92968503-5AB7-4CC2-BA33-811ADAF3E6BD}"/>
    <cellStyle name="쉼표 [0] 21 5 2 2" xfId="4982" xr:uid="{92968503-5AB7-4CC2-BA33-811ADAF3E6BD}"/>
    <cellStyle name="쉼표 [0] 21 5 2 3" xfId="3269" xr:uid="{92968503-5AB7-4CC2-BA33-811ADAF3E6BD}"/>
    <cellStyle name="쉼표 [0] 21 5 3" xfId="906" xr:uid="{92968503-5AB7-4CC2-BA33-811ADAF3E6BD}"/>
    <cellStyle name="쉼표 [0] 21 5 3 2" xfId="4334" xr:uid="{92968503-5AB7-4CC2-BA33-811ADAF3E6BD}"/>
    <cellStyle name="쉼표 [0] 21 5 3 3" xfId="2621" xr:uid="{92968503-5AB7-4CC2-BA33-811ADAF3E6BD}"/>
    <cellStyle name="쉼표 [0] 21 5 4" xfId="3925" xr:uid="{92968503-5AB7-4CC2-BA33-811ADAF3E6BD}"/>
    <cellStyle name="쉼표 [0] 21 5 5" xfId="2212" xr:uid="{92968503-5AB7-4CC2-BA33-811ADAF3E6BD}"/>
    <cellStyle name="쉼표 [0] 21 6" xfId="333" xr:uid="{92968503-5AB7-4CC2-BA33-811ADAF3E6BD}"/>
    <cellStyle name="쉼표 [0] 21 6 2" xfId="1393" xr:uid="{92968503-5AB7-4CC2-BA33-811ADAF3E6BD}"/>
    <cellStyle name="쉼표 [0] 21 6 2 2" xfId="4820" xr:uid="{92968503-5AB7-4CC2-BA33-811ADAF3E6BD}"/>
    <cellStyle name="쉼표 [0] 21 6 2 3" xfId="3107" xr:uid="{92968503-5AB7-4CC2-BA33-811ADAF3E6BD}"/>
    <cellStyle name="쉼표 [0] 21 6 3" xfId="3763" xr:uid="{92968503-5AB7-4CC2-BA33-811ADAF3E6BD}"/>
    <cellStyle name="쉼표 [0] 21 6 4" xfId="2050" xr:uid="{92968503-5AB7-4CC2-BA33-811ADAF3E6BD}"/>
    <cellStyle name="쉼표 [0] 21 7" xfId="1151" xr:uid="{92968503-5AB7-4CC2-BA33-811ADAF3E6BD}"/>
    <cellStyle name="쉼표 [0] 21 7 2" xfId="4578" xr:uid="{92968503-5AB7-4CC2-BA33-811ADAF3E6BD}"/>
    <cellStyle name="쉼표 [0] 21 7 3" xfId="2865" xr:uid="{92968503-5AB7-4CC2-BA33-811ADAF3E6BD}"/>
    <cellStyle name="쉼표 [0] 21 8" xfId="744" xr:uid="{92968503-5AB7-4CC2-BA33-811ADAF3E6BD}"/>
    <cellStyle name="쉼표 [0] 21 8 2" xfId="4172" xr:uid="{92968503-5AB7-4CC2-BA33-811ADAF3E6BD}"/>
    <cellStyle name="쉼표 [0] 21 8 3" xfId="2459" xr:uid="{92968503-5AB7-4CC2-BA33-811ADAF3E6BD}"/>
    <cellStyle name="쉼표 [0] 21 9" xfId="3517" xr:uid="{92968503-5AB7-4CC2-BA33-811ADAF3E6BD}"/>
    <cellStyle name="쉼표 [0] 22" xfId="30" xr:uid="{00000000-0005-0000-0000-000034000000}"/>
    <cellStyle name="쉼표 [0] 22 10" xfId="1775" xr:uid="{00000000-0005-0000-0000-000034000000}"/>
    <cellStyle name="쉼표 [0] 22 2" xfId="89" xr:uid="{00000000-0005-0000-0000-000034000000}"/>
    <cellStyle name="쉼표 [0] 22 2 2" xfId="256" xr:uid="{00000000-0005-0000-0000-000034000000}"/>
    <cellStyle name="쉼표 [0] 22 2 2 2" xfId="667" xr:uid="{00000000-0005-0000-0000-000034000000}"/>
    <cellStyle name="쉼표 [0] 22 2 2 2 2" xfId="1727" xr:uid="{00000000-0005-0000-0000-000034000000}"/>
    <cellStyle name="쉼표 [0] 22 2 2 2 2 2" xfId="5153" xr:uid="{00000000-0005-0000-0000-000034000000}"/>
    <cellStyle name="쉼표 [0] 22 2 2 2 2 3" xfId="3440" xr:uid="{00000000-0005-0000-0000-000034000000}"/>
    <cellStyle name="쉼표 [0] 22 2 2 2 3" xfId="1077" xr:uid="{00000000-0005-0000-0000-000034000000}"/>
    <cellStyle name="쉼표 [0] 22 2 2 2 3 2" xfId="4505" xr:uid="{00000000-0005-0000-0000-000034000000}"/>
    <cellStyle name="쉼표 [0] 22 2 2 2 3 3" xfId="2792" xr:uid="{00000000-0005-0000-0000-000034000000}"/>
    <cellStyle name="쉼표 [0] 22 2 2 2 4" xfId="4096" xr:uid="{00000000-0005-0000-0000-000034000000}"/>
    <cellStyle name="쉼표 [0] 22 2 2 2 5" xfId="2383" xr:uid="{00000000-0005-0000-0000-000034000000}"/>
    <cellStyle name="쉼표 [0] 22 2 2 3" xfId="422" xr:uid="{00000000-0005-0000-0000-000034000000}"/>
    <cellStyle name="쉼표 [0] 22 2 2 3 2" xfId="1482" xr:uid="{00000000-0005-0000-0000-000034000000}"/>
    <cellStyle name="쉼표 [0] 22 2 2 3 2 2" xfId="4909" xr:uid="{00000000-0005-0000-0000-000034000000}"/>
    <cellStyle name="쉼표 [0] 22 2 2 3 2 3" xfId="3196" xr:uid="{00000000-0005-0000-0000-000034000000}"/>
    <cellStyle name="쉼표 [0] 22 2 2 3 3" xfId="3852" xr:uid="{00000000-0005-0000-0000-000034000000}"/>
    <cellStyle name="쉼표 [0] 22 2 2 3 4" xfId="2139" xr:uid="{00000000-0005-0000-0000-000034000000}"/>
    <cellStyle name="쉼표 [0] 22 2 2 4" xfId="1318" xr:uid="{00000000-0005-0000-0000-000034000000}"/>
    <cellStyle name="쉼표 [0] 22 2 2 4 2" xfId="4745" xr:uid="{00000000-0005-0000-0000-000034000000}"/>
    <cellStyle name="쉼표 [0] 22 2 2 4 3" xfId="3032" xr:uid="{00000000-0005-0000-0000-000034000000}"/>
    <cellStyle name="쉼표 [0] 22 2 2 5" xfId="833" xr:uid="{00000000-0005-0000-0000-000034000000}"/>
    <cellStyle name="쉼표 [0] 22 2 2 5 2" xfId="4261" xr:uid="{00000000-0005-0000-0000-000034000000}"/>
    <cellStyle name="쉼표 [0] 22 2 2 5 3" xfId="2548" xr:uid="{00000000-0005-0000-0000-000034000000}"/>
    <cellStyle name="쉼표 [0] 22 2 2 6" xfId="3688" xr:uid="{00000000-0005-0000-0000-000034000000}"/>
    <cellStyle name="쉼표 [0] 22 2 2 7" xfId="1975" xr:uid="{00000000-0005-0000-0000-000034000000}"/>
    <cellStyle name="쉼표 [0] 22 2 3" xfId="174" xr:uid="{00000000-0005-0000-0000-000034000000}"/>
    <cellStyle name="쉼표 [0] 22 2 3 2" xfId="585" xr:uid="{00000000-0005-0000-0000-000034000000}"/>
    <cellStyle name="쉼표 [0] 22 2 3 2 2" xfId="1645" xr:uid="{00000000-0005-0000-0000-000034000000}"/>
    <cellStyle name="쉼표 [0] 22 2 3 2 2 2" xfId="5071" xr:uid="{00000000-0005-0000-0000-000034000000}"/>
    <cellStyle name="쉼표 [0] 22 2 3 2 2 3" xfId="3358" xr:uid="{00000000-0005-0000-0000-000034000000}"/>
    <cellStyle name="쉼표 [0] 22 2 3 2 3" xfId="4014" xr:uid="{00000000-0005-0000-0000-000034000000}"/>
    <cellStyle name="쉼표 [0] 22 2 3 2 4" xfId="2301" xr:uid="{00000000-0005-0000-0000-000034000000}"/>
    <cellStyle name="쉼표 [0] 22 2 3 3" xfId="1237" xr:uid="{00000000-0005-0000-0000-000034000000}"/>
    <cellStyle name="쉼표 [0] 22 2 3 3 2" xfId="4664" xr:uid="{00000000-0005-0000-0000-000034000000}"/>
    <cellStyle name="쉼표 [0] 22 2 3 3 3" xfId="2951" xr:uid="{00000000-0005-0000-0000-000034000000}"/>
    <cellStyle name="쉼표 [0] 22 2 3 4" xfId="995" xr:uid="{00000000-0005-0000-0000-000034000000}"/>
    <cellStyle name="쉼표 [0] 22 2 3 4 2" xfId="4423" xr:uid="{00000000-0005-0000-0000-000034000000}"/>
    <cellStyle name="쉼표 [0] 22 2 3 4 3" xfId="2710" xr:uid="{00000000-0005-0000-0000-000034000000}"/>
    <cellStyle name="쉼표 [0] 22 2 3 5" xfId="3606" xr:uid="{00000000-0005-0000-0000-000034000000}"/>
    <cellStyle name="쉼표 [0] 22 2 3 6" xfId="1893" xr:uid="{00000000-0005-0000-0000-000034000000}"/>
    <cellStyle name="쉼표 [0] 22 2 4" xfId="503" xr:uid="{00000000-0005-0000-0000-000034000000}"/>
    <cellStyle name="쉼표 [0] 22 2 4 2" xfId="1563" xr:uid="{00000000-0005-0000-0000-000034000000}"/>
    <cellStyle name="쉼표 [0] 22 2 4 2 2" xfId="4989" xr:uid="{00000000-0005-0000-0000-000034000000}"/>
    <cellStyle name="쉼표 [0] 22 2 4 2 3" xfId="3276" xr:uid="{00000000-0005-0000-0000-000034000000}"/>
    <cellStyle name="쉼표 [0] 22 2 4 3" xfId="913" xr:uid="{00000000-0005-0000-0000-000034000000}"/>
    <cellStyle name="쉼표 [0] 22 2 4 3 2" xfId="4341" xr:uid="{00000000-0005-0000-0000-000034000000}"/>
    <cellStyle name="쉼표 [0] 22 2 4 3 3" xfId="2628" xr:uid="{00000000-0005-0000-0000-000034000000}"/>
    <cellStyle name="쉼표 [0] 22 2 4 4" xfId="3932" xr:uid="{00000000-0005-0000-0000-000034000000}"/>
    <cellStyle name="쉼표 [0] 22 2 4 5" xfId="2219" xr:uid="{00000000-0005-0000-0000-000034000000}"/>
    <cellStyle name="쉼표 [0] 22 2 5" xfId="340" xr:uid="{00000000-0005-0000-0000-000034000000}"/>
    <cellStyle name="쉼표 [0] 22 2 5 2" xfId="1400" xr:uid="{00000000-0005-0000-0000-000034000000}"/>
    <cellStyle name="쉼표 [0] 22 2 5 2 2" xfId="4827" xr:uid="{00000000-0005-0000-0000-000034000000}"/>
    <cellStyle name="쉼표 [0] 22 2 5 2 3" xfId="3114" xr:uid="{00000000-0005-0000-0000-000034000000}"/>
    <cellStyle name="쉼표 [0] 22 2 5 3" xfId="3770" xr:uid="{00000000-0005-0000-0000-000034000000}"/>
    <cellStyle name="쉼표 [0] 22 2 5 4" xfId="2057" xr:uid="{00000000-0005-0000-0000-000034000000}"/>
    <cellStyle name="쉼표 [0] 22 2 6" xfId="1158" xr:uid="{00000000-0005-0000-0000-000034000000}"/>
    <cellStyle name="쉼표 [0] 22 2 6 2" xfId="4585" xr:uid="{00000000-0005-0000-0000-000034000000}"/>
    <cellStyle name="쉼표 [0] 22 2 6 3" xfId="2872" xr:uid="{00000000-0005-0000-0000-000034000000}"/>
    <cellStyle name="쉼표 [0] 22 2 7" xfId="751" xr:uid="{00000000-0005-0000-0000-000034000000}"/>
    <cellStyle name="쉼표 [0] 22 2 7 2" xfId="4179" xr:uid="{00000000-0005-0000-0000-000034000000}"/>
    <cellStyle name="쉼표 [0] 22 2 7 3" xfId="2466" xr:uid="{00000000-0005-0000-0000-000034000000}"/>
    <cellStyle name="쉼표 [0] 22 2 8" xfId="3524" xr:uid="{00000000-0005-0000-0000-000034000000}"/>
    <cellStyle name="쉼표 [0] 22 2 9" xfId="1811" xr:uid="{00000000-0005-0000-0000-000034000000}"/>
    <cellStyle name="쉼표 [0] 22 3" xfId="220" xr:uid="{00000000-0005-0000-0000-000034000000}"/>
    <cellStyle name="쉼표 [0] 22 3 2" xfId="631" xr:uid="{00000000-0005-0000-0000-000034000000}"/>
    <cellStyle name="쉼표 [0] 22 3 2 2" xfId="1691" xr:uid="{00000000-0005-0000-0000-000034000000}"/>
    <cellStyle name="쉼표 [0] 22 3 2 2 2" xfId="5117" xr:uid="{00000000-0005-0000-0000-000034000000}"/>
    <cellStyle name="쉼표 [0] 22 3 2 2 3" xfId="3404" xr:uid="{00000000-0005-0000-0000-000034000000}"/>
    <cellStyle name="쉼표 [0] 22 3 2 3" xfId="1041" xr:uid="{00000000-0005-0000-0000-000034000000}"/>
    <cellStyle name="쉼표 [0] 22 3 2 3 2" xfId="4469" xr:uid="{00000000-0005-0000-0000-000034000000}"/>
    <cellStyle name="쉼표 [0] 22 3 2 3 3" xfId="2756" xr:uid="{00000000-0005-0000-0000-000034000000}"/>
    <cellStyle name="쉼표 [0] 22 3 2 4" xfId="4060" xr:uid="{00000000-0005-0000-0000-000034000000}"/>
    <cellStyle name="쉼표 [0] 22 3 2 5" xfId="2347" xr:uid="{00000000-0005-0000-0000-000034000000}"/>
    <cellStyle name="쉼표 [0] 22 3 3" xfId="386" xr:uid="{00000000-0005-0000-0000-000034000000}"/>
    <cellStyle name="쉼표 [0] 22 3 3 2" xfId="1446" xr:uid="{00000000-0005-0000-0000-000034000000}"/>
    <cellStyle name="쉼표 [0] 22 3 3 2 2" xfId="4873" xr:uid="{00000000-0005-0000-0000-000034000000}"/>
    <cellStyle name="쉼표 [0] 22 3 3 2 3" xfId="3160" xr:uid="{00000000-0005-0000-0000-000034000000}"/>
    <cellStyle name="쉼표 [0] 22 3 3 3" xfId="3816" xr:uid="{00000000-0005-0000-0000-000034000000}"/>
    <cellStyle name="쉼표 [0] 22 3 3 4" xfId="2103" xr:uid="{00000000-0005-0000-0000-000034000000}"/>
    <cellStyle name="쉼표 [0] 22 3 4" xfId="1282" xr:uid="{00000000-0005-0000-0000-000034000000}"/>
    <cellStyle name="쉼표 [0] 22 3 4 2" xfId="4709" xr:uid="{00000000-0005-0000-0000-000034000000}"/>
    <cellStyle name="쉼표 [0] 22 3 4 3" xfId="2996" xr:uid="{00000000-0005-0000-0000-000034000000}"/>
    <cellStyle name="쉼표 [0] 22 3 5" xfId="797" xr:uid="{00000000-0005-0000-0000-000034000000}"/>
    <cellStyle name="쉼표 [0] 22 3 5 2" xfId="4225" xr:uid="{00000000-0005-0000-0000-000034000000}"/>
    <cellStyle name="쉼표 [0] 22 3 5 3" xfId="2512" xr:uid="{00000000-0005-0000-0000-000034000000}"/>
    <cellStyle name="쉼표 [0] 22 3 6" xfId="3652" xr:uid="{00000000-0005-0000-0000-000034000000}"/>
    <cellStyle name="쉼표 [0] 22 3 7" xfId="1939" xr:uid="{00000000-0005-0000-0000-000034000000}"/>
    <cellStyle name="쉼표 [0] 22 4" xfId="138" xr:uid="{00000000-0005-0000-0000-000034000000}"/>
    <cellStyle name="쉼표 [0] 22 4 2" xfId="549" xr:uid="{00000000-0005-0000-0000-000034000000}"/>
    <cellStyle name="쉼표 [0] 22 4 2 2" xfId="1609" xr:uid="{00000000-0005-0000-0000-000034000000}"/>
    <cellStyle name="쉼표 [0] 22 4 2 2 2" xfId="5035" xr:uid="{00000000-0005-0000-0000-000034000000}"/>
    <cellStyle name="쉼표 [0] 22 4 2 2 3" xfId="3322" xr:uid="{00000000-0005-0000-0000-000034000000}"/>
    <cellStyle name="쉼표 [0] 22 4 2 3" xfId="3978" xr:uid="{00000000-0005-0000-0000-000034000000}"/>
    <cellStyle name="쉼표 [0] 22 4 2 4" xfId="2265" xr:uid="{00000000-0005-0000-0000-000034000000}"/>
    <cellStyle name="쉼표 [0] 22 4 3" xfId="1201" xr:uid="{00000000-0005-0000-0000-000034000000}"/>
    <cellStyle name="쉼표 [0] 22 4 3 2" xfId="4628" xr:uid="{00000000-0005-0000-0000-000034000000}"/>
    <cellStyle name="쉼표 [0] 22 4 3 3" xfId="2915" xr:uid="{00000000-0005-0000-0000-000034000000}"/>
    <cellStyle name="쉼표 [0] 22 4 4" xfId="959" xr:uid="{00000000-0005-0000-0000-000034000000}"/>
    <cellStyle name="쉼표 [0] 22 4 4 2" xfId="4387" xr:uid="{00000000-0005-0000-0000-000034000000}"/>
    <cellStyle name="쉼표 [0] 22 4 4 3" xfId="2674" xr:uid="{00000000-0005-0000-0000-000034000000}"/>
    <cellStyle name="쉼표 [0] 22 4 5" xfId="3570" xr:uid="{00000000-0005-0000-0000-000034000000}"/>
    <cellStyle name="쉼표 [0] 22 4 6" xfId="1857" xr:uid="{00000000-0005-0000-0000-000034000000}"/>
    <cellStyle name="쉼표 [0] 22 5" xfId="467" xr:uid="{00000000-0005-0000-0000-000034000000}"/>
    <cellStyle name="쉼표 [0] 22 5 2" xfId="1527" xr:uid="{00000000-0005-0000-0000-000034000000}"/>
    <cellStyle name="쉼표 [0] 22 5 2 2" xfId="4953" xr:uid="{00000000-0005-0000-0000-000034000000}"/>
    <cellStyle name="쉼표 [0] 22 5 2 3" xfId="3240" xr:uid="{00000000-0005-0000-0000-000034000000}"/>
    <cellStyle name="쉼표 [0] 22 5 3" xfId="877" xr:uid="{00000000-0005-0000-0000-000034000000}"/>
    <cellStyle name="쉼표 [0] 22 5 3 2" xfId="4305" xr:uid="{00000000-0005-0000-0000-000034000000}"/>
    <cellStyle name="쉼표 [0] 22 5 3 3" xfId="2592" xr:uid="{00000000-0005-0000-0000-000034000000}"/>
    <cellStyle name="쉼표 [0] 22 5 4" xfId="3896" xr:uid="{00000000-0005-0000-0000-000034000000}"/>
    <cellStyle name="쉼표 [0] 22 5 5" xfId="2183" xr:uid="{00000000-0005-0000-0000-000034000000}"/>
    <cellStyle name="쉼표 [0] 22 6" xfId="304" xr:uid="{00000000-0005-0000-0000-000034000000}"/>
    <cellStyle name="쉼표 [0] 22 6 2" xfId="1364" xr:uid="{00000000-0005-0000-0000-000034000000}"/>
    <cellStyle name="쉼표 [0] 22 6 2 2" xfId="4791" xr:uid="{00000000-0005-0000-0000-000034000000}"/>
    <cellStyle name="쉼표 [0] 22 6 2 3" xfId="3078" xr:uid="{00000000-0005-0000-0000-000034000000}"/>
    <cellStyle name="쉼표 [0] 22 6 3" xfId="3734" xr:uid="{00000000-0005-0000-0000-000034000000}"/>
    <cellStyle name="쉼표 [0] 22 6 4" xfId="2021" xr:uid="{00000000-0005-0000-0000-000034000000}"/>
    <cellStyle name="쉼표 [0] 22 7" xfId="1122" xr:uid="{00000000-0005-0000-0000-000034000000}"/>
    <cellStyle name="쉼표 [0] 22 7 2" xfId="4549" xr:uid="{00000000-0005-0000-0000-000034000000}"/>
    <cellStyle name="쉼표 [0] 22 7 3" xfId="2836" xr:uid="{00000000-0005-0000-0000-000034000000}"/>
    <cellStyle name="쉼표 [0] 22 8" xfId="715" xr:uid="{00000000-0005-0000-0000-000034000000}"/>
    <cellStyle name="쉼표 [0] 22 8 2" xfId="4143" xr:uid="{00000000-0005-0000-0000-000034000000}"/>
    <cellStyle name="쉼표 [0] 22 8 3" xfId="2430" xr:uid="{00000000-0005-0000-0000-000034000000}"/>
    <cellStyle name="쉼표 [0] 22 9" xfId="3488" xr:uid="{00000000-0005-0000-0000-000034000000}"/>
    <cellStyle name="쉼표 [0] 23" xfId="20" xr:uid="{00000000-0005-0000-0000-000036000000}"/>
    <cellStyle name="쉼표 [0] 23 10" xfId="1772" xr:uid="{00000000-0005-0000-0000-000036000000}"/>
    <cellStyle name="쉼표 [0] 23 2" xfId="86" xr:uid="{00000000-0005-0000-0000-000036000000}"/>
    <cellStyle name="쉼표 [0] 23 2 2" xfId="253" xr:uid="{00000000-0005-0000-0000-000036000000}"/>
    <cellStyle name="쉼표 [0] 23 2 2 2" xfId="664" xr:uid="{00000000-0005-0000-0000-000036000000}"/>
    <cellStyle name="쉼표 [0] 23 2 2 2 2" xfId="1724" xr:uid="{00000000-0005-0000-0000-000036000000}"/>
    <cellStyle name="쉼표 [0] 23 2 2 2 2 2" xfId="5150" xr:uid="{00000000-0005-0000-0000-000036000000}"/>
    <cellStyle name="쉼표 [0] 23 2 2 2 2 3" xfId="3437" xr:uid="{00000000-0005-0000-0000-000036000000}"/>
    <cellStyle name="쉼표 [0] 23 2 2 2 3" xfId="1074" xr:uid="{00000000-0005-0000-0000-000036000000}"/>
    <cellStyle name="쉼표 [0] 23 2 2 2 3 2" xfId="4502" xr:uid="{00000000-0005-0000-0000-000036000000}"/>
    <cellStyle name="쉼표 [0] 23 2 2 2 3 3" xfId="2789" xr:uid="{00000000-0005-0000-0000-000036000000}"/>
    <cellStyle name="쉼표 [0] 23 2 2 2 4" xfId="4093" xr:uid="{00000000-0005-0000-0000-000036000000}"/>
    <cellStyle name="쉼표 [0] 23 2 2 2 5" xfId="2380" xr:uid="{00000000-0005-0000-0000-000036000000}"/>
    <cellStyle name="쉼표 [0] 23 2 2 3" xfId="419" xr:uid="{00000000-0005-0000-0000-000036000000}"/>
    <cellStyle name="쉼표 [0] 23 2 2 3 2" xfId="1479" xr:uid="{00000000-0005-0000-0000-000036000000}"/>
    <cellStyle name="쉼표 [0] 23 2 2 3 2 2" xfId="4906" xr:uid="{00000000-0005-0000-0000-000036000000}"/>
    <cellStyle name="쉼표 [0] 23 2 2 3 2 3" xfId="3193" xr:uid="{00000000-0005-0000-0000-000036000000}"/>
    <cellStyle name="쉼표 [0] 23 2 2 3 3" xfId="3849" xr:uid="{00000000-0005-0000-0000-000036000000}"/>
    <cellStyle name="쉼표 [0] 23 2 2 3 4" xfId="2136" xr:uid="{00000000-0005-0000-0000-000036000000}"/>
    <cellStyle name="쉼표 [0] 23 2 2 4" xfId="1315" xr:uid="{00000000-0005-0000-0000-000036000000}"/>
    <cellStyle name="쉼표 [0] 23 2 2 4 2" xfId="4742" xr:uid="{00000000-0005-0000-0000-000036000000}"/>
    <cellStyle name="쉼표 [0] 23 2 2 4 3" xfId="3029" xr:uid="{00000000-0005-0000-0000-000036000000}"/>
    <cellStyle name="쉼표 [0] 23 2 2 5" xfId="830" xr:uid="{00000000-0005-0000-0000-000036000000}"/>
    <cellStyle name="쉼표 [0] 23 2 2 5 2" xfId="4258" xr:uid="{00000000-0005-0000-0000-000036000000}"/>
    <cellStyle name="쉼표 [0] 23 2 2 5 3" xfId="2545" xr:uid="{00000000-0005-0000-0000-000036000000}"/>
    <cellStyle name="쉼표 [0] 23 2 2 6" xfId="3685" xr:uid="{00000000-0005-0000-0000-000036000000}"/>
    <cellStyle name="쉼표 [0] 23 2 2 7" xfId="1972" xr:uid="{00000000-0005-0000-0000-000036000000}"/>
    <cellStyle name="쉼표 [0] 23 2 3" xfId="171" xr:uid="{00000000-0005-0000-0000-000036000000}"/>
    <cellStyle name="쉼표 [0] 23 2 3 2" xfId="582" xr:uid="{00000000-0005-0000-0000-000036000000}"/>
    <cellStyle name="쉼표 [0] 23 2 3 2 2" xfId="1642" xr:uid="{00000000-0005-0000-0000-000036000000}"/>
    <cellStyle name="쉼표 [0] 23 2 3 2 2 2" xfId="5068" xr:uid="{00000000-0005-0000-0000-000036000000}"/>
    <cellStyle name="쉼표 [0] 23 2 3 2 2 3" xfId="3355" xr:uid="{00000000-0005-0000-0000-000036000000}"/>
    <cellStyle name="쉼표 [0] 23 2 3 2 3" xfId="4011" xr:uid="{00000000-0005-0000-0000-000036000000}"/>
    <cellStyle name="쉼표 [0] 23 2 3 2 4" xfId="2298" xr:uid="{00000000-0005-0000-0000-000036000000}"/>
    <cellStyle name="쉼표 [0] 23 2 3 3" xfId="1234" xr:uid="{00000000-0005-0000-0000-000036000000}"/>
    <cellStyle name="쉼표 [0] 23 2 3 3 2" xfId="4661" xr:uid="{00000000-0005-0000-0000-000036000000}"/>
    <cellStyle name="쉼표 [0] 23 2 3 3 3" xfId="2948" xr:uid="{00000000-0005-0000-0000-000036000000}"/>
    <cellStyle name="쉼표 [0] 23 2 3 4" xfId="992" xr:uid="{00000000-0005-0000-0000-000036000000}"/>
    <cellStyle name="쉼표 [0] 23 2 3 4 2" xfId="4420" xr:uid="{00000000-0005-0000-0000-000036000000}"/>
    <cellStyle name="쉼표 [0] 23 2 3 4 3" xfId="2707" xr:uid="{00000000-0005-0000-0000-000036000000}"/>
    <cellStyle name="쉼표 [0] 23 2 3 5" xfId="3603" xr:uid="{00000000-0005-0000-0000-000036000000}"/>
    <cellStyle name="쉼표 [0] 23 2 3 6" xfId="1890" xr:uid="{00000000-0005-0000-0000-000036000000}"/>
    <cellStyle name="쉼표 [0] 23 2 4" xfId="500" xr:uid="{00000000-0005-0000-0000-000036000000}"/>
    <cellStyle name="쉼표 [0] 23 2 4 2" xfId="1560" xr:uid="{00000000-0005-0000-0000-000036000000}"/>
    <cellStyle name="쉼표 [0] 23 2 4 2 2" xfId="4986" xr:uid="{00000000-0005-0000-0000-000036000000}"/>
    <cellStyle name="쉼표 [0] 23 2 4 2 3" xfId="3273" xr:uid="{00000000-0005-0000-0000-000036000000}"/>
    <cellStyle name="쉼표 [0] 23 2 4 3" xfId="910" xr:uid="{00000000-0005-0000-0000-000036000000}"/>
    <cellStyle name="쉼표 [0] 23 2 4 3 2" xfId="4338" xr:uid="{00000000-0005-0000-0000-000036000000}"/>
    <cellStyle name="쉼표 [0] 23 2 4 3 3" xfId="2625" xr:uid="{00000000-0005-0000-0000-000036000000}"/>
    <cellStyle name="쉼표 [0] 23 2 4 4" xfId="3929" xr:uid="{00000000-0005-0000-0000-000036000000}"/>
    <cellStyle name="쉼표 [0] 23 2 4 5" xfId="2216" xr:uid="{00000000-0005-0000-0000-000036000000}"/>
    <cellStyle name="쉼표 [0] 23 2 5" xfId="337" xr:uid="{00000000-0005-0000-0000-000036000000}"/>
    <cellStyle name="쉼표 [0] 23 2 5 2" xfId="1397" xr:uid="{00000000-0005-0000-0000-000036000000}"/>
    <cellStyle name="쉼표 [0] 23 2 5 2 2" xfId="4824" xr:uid="{00000000-0005-0000-0000-000036000000}"/>
    <cellStyle name="쉼표 [0] 23 2 5 2 3" xfId="3111" xr:uid="{00000000-0005-0000-0000-000036000000}"/>
    <cellStyle name="쉼표 [0] 23 2 5 3" xfId="3767" xr:uid="{00000000-0005-0000-0000-000036000000}"/>
    <cellStyle name="쉼표 [0] 23 2 5 4" xfId="2054" xr:uid="{00000000-0005-0000-0000-000036000000}"/>
    <cellStyle name="쉼표 [0] 23 2 6" xfId="1155" xr:uid="{00000000-0005-0000-0000-000036000000}"/>
    <cellStyle name="쉼표 [0] 23 2 6 2" xfId="4582" xr:uid="{00000000-0005-0000-0000-000036000000}"/>
    <cellStyle name="쉼표 [0] 23 2 6 3" xfId="2869" xr:uid="{00000000-0005-0000-0000-000036000000}"/>
    <cellStyle name="쉼표 [0] 23 2 7" xfId="748" xr:uid="{00000000-0005-0000-0000-000036000000}"/>
    <cellStyle name="쉼표 [0] 23 2 7 2" xfId="4176" xr:uid="{00000000-0005-0000-0000-000036000000}"/>
    <cellStyle name="쉼표 [0] 23 2 7 3" xfId="2463" xr:uid="{00000000-0005-0000-0000-000036000000}"/>
    <cellStyle name="쉼표 [0] 23 2 8" xfId="3521" xr:uid="{00000000-0005-0000-0000-000036000000}"/>
    <cellStyle name="쉼표 [0] 23 2 9" xfId="1808" xr:uid="{00000000-0005-0000-0000-000036000000}"/>
    <cellStyle name="쉼표 [0] 23 3" xfId="217" xr:uid="{00000000-0005-0000-0000-000036000000}"/>
    <cellStyle name="쉼표 [0] 23 3 2" xfId="628" xr:uid="{00000000-0005-0000-0000-000036000000}"/>
    <cellStyle name="쉼표 [0] 23 3 2 2" xfId="1688" xr:uid="{00000000-0005-0000-0000-000036000000}"/>
    <cellStyle name="쉼표 [0] 23 3 2 2 2" xfId="5114" xr:uid="{00000000-0005-0000-0000-000036000000}"/>
    <cellStyle name="쉼표 [0] 23 3 2 2 3" xfId="3401" xr:uid="{00000000-0005-0000-0000-000036000000}"/>
    <cellStyle name="쉼표 [0] 23 3 2 3" xfId="1038" xr:uid="{00000000-0005-0000-0000-000036000000}"/>
    <cellStyle name="쉼표 [0] 23 3 2 3 2" xfId="4466" xr:uid="{00000000-0005-0000-0000-000036000000}"/>
    <cellStyle name="쉼표 [0] 23 3 2 3 3" xfId="2753" xr:uid="{00000000-0005-0000-0000-000036000000}"/>
    <cellStyle name="쉼표 [0] 23 3 2 4" xfId="4057" xr:uid="{00000000-0005-0000-0000-000036000000}"/>
    <cellStyle name="쉼표 [0] 23 3 2 5" xfId="2344" xr:uid="{00000000-0005-0000-0000-000036000000}"/>
    <cellStyle name="쉼표 [0] 23 3 3" xfId="383" xr:uid="{00000000-0005-0000-0000-000036000000}"/>
    <cellStyle name="쉼표 [0] 23 3 3 2" xfId="1443" xr:uid="{00000000-0005-0000-0000-000036000000}"/>
    <cellStyle name="쉼표 [0] 23 3 3 2 2" xfId="4870" xr:uid="{00000000-0005-0000-0000-000036000000}"/>
    <cellStyle name="쉼표 [0] 23 3 3 2 3" xfId="3157" xr:uid="{00000000-0005-0000-0000-000036000000}"/>
    <cellStyle name="쉼표 [0] 23 3 3 3" xfId="3813" xr:uid="{00000000-0005-0000-0000-000036000000}"/>
    <cellStyle name="쉼표 [0] 23 3 3 4" xfId="2100" xr:uid="{00000000-0005-0000-0000-000036000000}"/>
    <cellStyle name="쉼표 [0] 23 3 4" xfId="1279" xr:uid="{00000000-0005-0000-0000-000036000000}"/>
    <cellStyle name="쉼표 [0] 23 3 4 2" xfId="4706" xr:uid="{00000000-0005-0000-0000-000036000000}"/>
    <cellStyle name="쉼표 [0] 23 3 4 3" xfId="2993" xr:uid="{00000000-0005-0000-0000-000036000000}"/>
    <cellStyle name="쉼표 [0] 23 3 5" xfId="794" xr:uid="{00000000-0005-0000-0000-000036000000}"/>
    <cellStyle name="쉼표 [0] 23 3 5 2" xfId="4222" xr:uid="{00000000-0005-0000-0000-000036000000}"/>
    <cellStyle name="쉼표 [0] 23 3 5 3" xfId="2509" xr:uid="{00000000-0005-0000-0000-000036000000}"/>
    <cellStyle name="쉼표 [0] 23 3 6" xfId="3649" xr:uid="{00000000-0005-0000-0000-000036000000}"/>
    <cellStyle name="쉼표 [0] 23 3 7" xfId="1936" xr:uid="{00000000-0005-0000-0000-000036000000}"/>
    <cellStyle name="쉼표 [0] 23 4" xfId="135" xr:uid="{00000000-0005-0000-0000-000036000000}"/>
    <cellStyle name="쉼표 [0] 23 4 2" xfId="546" xr:uid="{00000000-0005-0000-0000-000036000000}"/>
    <cellStyle name="쉼표 [0] 23 4 2 2" xfId="1606" xr:uid="{00000000-0005-0000-0000-000036000000}"/>
    <cellStyle name="쉼표 [0] 23 4 2 2 2" xfId="5032" xr:uid="{00000000-0005-0000-0000-000036000000}"/>
    <cellStyle name="쉼표 [0] 23 4 2 2 3" xfId="3319" xr:uid="{00000000-0005-0000-0000-000036000000}"/>
    <cellStyle name="쉼표 [0] 23 4 2 3" xfId="3975" xr:uid="{00000000-0005-0000-0000-000036000000}"/>
    <cellStyle name="쉼표 [0] 23 4 2 4" xfId="2262" xr:uid="{00000000-0005-0000-0000-000036000000}"/>
    <cellStyle name="쉼표 [0] 23 4 3" xfId="1198" xr:uid="{00000000-0005-0000-0000-000036000000}"/>
    <cellStyle name="쉼표 [0] 23 4 3 2" xfId="4625" xr:uid="{00000000-0005-0000-0000-000036000000}"/>
    <cellStyle name="쉼표 [0] 23 4 3 3" xfId="2912" xr:uid="{00000000-0005-0000-0000-000036000000}"/>
    <cellStyle name="쉼표 [0] 23 4 4" xfId="956" xr:uid="{00000000-0005-0000-0000-000036000000}"/>
    <cellStyle name="쉼표 [0] 23 4 4 2" xfId="4384" xr:uid="{00000000-0005-0000-0000-000036000000}"/>
    <cellStyle name="쉼표 [0] 23 4 4 3" xfId="2671" xr:uid="{00000000-0005-0000-0000-000036000000}"/>
    <cellStyle name="쉼표 [0] 23 4 5" xfId="3567" xr:uid="{00000000-0005-0000-0000-000036000000}"/>
    <cellStyle name="쉼표 [0] 23 4 6" xfId="1854" xr:uid="{00000000-0005-0000-0000-000036000000}"/>
    <cellStyle name="쉼표 [0] 23 5" xfId="464" xr:uid="{00000000-0005-0000-0000-000036000000}"/>
    <cellStyle name="쉼표 [0] 23 5 2" xfId="1524" xr:uid="{00000000-0005-0000-0000-000036000000}"/>
    <cellStyle name="쉼표 [0] 23 5 2 2" xfId="4950" xr:uid="{00000000-0005-0000-0000-000036000000}"/>
    <cellStyle name="쉼표 [0] 23 5 2 3" xfId="3237" xr:uid="{00000000-0005-0000-0000-000036000000}"/>
    <cellStyle name="쉼표 [0] 23 5 3" xfId="874" xr:uid="{00000000-0005-0000-0000-000036000000}"/>
    <cellStyle name="쉼표 [0] 23 5 3 2" xfId="4302" xr:uid="{00000000-0005-0000-0000-000036000000}"/>
    <cellStyle name="쉼표 [0] 23 5 3 3" xfId="2589" xr:uid="{00000000-0005-0000-0000-000036000000}"/>
    <cellStyle name="쉼표 [0] 23 5 4" xfId="3893" xr:uid="{00000000-0005-0000-0000-000036000000}"/>
    <cellStyle name="쉼표 [0] 23 5 5" xfId="2180" xr:uid="{00000000-0005-0000-0000-000036000000}"/>
    <cellStyle name="쉼표 [0] 23 6" xfId="301" xr:uid="{00000000-0005-0000-0000-000036000000}"/>
    <cellStyle name="쉼표 [0] 23 6 2" xfId="1361" xr:uid="{00000000-0005-0000-0000-000036000000}"/>
    <cellStyle name="쉼표 [0] 23 6 2 2" xfId="4788" xr:uid="{00000000-0005-0000-0000-000036000000}"/>
    <cellStyle name="쉼표 [0] 23 6 2 3" xfId="3075" xr:uid="{00000000-0005-0000-0000-000036000000}"/>
    <cellStyle name="쉼표 [0] 23 6 3" xfId="3731" xr:uid="{00000000-0005-0000-0000-000036000000}"/>
    <cellStyle name="쉼표 [0] 23 6 4" xfId="2018" xr:uid="{00000000-0005-0000-0000-000036000000}"/>
    <cellStyle name="쉼표 [0] 23 7" xfId="1119" xr:uid="{00000000-0005-0000-0000-000036000000}"/>
    <cellStyle name="쉼표 [0] 23 7 2" xfId="4546" xr:uid="{00000000-0005-0000-0000-000036000000}"/>
    <cellStyle name="쉼표 [0] 23 7 3" xfId="2833" xr:uid="{00000000-0005-0000-0000-000036000000}"/>
    <cellStyle name="쉼표 [0] 23 8" xfId="712" xr:uid="{00000000-0005-0000-0000-000036000000}"/>
    <cellStyle name="쉼표 [0] 23 8 2" xfId="4140" xr:uid="{00000000-0005-0000-0000-000036000000}"/>
    <cellStyle name="쉼표 [0] 23 8 3" xfId="2427" xr:uid="{00000000-0005-0000-0000-000036000000}"/>
    <cellStyle name="쉼표 [0] 23 9" xfId="3485" xr:uid="{00000000-0005-0000-0000-000036000000}"/>
    <cellStyle name="쉼표 [0] 24" xfId="15" xr:uid="{00000000-0005-0000-0000-000039000000}"/>
    <cellStyle name="쉼표 [0] 24 10" xfId="1768" xr:uid="{00000000-0005-0000-0000-000039000000}"/>
    <cellStyle name="쉼표 [0] 24 2" xfId="119" xr:uid="{A2FA1A07-5862-42A6-842B-6804CDC9419B}"/>
    <cellStyle name="쉼표 [0] 24 2 2" xfId="286" xr:uid="{A2FA1A07-5862-42A6-842B-6804CDC9419B}"/>
    <cellStyle name="쉼표 [0] 24 2 2 2" xfId="697" xr:uid="{A2FA1A07-5862-42A6-842B-6804CDC9419B}"/>
    <cellStyle name="쉼표 [0] 24 2 2 2 2" xfId="1757" xr:uid="{A2FA1A07-5862-42A6-842B-6804CDC9419B}"/>
    <cellStyle name="쉼표 [0] 24 2 2 2 2 2" xfId="5183" xr:uid="{A2FA1A07-5862-42A6-842B-6804CDC9419B}"/>
    <cellStyle name="쉼표 [0] 24 2 2 2 2 3" xfId="3470" xr:uid="{A2FA1A07-5862-42A6-842B-6804CDC9419B}"/>
    <cellStyle name="쉼표 [0] 24 2 2 2 3" xfId="1107" xr:uid="{A2FA1A07-5862-42A6-842B-6804CDC9419B}"/>
    <cellStyle name="쉼표 [0] 24 2 2 2 3 2" xfId="4535" xr:uid="{A2FA1A07-5862-42A6-842B-6804CDC9419B}"/>
    <cellStyle name="쉼표 [0] 24 2 2 2 3 3" xfId="2822" xr:uid="{A2FA1A07-5862-42A6-842B-6804CDC9419B}"/>
    <cellStyle name="쉼표 [0] 24 2 2 2 4" xfId="4126" xr:uid="{A2FA1A07-5862-42A6-842B-6804CDC9419B}"/>
    <cellStyle name="쉼표 [0] 24 2 2 2 5" xfId="2413" xr:uid="{A2FA1A07-5862-42A6-842B-6804CDC9419B}"/>
    <cellStyle name="쉼표 [0] 24 2 2 3" xfId="452" xr:uid="{A2FA1A07-5862-42A6-842B-6804CDC9419B}"/>
    <cellStyle name="쉼표 [0] 24 2 2 3 2" xfId="1512" xr:uid="{A2FA1A07-5862-42A6-842B-6804CDC9419B}"/>
    <cellStyle name="쉼표 [0] 24 2 2 3 2 2" xfId="4939" xr:uid="{A2FA1A07-5862-42A6-842B-6804CDC9419B}"/>
    <cellStyle name="쉼표 [0] 24 2 2 3 2 3" xfId="3226" xr:uid="{A2FA1A07-5862-42A6-842B-6804CDC9419B}"/>
    <cellStyle name="쉼표 [0] 24 2 2 3 3" xfId="3882" xr:uid="{A2FA1A07-5862-42A6-842B-6804CDC9419B}"/>
    <cellStyle name="쉼표 [0] 24 2 2 3 4" xfId="2169" xr:uid="{A2FA1A07-5862-42A6-842B-6804CDC9419B}"/>
    <cellStyle name="쉼표 [0] 24 2 2 4" xfId="1348" xr:uid="{A2FA1A07-5862-42A6-842B-6804CDC9419B}"/>
    <cellStyle name="쉼표 [0] 24 2 2 4 2" xfId="4775" xr:uid="{A2FA1A07-5862-42A6-842B-6804CDC9419B}"/>
    <cellStyle name="쉼표 [0] 24 2 2 4 3" xfId="3062" xr:uid="{A2FA1A07-5862-42A6-842B-6804CDC9419B}"/>
    <cellStyle name="쉼표 [0] 24 2 2 5" xfId="863" xr:uid="{A2FA1A07-5862-42A6-842B-6804CDC9419B}"/>
    <cellStyle name="쉼표 [0] 24 2 2 5 2" xfId="4291" xr:uid="{A2FA1A07-5862-42A6-842B-6804CDC9419B}"/>
    <cellStyle name="쉼표 [0] 24 2 2 5 3" xfId="2578" xr:uid="{A2FA1A07-5862-42A6-842B-6804CDC9419B}"/>
    <cellStyle name="쉼표 [0] 24 2 2 6" xfId="3718" xr:uid="{A2FA1A07-5862-42A6-842B-6804CDC9419B}"/>
    <cellStyle name="쉼표 [0] 24 2 2 7" xfId="2005" xr:uid="{A2FA1A07-5862-42A6-842B-6804CDC9419B}"/>
    <cellStyle name="쉼표 [0] 24 2 3" xfId="204" xr:uid="{A2FA1A07-5862-42A6-842B-6804CDC9419B}"/>
    <cellStyle name="쉼표 [0] 24 2 3 2" xfId="615" xr:uid="{A2FA1A07-5862-42A6-842B-6804CDC9419B}"/>
    <cellStyle name="쉼표 [0] 24 2 3 2 2" xfId="1675" xr:uid="{A2FA1A07-5862-42A6-842B-6804CDC9419B}"/>
    <cellStyle name="쉼표 [0] 24 2 3 2 2 2" xfId="5101" xr:uid="{A2FA1A07-5862-42A6-842B-6804CDC9419B}"/>
    <cellStyle name="쉼표 [0] 24 2 3 2 2 3" xfId="3388" xr:uid="{A2FA1A07-5862-42A6-842B-6804CDC9419B}"/>
    <cellStyle name="쉼표 [0] 24 2 3 2 3" xfId="4044" xr:uid="{A2FA1A07-5862-42A6-842B-6804CDC9419B}"/>
    <cellStyle name="쉼표 [0] 24 2 3 2 4" xfId="2331" xr:uid="{A2FA1A07-5862-42A6-842B-6804CDC9419B}"/>
    <cellStyle name="쉼표 [0] 24 2 3 3" xfId="1267" xr:uid="{A2FA1A07-5862-42A6-842B-6804CDC9419B}"/>
    <cellStyle name="쉼표 [0] 24 2 3 3 2" xfId="4694" xr:uid="{A2FA1A07-5862-42A6-842B-6804CDC9419B}"/>
    <cellStyle name="쉼표 [0] 24 2 3 3 3" xfId="2981" xr:uid="{A2FA1A07-5862-42A6-842B-6804CDC9419B}"/>
    <cellStyle name="쉼표 [0] 24 2 3 4" xfId="1025" xr:uid="{A2FA1A07-5862-42A6-842B-6804CDC9419B}"/>
    <cellStyle name="쉼표 [0] 24 2 3 4 2" xfId="4453" xr:uid="{A2FA1A07-5862-42A6-842B-6804CDC9419B}"/>
    <cellStyle name="쉼표 [0] 24 2 3 4 3" xfId="2740" xr:uid="{A2FA1A07-5862-42A6-842B-6804CDC9419B}"/>
    <cellStyle name="쉼표 [0] 24 2 3 5" xfId="3636" xr:uid="{A2FA1A07-5862-42A6-842B-6804CDC9419B}"/>
    <cellStyle name="쉼표 [0] 24 2 3 6" xfId="1923" xr:uid="{A2FA1A07-5862-42A6-842B-6804CDC9419B}"/>
    <cellStyle name="쉼표 [0] 24 2 4" xfId="533" xr:uid="{A2FA1A07-5862-42A6-842B-6804CDC9419B}"/>
    <cellStyle name="쉼표 [0] 24 2 4 2" xfId="1593" xr:uid="{A2FA1A07-5862-42A6-842B-6804CDC9419B}"/>
    <cellStyle name="쉼표 [0] 24 2 4 2 2" xfId="5019" xr:uid="{A2FA1A07-5862-42A6-842B-6804CDC9419B}"/>
    <cellStyle name="쉼표 [0] 24 2 4 2 3" xfId="3306" xr:uid="{A2FA1A07-5862-42A6-842B-6804CDC9419B}"/>
    <cellStyle name="쉼표 [0] 24 2 4 3" xfId="943" xr:uid="{A2FA1A07-5862-42A6-842B-6804CDC9419B}"/>
    <cellStyle name="쉼표 [0] 24 2 4 3 2" xfId="4371" xr:uid="{A2FA1A07-5862-42A6-842B-6804CDC9419B}"/>
    <cellStyle name="쉼표 [0] 24 2 4 3 3" xfId="2658" xr:uid="{A2FA1A07-5862-42A6-842B-6804CDC9419B}"/>
    <cellStyle name="쉼표 [0] 24 2 4 4" xfId="3962" xr:uid="{A2FA1A07-5862-42A6-842B-6804CDC9419B}"/>
    <cellStyle name="쉼표 [0] 24 2 4 5" xfId="2249" xr:uid="{A2FA1A07-5862-42A6-842B-6804CDC9419B}"/>
    <cellStyle name="쉼표 [0] 24 2 5" xfId="370" xr:uid="{A2FA1A07-5862-42A6-842B-6804CDC9419B}"/>
    <cellStyle name="쉼표 [0] 24 2 5 2" xfId="1430" xr:uid="{A2FA1A07-5862-42A6-842B-6804CDC9419B}"/>
    <cellStyle name="쉼표 [0] 24 2 5 2 2" xfId="4857" xr:uid="{A2FA1A07-5862-42A6-842B-6804CDC9419B}"/>
    <cellStyle name="쉼표 [0] 24 2 5 2 3" xfId="3144" xr:uid="{A2FA1A07-5862-42A6-842B-6804CDC9419B}"/>
    <cellStyle name="쉼표 [0] 24 2 5 3" xfId="3800" xr:uid="{A2FA1A07-5862-42A6-842B-6804CDC9419B}"/>
    <cellStyle name="쉼표 [0] 24 2 5 4" xfId="2087" xr:uid="{A2FA1A07-5862-42A6-842B-6804CDC9419B}"/>
    <cellStyle name="쉼표 [0] 24 2 6" xfId="1188" xr:uid="{A2FA1A07-5862-42A6-842B-6804CDC9419B}"/>
    <cellStyle name="쉼표 [0] 24 2 6 2" xfId="4615" xr:uid="{A2FA1A07-5862-42A6-842B-6804CDC9419B}"/>
    <cellStyle name="쉼표 [0] 24 2 6 3" xfId="2902" xr:uid="{A2FA1A07-5862-42A6-842B-6804CDC9419B}"/>
    <cellStyle name="쉼표 [0] 24 2 7" xfId="781" xr:uid="{A2FA1A07-5862-42A6-842B-6804CDC9419B}"/>
    <cellStyle name="쉼표 [0] 24 2 7 2" xfId="4209" xr:uid="{A2FA1A07-5862-42A6-842B-6804CDC9419B}"/>
    <cellStyle name="쉼표 [0] 24 2 7 3" xfId="2496" xr:uid="{A2FA1A07-5862-42A6-842B-6804CDC9419B}"/>
    <cellStyle name="쉼표 [0] 24 2 8" xfId="3554" xr:uid="{A2FA1A07-5862-42A6-842B-6804CDC9419B}"/>
    <cellStyle name="쉼표 [0] 24 2 9" xfId="1841" xr:uid="{A2FA1A07-5862-42A6-842B-6804CDC9419B}"/>
    <cellStyle name="쉼표 [0] 24 3" xfId="214" xr:uid="{00000000-0005-0000-0000-000039000000}"/>
    <cellStyle name="쉼표 [0] 24 3 2" xfId="625" xr:uid="{00000000-0005-0000-0000-000039000000}"/>
    <cellStyle name="쉼표 [0] 24 3 2 2" xfId="1685" xr:uid="{00000000-0005-0000-0000-000039000000}"/>
    <cellStyle name="쉼표 [0] 24 3 2 2 2" xfId="5111" xr:uid="{00000000-0005-0000-0000-000039000000}"/>
    <cellStyle name="쉼표 [0] 24 3 2 2 3" xfId="3398" xr:uid="{00000000-0005-0000-0000-000039000000}"/>
    <cellStyle name="쉼표 [0] 24 3 2 3" xfId="1035" xr:uid="{00000000-0005-0000-0000-000039000000}"/>
    <cellStyle name="쉼표 [0] 24 3 2 3 2" xfId="4463" xr:uid="{00000000-0005-0000-0000-000039000000}"/>
    <cellStyle name="쉼표 [0] 24 3 2 3 3" xfId="2750" xr:uid="{00000000-0005-0000-0000-000039000000}"/>
    <cellStyle name="쉼표 [0] 24 3 2 4" xfId="4054" xr:uid="{00000000-0005-0000-0000-000039000000}"/>
    <cellStyle name="쉼표 [0] 24 3 2 5" xfId="2341" xr:uid="{00000000-0005-0000-0000-000039000000}"/>
    <cellStyle name="쉼표 [0] 24 3 3" xfId="380" xr:uid="{00000000-0005-0000-0000-000039000000}"/>
    <cellStyle name="쉼표 [0] 24 3 3 2" xfId="1440" xr:uid="{00000000-0005-0000-0000-000039000000}"/>
    <cellStyle name="쉼표 [0] 24 3 3 2 2" xfId="4867" xr:uid="{00000000-0005-0000-0000-000039000000}"/>
    <cellStyle name="쉼표 [0] 24 3 3 2 3" xfId="3154" xr:uid="{00000000-0005-0000-0000-000039000000}"/>
    <cellStyle name="쉼표 [0] 24 3 3 3" xfId="3810" xr:uid="{00000000-0005-0000-0000-000039000000}"/>
    <cellStyle name="쉼표 [0] 24 3 3 4" xfId="2097" xr:uid="{00000000-0005-0000-0000-000039000000}"/>
    <cellStyle name="쉼표 [0] 24 3 4" xfId="1276" xr:uid="{00000000-0005-0000-0000-000039000000}"/>
    <cellStyle name="쉼표 [0] 24 3 4 2" xfId="4703" xr:uid="{00000000-0005-0000-0000-000039000000}"/>
    <cellStyle name="쉼표 [0] 24 3 4 3" xfId="2990" xr:uid="{00000000-0005-0000-0000-000039000000}"/>
    <cellStyle name="쉼표 [0] 24 3 5" xfId="791" xr:uid="{00000000-0005-0000-0000-000039000000}"/>
    <cellStyle name="쉼표 [0] 24 3 5 2" xfId="4219" xr:uid="{00000000-0005-0000-0000-000039000000}"/>
    <cellStyle name="쉼표 [0] 24 3 5 3" xfId="2506" xr:uid="{00000000-0005-0000-0000-000039000000}"/>
    <cellStyle name="쉼표 [0] 24 3 6" xfId="3646" xr:uid="{00000000-0005-0000-0000-000039000000}"/>
    <cellStyle name="쉼표 [0] 24 3 7" xfId="1933" xr:uid="{00000000-0005-0000-0000-000039000000}"/>
    <cellStyle name="쉼표 [0] 24 4" xfId="131" xr:uid="{00000000-0005-0000-0000-000039000000}"/>
    <cellStyle name="쉼표 [0] 24 4 2" xfId="542" xr:uid="{00000000-0005-0000-0000-000039000000}"/>
    <cellStyle name="쉼표 [0] 24 4 2 2" xfId="1602" xr:uid="{00000000-0005-0000-0000-000039000000}"/>
    <cellStyle name="쉼표 [0] 24 4 2 2 2" xfId="5028" xr:uid="{00000000-0005-0000-0000-000039000000}"/>
    <cellStyle name="쉼표 [0] 24 4 2 2 3" xfId="3315" xr:uid="{00000000-0005-0000-0000-000039000000}"/>
    <cellStyle name="쉼표 [0] 24 4 2 3" xfId="3971" xr:uid="{00000000-0005-0000-0000-000039000000}"/>
    <cellStyle name="쉼표 [0] 24 4 2 4" xfId="2258" xr:uid="{00000000-0005-0000-0000-000039000000}"/>
    <cellStyle name="쉼표 [0] 24 4 3" xfId="1195" xr:uid="{00000000-0005-0000-0000-000039000000}"/>
    <cellStyle name="쉼표 [0] 24 4 3 2" xfId="4622" xr:uid="{00000000-0005-0000-0000-000039000000}"/>
    <cellStyle name="쉼표 [0] 24 4 3 3" xfId="2909" xr:uid="{00000000-0005-0000-0000-000039000000}"/>
    <cellStyle name="쉼표 [0] 24 4 4" xfId="952" xr:uid="{00000000-0005-0000-0000-000039000000}"/>
    <cellStyle name="쉼표 [0] 24 4 4 2" xfId="4380" xr:uid="{00000000-0005-0000-0000-000039000000}"/>
    <cellStyle name="쉼표 [0] 24 4 4 3" xfId="2667" xr:uid="{00000000-0005-0000-0000-000039000000}"/>
    <cellStyle name="쉼표 [0] 24 4 5" xfId="3563" xr:uid="{00000000-0005-0000-0000-000039000000}"/>
    <cellStyle name="쉼표 [0] 24 4 6" xfId="1850" xr:uid="{00000000-0005-0000-0000-000039000000}"/>
    <cellStyle name="쉼표 [0] 24 5" xfId="461" xr:uid="{00000000-0005-0000-0000-000039000000}"/>
    <cellStyle name="쉼표 [0] 24 5 2" xfId="1521" xr:uid="{00000000-0005-0000-0000-000039000000}"/>
    <cellStyle name="쉼표 [0] 24 5 2 2" xfId="4947" xr:uid="{00000000-0005-0000-0000-000039000000}"/>
    <cellStyle name="쉼표 [0] 24 5 2 3" xfId="3234" xr:uid="{00000000-0005-0000-0000-000039000000}"/>
    <cellStyle name="쉼표 [0] 24 5 3" xfId="871" xr:uid="{00000000-0005-0000-0000-000039000000}"/>
    <cellStyle name="쉼표 [0] 24 5 3 2" xfId="4299" xr:uid="{00000000-0005-0000-0000-000039000000}"/>
    <cellStyle name="쉼표 [0] 24 5 3 3" xfId="2586" xr:uid="{00000000-0005-0000-0000-000039000000}"/>
    <cellStyle name="쉼표 [0] 24 5 4" xfId="3890" xr:uid="{00000000-0005-0000-0000-000039000000}"/>
    <cellStyle name="쉼표 [0] 24 5 5" xfId="2177" xr:uid="{00000000-0005-0000-0000-000039000000}"/>
    <cellStyle name="쉼표 [0] 24 6" xfId="297" xr:uid="{00000000-0005-0000-0000-000039000000}"/>
    <cellStyle name="쉼표 [0] 24 6 2" xfId="1357" xr:uid="{00000000-0005-0000-0000-000039000000}"/>
    <cellStyle name="쉼표 [0] 24 6 2 2" xfId="4784" xr:uid="{00000000-0005-0000-0000-000039000000}"/>
    <cellStyle name="쉼표 [0] 24 6 2 3" xfId="3071" xr:uid="{00000000-0005-0000-0000-000039000000}"/>
    <cellStyle name="쉼표 [0] 24 6 3" xfId="3727" xr:uid="{00000000-0005-0000-0000-000039000000}"/>
    <cellStyle name="쉼표 [0] 24 6 4" xfId="2014" xr:uid="{00000000-0005-0000-0000-000039000000}"/>
    <cellStyle name="쉼표 [0] 24 7" xfId="1116" xr:uid="{00000000-0005-0000-0000-000039000000}"/>
    <cellStyle name="쉼표 [0] 24 7 2" xfId="4543" xr:uid="{00000000-0005-0000-0000-000039000000}"/>
    <cellStyle name="쉼표 [0] 24 7 3" xfId="2830" xr:uid="{00000000-0005-0000-0000-000039000000}"/>
    <cellStyle name="쉼표 [0] 24 8" xfId="708" xr:uid="{00000000-0005-0000-0000-000039000000}"/>
    <cellStyle name="쉼표 [0] 24 8 2" xfId="4136" xr:uid="{00000000-0005-0000-0000-000039000000}"/>
    <cellStyle name="쉼표 [0] 24 8 3" xfId="2423" xr:uid="{00000000-0005-0000-0000-000039000000}"/>
    <cellStyle name="쉼표 [0] 24 9" xfId="3481" xr:uid="{00000000-0005-0000-0000-000039000000}"/>
    <cellStyle name="쉼표 [0] 25" xfId="83" xr:uid="{00000000-0005-0000-0000-00007C000000}"/>
    <cellStyle name="쉼표 [0] 25 2" xfId="250" xr:uid="{00000000-0005-0000-0000-00007C000000}"/>
    <cellStyle name="쉼표 [0] 25 2 2" xfId="661" xr:uid="{00000000-0005-0000-0000-00007C000000}"/>
    <cellStyle name="쉼표 [0] 25 2 2 2" xfId="1721" xr:uid="{00000000-0005-0000-0000-00007C000000}"/>
    <cellStyle name="쉼표 [0] 25 2 2 2 2" xfId="5147" xr:uid="{00000000-0005-0000-0000-00007C000000}"/>
    <cellStyle name="쉼표 [0] 25 2 2 2 3" xfId="3434" xr:uid="{00000000-0005-0000-0000-00007C000000}"/>
    <cellStyle name="쉼표 [0] 25 2 2 3" xfId="1071" xr:uid="{00000000-0005-0000-0000-00007C000000}"/>
    <cellStyle name="쉼표 [0] 25 2 2 3 2" xfId="4499" xr:uid="{00000000-0005-0000-0000-00007C000000}"/>
    <cellStyle name="쉼표 [0] 25 2 2 3 3" xfId="2786" xr:uid="{00000000-0005-0000-0000-00007C000000}"/>
    <cellStyle name="쉼표 [0] 25 2 2 4" xfId="4090" xr:uid="{00000000-0005-0000-0000-00007C000000}"/>
    <cellStyle name="쉼표 [0] 25 2 2 5" xfId="2377" xr:uid="{00000000-0005-0000-0000-00007C000000}"/>
    <cellStyle name="쉼표 [0] 25 2 3" xfId="416" xr:uid="{00000000-0005-0000-0000-00007C000000}"/>
    <cellStyle name="쉼표 [0] 25 2 3 2" xfId="1476" xr:uid="{00000000-0005-0000-0000-00007C000000}"/>
    <cellStyle name="쉼표 [0] 25 2 3 2 2" xfId="4903" xr:uid="{00000000-0005-0000-0000-00007C000000}"/>
    <cellStyle name="쉼표 [0] 25 2 3 2 3" xfId="3190" xr:uid="{00000000-0005-0000-0000-00007C000000}"/>
    <cellStyle name="쉼표 [0] 25 2 3 3" xfId="3846" xr:uid="{00000000-0005-0000-0000-00007C000000}"/>
    <cellStyle name="쉼표 [0] 25 2 3 4" xfId="2133" xr:uid="{00000000-0005-0000-0000-00007C000000}"/>
    <cellStyle name="쉼표 [0] 25 2 4" xfId="1312" xr:uid="{00000000-0005-0000-0000-00007C000000}"/>
    <cellStyle name="쉼표 [0] 25 2 4 2" xfId="4739" xr:uid="{00000000-0005-0000-0000-00007C000000}"/>
    <cellStyle name="쉼표 [0] 25 2 4 3" xfId="3026" xr:uid="{00000000-0005-0000-0000-00007C000000}"/>
    <cellStyle name="쉼표 [0] 25 2 5" xfId="827" xr:uid="{00000000-0005-0000-0000-00007C000000}"/>
    <cellStyle name="쉼표 [0] 25 2 5 2" xfId="4255" xr:uid="{00000000-0005-0000-0000-00007C000000}"/>
    <cellStyle name="쉼표 [0] 25 2 5 3" xfId="2542" xr:uid="{00000000-0005-0000-0000-00007C000000}"/>
    <cellStyle name="쉼표 [0] 25 2 6" xfId="3682" xr:uid="{00000000-0005-0000-0000-00007C000000}"/>
    <cellStyle name="쉼표 [0] 25 2 7" xfId="1969" xr:uid="{00000000-0005-0000-0000-00007C000000}"/>
    <cellStyle name="쉼표 [0] 25 3" xfId="168" xr:uid="{00000000-0005-0000-0000-00007C000000}"/>
    <cellStyle name="쉼표 [0] 25 3 2" xfId="579" xr:uid="{00000000-0005-0000-0000-00007C000000}"/>
    <cellStyle name="쉼표 [0] 25 3 2 2" xfId="1639" xr:uid="{00000000-0005-0000-0000-00007C000000}"/>
    <cellStyle name="쉼표 [0] 25 3 2 2 2" xfId="5065" xr:uid="{00000000-0005-0000-0000-00007C000000}"/>
    <cellStyle name="쉼표 [0] 25 3 2 2 3" xfId="3352" xr:uid="{00000000-0005-0000-0000-00007C000000}"/>
    <cellStyle name="쉼표 [0] 25 3 2 3" xfId="4008" xr:uid="{00000000-0005-0000-0000-00007C000000}"/>
    <cellStyle name="쉼표 [0] 25 3 2 4" xfId="2295" xr:uid="{00000000-0005-0000-0000-00007C000000}"/>
    <cellStyle name="쉼표 [0] 25 3 3" xfId="1231" xr:uid="{00000000-0005-0000-0000-00007C000000}"/>
    <cellStyle name="쉼표 [0] 25 3 3 2" xfId="4658" xr:uid="{00000000-0005-0000-0000-00007C000000}"/>
    <cellStyle name="쉼표 [0] 25 3 3 3" xfId="2945" xr:uid="{00000000-0005-0000-0000-00007C000000}"/>
    <cellStyle name="쉼표 [0] 25 3 4" xfId="989" xr:uid="{00000000-0005-0000-0000-00007C000000}"/>
    <cellStyle name="쉼표 [0] 25 3 4 2" xfId="4417" xr:uid="{00000000-0005-0000-0000-00007C000000}"/>
    <cellStyle name="쉼표 [0] 25 3 4 3" xfId="2704" xr:uid="{00000000-0005-0000-0000-00007C000000}"/>
    <cellStyle name="쉼표 [0] 25 3 5" xfId="3600" xr:uid="{00000000-0005-0000-0000-00007C000000}"/>
    <cellStyle name="쉼표 [0] 25 3 6" xfId="1887" xr:uid="{00000000-0005-0000-0000-00007C000000}"/>
    <cellStyle name="쉼표 [0] 25 4" xfId="497" xr:uid="{00000000-0005-0000-0000-00007C000000}"/>
    <cellStyle name="쉼표 [0] 25 4 2" xfId="1557" xr:uid="{00000000-0005-0000-0000-00007C000000}"/>
    <cellStyle name="쉼표 [0] 25 4 2 2" xfId="4983" xr:uid="{00000000-0005-0000-0000-00007C000000}"/>
    <cellStyle name="쉼표 [0] 25 4 2 3" xfId="3270" xr:uid="{00000000-0005-0000-0000-00007C000000}"/>
    <cellStyle name="쉼표 [0] 25 4 3" xfId="907" xr:uid="{00000000-0005-0000-0000-00007C000000}"/>
    <cellStyle name="쉼표 [0] 25 4 3 2" xfId="4335" xr:uid="{00000000-0005-0000-0000-00007C000000}"/>
    <cellStyle name="쉼표 [0] 25 4 3 3" xfId="2622" xr:uid="{00000000-0005-0000-0000-00007C000000}"/>
    <cellStyle name="쉼표 [0] 25 4 4" xfId="3926" xr:uid="{00000000-0005-0000-0000-00007C000000}"/>
    <cellStyle name="쉼표 [0] 25 4 5" xfId="2213" xr:uid="{00000000-0005-0000-0000-00007C000000}"/>
    <cellStyle name="쉼표 [0] 25 5" xfId="334" xr:uid="{00000000-0005-0000-0000-00007C000000}"/>
    <cellStyle name="쉼표 [0] 25 5 2" xfId="1394" xr:uid="{00000000-0005-0000-0000-00007C000000}"/>
    <cellStyle name="쉼표 [0] 25 5 2 2" xfId="4821" xr:uid="{00000000-0005-0000-0000-00007C000000}"/>
    <cellStyle name="쉼표 [0] 25 5 2 3" xfId="3108" xr:uid="{00000000-0005-0000-0000-00007C000000}"/>
    <cellStyle name="쉼표 [0] 25 5 3" xfId="3764" xr:uid="{00000000-0005-0000-0000-00007C000000}"/>
    <cellStyle name="쉼표 [0] 25 5 4" xfId="2051" xr:uid="{00000000-0005-0000-0000-00007C000000}"/>
    <cellStyle name="쉼표 [0] 25 6" xfId="1152" xr:uid="{00000000-0005-0000-0000-00007C000000}"/>
    <cellStyle name="쉼표 [0] 25 6 2" xfId="4579" xr:uid="{00000000-0005-0000-0000-00007C000000}"/>
    <cellStyle name="쉼표 [0] 25 6 3" xfId="2866" xr:uid="{00000000-0005-0000-0000-00007C000000}"/>
    <cellStyle name="쉼표 [0] 25 7" xfId="745" xr:uid="{00000000-0005-0000-0000-00007C000000}"/>
    <cellStyle name="쉼표 [0] 25 7 2" xfId="4173" xr:uid="{00000000-0005-0000-0000-00007C000000}"/>
    <cellStyle name="쉼표 [0] 25 7 3" xfId="2460" xr:uid="{00000000-0005-0000-0000-00007C000000}"/>
    <cellStyle name="쉼표 [0] 25 8" xfId="3518" xr:uid="{00000000-0005-0000-0000-00007C000000}"/>
    <cellStyle name="쉼표 [0] 25 9" xfId="1805" xr:uid="{00000000-0005-0000-0000-00007C000000}"/>
    <cellStyle name="쉼표 [0] 26" xfId="121" xr:uid="{00000000-0005-0000-0000-0000A1000000}"/>
    <cellStyle name="쉼표 [0] 26 2" xfId="288" xr:uid="{00000000-0005-0000-0000-0000A1000000}"/>
    <cellStyle name="쉼표 [0] 26 2 2" xfId="698" xr:uid="{00000000-0005-0000-0000-0000A1000000}"/>
    <cellStyle name="쉼표 [0] 26 2 2 2" xfId="1758" xr:uid="{00000000-0005-0000-0000-0000A1000000}"/>
    <cellStyle name="쉼표 [0] 26 2 2 2 2" xfId="5184" xr:uid="{00000000-0005-0000-0000-0000A1000000}"/>
    <cellStyle name="쉼표 [0] 26 2 2 2 3" xfId="3471" xr:uid="{00000000-0005-0000-0000-0000A1000000}"/>
    <cellStyle name="쉼표 [0] 26 2 2 3" xfId="1108" xr:uid="{00000000-0005-0000-0000-0000A1000000}"/>
    <cellStyle name="쉼표 [0] 26 2 2 3 2" xfId="4536" xr:uid="{00000000-0005-0000-0000-0000A1000000}"/>
    <cellStyle name="쉼표 [0] 26 2 2 3 3" xfId="2823" xr:uid="{00000000-0005-0000-0000-0000A1000000}"/>
    <cellStyle name="쉼표 [0] 26 2 2 4" xfId="4127" xr:uid="{00000000-0005-0000-0000-0000A1000000}"/>
    <cellStyle name="쉼표 [0] 26 2 2 5" xfId="2414" xr:uid="{00000000-0005-0000-0000-0000A1000000}"/>
    <cellStyle name="쉼표 [0] 26 2 3" xfId="453" xr:uid="{00000000-0005-0000-0000-0000A1000000}"/>
    <cellStyle name="쉼표 [0] 26 2 3 2" xfId="1513" xr:uid="{00000000-0005-0000-0000-0000A1000000}"/>
    <cellStyle name="쉼표 [0] 26 2 3 2 2" xfId="4940" xr:uid="{00000000-0005-0000-0000-0000A1000000}"/>
    <cellStyle name="쉼표 [0] 26 2 3 2 3" xfId="3227" xr:uid="{00000000-0005-0000-0000-0000A1000000}"/>
    <cellStyle name="쉼표 [0] 26 2 3 3" xfId="3883" xr:uid="{00000000-0005-0000-0000-0000A1000000}"/>
    <cellStyle name="쉼표 [0] 26 2 3 4" xfId="2170" xr:uid="{00000000-0005-0000-0000-0000A1000000}"/>
    <cellStyle name="쉼표 [0] 26 2 4" xfId="1349" xr:uid="{00000000-0005-0000-0000-0000A1000000}"/>
    <cellStyle name="쉼표 [0] 26 2 4 2" xfId="4776" xr:uid="{00000000-0005-0000-0000-0000A1000000}"/>
    <cellStyle name="쉼표 [0] 26 2 4 3" xfId="3063" xr:uid="{00000000-0005-0000-0000-0000A1000000}"/>
    <cellStyle name="쉼표 [0] 26 2 5" xfId="864" xr:uid="{00000000-0005-0000-0000-0000A1000000}"/>
    <cellStyle name="쉼표 [0] 26 2 5 2" xfId="4292" xr:uid="{00000000-0005-0000-0000-0000A1000000}"/>
    <cellStyle name="쉼표 [0] 26 2 5 3" xfId="2579" xr:uid="{00000000-0005-0000-0000-0000A1000000}"/>
    <cellStyle name="쉼표 [0] 26 2 6" xfId="3719" xr:uid="{00000000-0005-0000-0000-0000A1000000}"/>
    <cellStyle name="쉼표 [0] 26 2 7" xfId="2006" xr:uid="{00000000-0005-0000-0000-0000A1000000}"/>
    <cellStyle name="쉼표 [0] 26 3" xfId="205" xr:uid="{00000000-0005-0000-0000-0000A1000000}"/>
    <cellStyle name="쉼표 [0] 26 3 2" xfId="616" xr:uid="{00000000-0005-0000-0000-0000A1000000}"/>
    <cellStyle name="쉼표 [0] 26 3 2 2" xfId="1676" xr:uid="{00000000-0005-0000-0000-0000A1000000}"/>
    <cellStyle name="쉼표 [0] 26 3 2 2 2" xfId="5102" xr:uid="{00000000-0005-0000-0000-0000A1000000}"/>
    <cellStyle name="쉼표 [0] 26 3 2 2 3" xfId="3389" xr:uid="{00000000-0005-0000-0000-0000A1000000}"/>
    <cellStyle name="쉼표 [0] 26 3 2 3" xfId="4045" xr:uid="{00000000-0005-0000-0000-0000A1000000}"/>
    <cellStyle name="쉼표 [0] 26 3 2 4" xfId="2332" xr:uid="{00000000-0005-0000-0000-0000A1000000}"/>
    <cellStyle name="쉼표 [0] 26 3 3" xfId="1268" xr:uid="{00000000-0005-0000-0000-0000A1000000}"/>
    <cellStyle name="쉼표 [0] 26 3 3 2" xfId="4695" xr:uid="{00000000-0005-0000-0000-0000A1000000}"/>
    <cellStyle name="쉼표 [0] 26 3 3 3" xfId="2982" xr:uid="{00000000-0005-0000-0000-0000A1000000}"/>
    <cellStyle name="쉼표 [0] 26 3 4" xfId="1026" xr:uid="{00000000-0005-0000-0000-0000A1000000}"/>
    <cellStyle name="쉼표 [0] 26 3 4 2" xfId="4454" xr:uid="{00000000-0005-0000-0000-0000A1000000}"/>
    <cellStyle name="쉼표 [0] 26 3 4 3" xfId="2741" xr:uid="{00000000-0005-0000-0000-0000A1000000}"/>
    <cellStyle name="쉼표 [0] 26 3 5" xfId="3637" xr:uid="{00000000-0005-0000-0000-0000A1000000}"/>
    <cellStyle name="쉼표 [0] 26 3 6" xfId="1924" xr:uid="{00000000-0005-0000-0000-0000A1000000}"/>
    <cellStyle name="쉼표 [0] 26 4" xfId="534" xr:uid="{00000000-0005-0000-0000-0000A1000000}"/>
    <cellStyle name="쉼표 [0] 26 4 2" xfId="1594" xr:uid="{00000000-0005-0000-0000-0000A1000000}"/>
    <cellStyle name="쉼표 [0] 26 4 2 2" xfId="5020" xr:uid="{00000000-0005-0000-0000-0000A1000000}"/>
    <cellStyle name="쉼표 [0] 26 4 2 3" xfId="3307" xr:uid="{00000000-0005-0000-0000-0000A1000000}"/>
    <cellStyle name="쉼표 [0] 26 4 3" xfId="944" xr:uid="{00000000-0005-0000-0000-0000A1000000}"/>
    <cellStyle name="쉼표 [0] 26 4 3 2" xfId="4372" xr:uid="{00000000-0005-0000-0000-0000A1000000}"/>
    <cellStyle name="쉼표 [0] 26 4 3 3" xfId="2659" xr:uid="{00000000-0005-0000-0000-0000A1000000}"/>
    <cellStyle name="쉼표 [0] 26 4 4" xfId="3963" xr:uid="{00000000-0005-0000-0000-0000A1000000}"/>
    <cellStyle name="쉼표 [0] 26 4 5" xfId="2250" xr:uid="{00000000-0005-0000-0000-0000A1000000}"/>
    <cellStyle name="쉼표 [0] 26 5" xfId="371" xr:uid="{00000000-0005-0000-0000-0000A1000000}"/>
    <cellStyle name="쉼표 [0] 26 5 2" xfId="1431" xr:uid="{00000000-0005-0000-0000-0000A1000000}"/>
    <cellStyle name="쉼표 [0] 26 5 2 2" xfId="4858" xr:uid="{00000000-0005-0000-0000-0000A1000000}"/>
    <cellStyle name="쉼표 [0] 26 5 2 3" xfId="3145" xr:uid="{00000000-0005-0000-0000-0000A1000000}"/>
    <cellStyle name="쉼표 [0] 26 5 3" xfId="3801" xr:uid="{00000000-0005-0000-0000-0000A1000000}"/>
    <cellStyle name="쉼표 [0] 26 5 4" xfId="2088" xr:uid="{00000000-0005-0000-0000-0000A1000000}"/>
    <cellStyle name="쉼표 [0] 26 6" xfId="1189" xr:uid="{00000000-0005-0000-0000-0000A1000000}"/>
    <cellStyle name="쉼표 [0] 26 6 2" xfId="4616" xr:uid="{00000000-0005-0000-0000-0000A1000000}"/>
    <cellStyle name="쉼표 [0] 26 6 3" xfId="2903" xr:uid="{00000000-0005-0000-0000-0000A1000000}"/>
    <cellStyle name="쉼표 [0] 26 7" xfId="782" xr:uid="{00000000-0005-0000-0000-0000A1000000}"/>
    <cellStyle name="쉼표 [0] 26 7 2" xfId="4210" xr:uid="{00000000-0005-0000-0000-0000A1000000}"/>
    <cellStyle name="쉼표 [0] 26 7 3" xfId="2497" xr:uid="{00000000-0005-0000-0000-0000A1000000}"/>
    <cellStyle name="쉼표 [0] 26 8" xfId="3555" xr:uid="{00000000-0005-0000-0000-0000A1000000}"/>
    <cellStyle name="쉼표 [0] 26 9" xfId="1842" xr:uid="{00000000-0005-0000-0000-0000A1000000}"/>
    <cellStyle name="쉼표 [0] 27" xfId="123" xr:uid="{00000000-0005-0000-0000-0000A3000000}"/>
    <cellStyle name="쉼표 [0] 27 2" xfId="290" xr:uid="{00000000-0005-0000-0000-0000A3000000}"/>
    <cellStyle name="쉼표 [0] 27 2 2" xfId="699" xr:uid="{00000000-0005-0000-0000-0000A3000000}"/>
    <cellStyle name="쉼표 [0] 27 2 2 2" xfId="1759" xr:uid="{00000000-0005-0000-0000-0000A3000000}"/>
    <cellStyle name="쉼표 [0] 27 2 2 2 2" xfId="5185" xr:uid="{00000000-0005-0000-0000-0000A3000000}"/>
    <cellStyle name="쉼표 [0] 27 2 2 2 3" xfId="3472" xr:uid="{00000000-0005-0000-0000-0000A3000000}"/>
    <cellStyle name="쉼표 [0] 27 2 2 3" xfId="1109" xr:uid="{00000000-0005-0000-0000-0000A3000000}"/>
    <cellStyle name="쉼표 [0] 27 2 2 3 2" xfId="4537" xr:uid="{00000000-0005-0000-0000-0000A3000000}"/>
    <cellStyle name="쉼표 [0] 27 2 2 3 3" xfId="2824" xr:uid="{00000000-0005-0000-0000-0000A3000000}"/>
    <cellStyle name="쉼표 [0] 27 2 2 4" xfId="4128" xr:uid="{00000000-0005-0000-0000-0000A3000000}"/>
    <cellStyle name="쉼표 [0] 27 2 2 5" xfId="2415" xr:uid="{00000000-0005-0000-0000-0000A3000000}"/>
    <cellStyle name="쉼표 [0] 27 2 3" xfId="454" xr:uid="{00000000-0005-0000-0000-0000A3000000}"/>
    <cellStyle name="쉼표 [0] 27 2 3 2" xfId="1514" xr:uid="{00000000-0005-0000-0000-0000A3000000}"/>
    <cellStyle name="쉼표 [0] 27 2 3 2 2" xfId="4941" xr:uid="{00000000-0005-0000-0000-0000A3000000}"/>
    <cellStyle name="쉼표 [0] 27 2 3 2 3" xfId="3228" xr:uid="{00000000-0005-0000-0000-0000A3000000}"/>
    <cellStyle name="쉼표 [0] 27 2 3 3" xfId="3884" xr:uid="{00000000-0005-0000-0000-0000A3000000}"/>
    <cellStyle name="쉼표 [0] 27 2 3 4" xfId="2171" xr:uid="{00000000-0005-0000-0000-0000A3000000}"/>
    <cellStyle name="쉼표 [0] 27 2 4" xfId="1350" xr:uid="{00000000-0005-0000-0000-0000A3000000}"/>
    <cellStyle name="쉼표 [0] 27 2 4 2" xfId="4777" xr:uid="{00000000-0005-0000-0000-0000A3000000}"/>
    <cellStyle name="쉼표 [0] 27 2 4 3" xfId="3064" xr:uid="{00000000-0005-0000-0000-0000A3000000}"/>
    <cellStyle name="쉼표 [0] 27 2 5" xfId="865" xr:uid="{00000000-0005-0000-0000-0000A3000000}"/>
    <cellStyle name="쉼표 [0] 27 2 5 2" xfId="4293" xr:uid="{00000000-0005-0000-0000-0000A3000000}"/>
    <cellStyle name="쉼표 [0] 27 2 5 3" xfId="2580" xr:uid="{00000000-0005-0000-0000-0000A3000000}"/>
    <cellStyle name="쉼표 [0] 27 2 6" xfId="3720" xr:uid="{00000000-0005-0000-0000-0000A3000000}"/>
    <cellStyle name="쉼표 [0] 27 2 7" xfId="2007" xr:uid="{00000000-0005-0000-0000-0000A3000000}"/>
    <cellStyle name="쉼표 [0] 27 3" xfId="206" xr:uid="{00000000-0005-0000-0000-0000A3000000}"/>
    <cellStyle name="쉼표 [0] 27 3 2" xfId="617" xr:uid="{00000000-0005-0000-0000-0000A3000000}"/>
    <cellStyle name="쉼표 [0] 27 3 2 2" xfId="1677" xr:uid="{00000000-0005-0000-0000-0000A3000000}"/>
    <cellStyle name="쉼표 [0] 27 3 2 2 2" xfId="5103" xr:uid="{00000000-0005-0000-0000-0000A3000000}"/>
    <cellStyle name="쉼표 [0] 27 3 2 2 3" xfId="3390" xr:uid="{00000000-0005-0000-0000-0000A3000000}"/>
    <cellStyle name="쉼표 [0] 27 3 2 3" xfId="4046" xr:uid="{00000000-0005-0000-0000-0000A3000000}"/>
    <cellStyle name="쉼표 [0] 27 3 2 4" xfId="2333" xr:uid="{00000000-0005-0000-0000-0000A3000000}"/>
    <cellStyle name="쉼표 [0] 27 3 3" xfId="1269" xr:uid="{00000000-0005-0000-0000-0000A3000000}"/>
    <cellStyle name="쉼표 [0] 27 3 3 2" xfId="4696" xr:uid="{00000000-0005-0000-0000-0000A3000000}"/>
    <cellStyle name="쉼표 [0] 27 3 3 3" xfId="2983" xr:uid="{00000000-0005-0000-0000-0000A3000000}"/>
    <cellStyle name="쉼표 [0] 27 3 4" xfId="1027" xr:uid="{00000000-0005-0000-0000-0000A3000000}"/>
    <cellStyle name="쉼표 [0] 27 3 4 2" xfId="4455" xr:uid="{00000000-0005-0000-0000-0000A3000000}"/>
    <cellStyle name="쉼표 [0] 27 3 4 3" xfId="2742" xr:uid="{00000000-0005-0000-0000-0000A3000000}"/>
    <cellStyle name="쉼표 [0] 27 3 5" xfId="3638" xr:uid="{00000000-0005-0000-0000-0000A3000000}"/>
    <cellStyle name="쉼표 [0] 27 3 6" xfId="1925" xr:uid="{00000000-0005-0000-0000-0000A3000000}"/>
    <cellStyle name="쉼표 [0] 27 4" xfId="535" xr:uid="{00000000-0005-0000-0000-0000A3000000}"/>
    <cellStyle name="쉼표 [0] 27 4 2" xfId="1595" xr:uid="{00000000-0005-0000-0000-0000A3000000}"/>
    <cellStyle name="쉼표 [0] 27 4 2 2" xfId="5021" xr:uid="{00000000-0005-0000-0000-0000A3000000}"/>
    <cellStyle name="쉼표 [0] 27 4 2 3" xfId="3308" xr:uid="{00000000-0005-0000-0000-0000A3000000}"/>
    <cellStyle name="쉼표 [0] 27 4 3" xfId="945" xr:uid="{00000000-0005-0000-0000-0000A3000000}"/>
    <cellStyle name="쉼표 [0] 27 4 3 2" xfId="4373" xr:uid="{00000000-0005-0000-0000-0000A3000000}"/>
    <cellStyle name="쉼표 [0] 27 4 3 3" xfId="2660" xr:uid="{00000000-0005-0000-0000-0000A3000000}"/>
    <cellStyle name="쉼표 [0] 27 4 4" xfId="3964" xr:uid="{00000000-0005-0000-0000-0000A3000000}"/>
    <cellStyle name="쉼표 [0] 27 4 5" xfId="2251" xr:uid="{00000000-0005-0000-0000-0000A3000000}"/>
    <cellStyle name="쉼표 [0] 27 5" xfId="372" xr:uid="{00000000-0005-0000-0000-0000A3000000}"/>
    <cellStyle name="쉼표 [0] 27 5 2" xfId="1432" xr:uid="{00000000-0005-0000-0000-0000A3000000}"/>
    <cellStyle name="쉼표 [0] 27 5 2 2" xfId="4859" xr:uid="{00000000-0005-0000-0000-0000A3000000}"/>
    <cellStyle name="쉼표 [0] 27 5 2 3" xfId="3146" xr:uid="{00000000-0005-0000-0000-0000A3000000}"/>
    <cellStyle name="쉼표 [0] 27 5 3" xfId="3802" xr:uid="{00000000-0005-0000-0000-0000A3000000}"/>
    <cellStyle name="쉼표 [0] 27 5 4" xfId="2089" xr:uid="{00000000-0005-0000-0000-0000A3000000}"/>
    <cellStyle name="쉼표 [0] 27 6" xfId="1190" xr:uid="{00000000-0005-0000-0000-0000A3000000}"/>
    <cellStyle name="쉼표 [0] 27 6 2" xfId="4617" xr:uid="{00000000-0005-0000-0000-0000A3000000}"/>
    <cellStyle name="쉼표 [0] 27 6 3" xfId="2904" xr:uid="{00000000-0005-0000-0000-0000A3000000}"/>
    <cellStyle name="쉼표 [0] 27 7" xfId="783" xr:uid="{00000000-0005-0000-0000-0000A3000000}"/>
    <cellStyle name="쉼표 [0] 27 7 2" xfId="4211" xr:uid="{00000000-0005-0000-0000-0000A3000000}"/>
    <cellStyle name="쉼표 [0] 27 7 3" xfId="2498" xr:uid="{00000000-0005-0000-0000-0000A3000000}"/>
    <cellStyle name="쉼표 [0] 27 8" xfId="3556" xr:uid="{00000000-0005-0000-0000-0000A3000000}"/>
    <cellStyle name="쉼표 [0] 27 9" xfId="1843" xr:uid="{00000000-0005-0000-0000-0000A3000000}"/>
    <cellStyle name="쉼표 [0] 28" xfId="208" xr:uid="{00000000-0005-0000-0000-0000A6000000}"/>
    <cellStyle name="쉼표 [0] 28 2" xfId="619" xr:uid="{00000000-0005-0000-0000-0000A6000000}"/>
    <cellStyle name="쉼표 [0] 28 2 2" xfId="1679" xr:uid="{00000000-0005-0000-0000-0000A6000000}"/>
    <cellStyle name="쉼표 [0] 28 2 2 2" xfId="5105" xr:uid="{00000000-0005-0000-0000-0000A6000000}"/>
    <cellStyle name="쉼표 [0] 28 2 2 3" xfId="3392" xr:uid="{00000000-0005-0000-0000-0000A6000000}"/>
    <cellStyle name="쉼표 [0] 28 2 3" xfId="1029" xr:uid="{00000000-0005-0000-0000-0000A6000000}"/>
    <cellStyle name="쉼표 [0] 28 2 3 2" xfId="4457" xr:uid="{00000000-0005-0000-0000-0000A6000000}"/>
    <cellStyle name="쉼표 [0] 28 2 3 3" xfId="2744" xr:uid="{00000000-0005-0000-0000-0000A6000000}"/>
    <cellStyle name="쉼표 [0] 28 2 4" xfId="4048" xr:uid="{00000000-0005-0000-0000-0000A6000000}"/>
    <cellStyle name="쉼표 [0] 28 2 5" xfId="2335" xr:uid="{00000000-0005-0000-0000-0000A6000000}"/>
    <cellStyle name="쉼표 [0] 28 3" xfId="374" xr:uid="{00000000-0005-0000-0000-0000A6000000}"/>
    <cellStyle name="쉼표 [0] 28 3 2" xfId="1434" xr:uid="{00000000-0005-0000-0000-0000A6000000}"/>
    <cellStyle name="쉼표 [0] 28 3 2 2" xfId="4861" xr:uid="{00000000-0005-0000-0000-0000A6000000}"/>
    <cellStyle name="쉼표 [0] 28 3 2 3" xfId="3148" xr:uid="{00000000-0005-0000-0000-0000A6000000}"/>
    <cellStyle name="쉼표 [0] 28 3 3" xfId="3804" xr:uid="{00000000-0005-0000-0000-0000A6000000}"/>
    <cellStyle name="쉼표 [0] 28 3 4" xfId="2091" xr:uid="{00000000-0005-0000-0000-0000A6000000}"/>
    <cellStyle name="쉼표 [0] 28 4" xfId="1271" xr:uid="{00000000-0005-0000-0000-0000A6000000}"/>
    <cellStyle name="쉼표 [0] 28 4 2" xfId="4698" xr:uid="{00000000-0005-0000-0000-0000A6000000}"/>
    <cellStyle name="쉼표 [0] 28 4 3" xfId="2985" xr:uid="{00000000-0005-0000-0000-0000A6000000}"/>
    <cellStyle name="쉼표 [0] 28 5" xfId="785" xr:uid="{00000000-0005-0000-0000-0000A6000000}"/>
    <cellStyle name="쉼표 [0] 28 5 2" xfId="4213" xr:uid="{00000000-0005-0000-0000-0000A6000000}"/>
    <cellStyle name="쉼표 [0] 28 5 3" xfId="2500" xr:uid="{00000000-0005-0000-0000-0000A6000000}"/>
    <cellStyle name="쉼표 [0] 28 6" xfId="3640" xr:uid="{00000000-0005-0000-0000-0000A6000000}"/>
    <cellStyle name="쉼표 [0] 28 7" xfId="1927" xr:uid="{00000000-0005-0000-0000-0000A6000000}"/>
    <cellStyle name="쉼표 [0] 29" xfId="207" xr:uid="{00000000-0005-0000-0000-0000AB000000}"/>
    <cellStyle name="쉼표 [0] 29 2" xfId="618" xr:uid="{00000000-0005-0000-0000-0000AB000000}"/>
    <cellStyle name="쉼표 [0] 29 2 2" xfId="1678" xr:uid="{00000000-0005-0000-0000-0000AB000000}"/>
    <cellStyle name="쉼표 [0] 29 2 2 2" xfId="5104" xr:uid="{00000000-0005-0000-0000-0000AB000000}"/>
    <cellStyle name="쉼표 [0] 29 2 2 3" xfId="3391" xr:uid="{00000000-0005-0000-0000-0000AB000000}"/>
    <cellStyle name="쉼표 [0] 29 2 3" xfId="4047" xr:uid="{00000000-0005-0000-0000-0000AB000000}"/>
    <cellStyle name="쉼표 [0] 29 2 4" xfId="2334" xr:uid="{00000000-0005-0000-0000-0000AB000000}"/>
    <cellStyle name="쉼표 [0] 29 3" xfId="1270" xr:uid="{00000000-0005-0000-0000-0000AB000000}"/>
    <cellStyle name="쉼표 [0] 29 3 2" xfId="4697" xr:uid="{00000000-0005-0000-0000-0000AB000000}"/>
    <cellStyle name="쉼표 [0] 29 3 3" xfId="2984" xr:uid="{00000000-0005-0000-0000-0000AB000000}"/>
    <cellStyle name="쉼표 [0] 29 4" xfId="1028" xr:uid="{00000000-0005-0000-0000-0000AB000000}"/>
    <cellStyle name="쉼표 [0] 29 4 2" xfId="4456" xr:uid="{00000000-0005-0000-0000-0000AB000000}"/>
    <cellStyle name="쉼표 [0] 29 4 3" xfId="2743" xr:uid="{00000000-0005-0000-0000-0000AB000000}"/>
    <cellStyle name="쉼표 [0] 29 5" xfId="3639" xr:uid="{00000000-0005-0000-0000-0000AB000000}"/>
    <cellStyle name="쉼표 [0] 29 6" xfId="1926" xr:uid="{00000000-0005-0000-0000-0000AB000000}"/>
    <cellStyle name="쉼표 [0] 3" xfId="13" xr:uid="{00000000-0005-0000-0000-000036000000}"/>
    <cellStyle name="쉼표 [0] 3 10" xfId="706" xr:uid="{00000000-0005-0000-0000-000036000000}"/>
    <cellStyle name="쉼표 [0] 3 10 2" xfId="4134" xr:uid="{00000000-0005-0000-0000-000036000000}"/>
    <cellStyle name="쉼표 [0] 3 10 3" xfId="2421" xr:uid="{00000000-0005-0000-0000-000036000000}"/>
    <cellStyle name="쉼표 [0] 3 11" xfId="3479" xr:uid="{00000000-0005-0000-0000-000036000000}"/>
    <cellStyle name="쉼표 [0] 3 12" xfId="5196" xr:uid="{8ECCA789-1D75-4AB7-A013-864165765B8E}"/>
    <cellStyle name="쉼표 [0] 3 13" xfId="1766" xr:uid="{00000000-0005-0000-0000-000036000000}"/>
    <cellStyle name="쉼표 [0] 3 2" xfId="42" xr:uid="{16760B64-2D2E-4F1A-ACE4-DE310822DFB1}"/>
    <cellStyle name="쉼표 [0] 3 2 10" xfId="1781" xr:uid="{16760B64-2D2E-4F1A-ACE4-DE310822DFB1}"/>
    <cellStyle name="쉼표 [0] 3 2 2" xfId="95" xr:uid="{16760B64-2D2E-4F1A-ACE4-DE310822DFB1}"/>
    <cellStyle name="쉼표 [0] 3 2 2 2" xfId="262" xr:uid="{16760B64-2D2E-4F1A-ACE4-DE310822DFB1}"/>
    <cellStyle name="쉼표 [0] 3 2 2 2 2" xfId="673" xr:uid="{16760B64-2D2E-4F1A-ACE4-DE310822DFB1}"/>
    <cellStyle name="쉼표 [0] 3 2 2 2 2 2" xfId="1733" xr:uid="{16760B64-2D2E-4F1A-ACE4-DE310822DFB1}"/>
    <cellStyle name="쉼표 [0] 3 2 2 2 2 2 2" xfId="5159" xr:uid="{16760B64-2D2E-4F1A-ACE4-DE310822DFB1}"/>
    <cellStyle name="쉼표 [0] 3 2 2 2 2 2 3" xfId="3446" xr:uid="{16760B64-2D2E-4F1A-ACE4-DE310822DFB1}"/>
    <cellStyle name="쉼표 [0] 3 2 2 2 2 3" xfId="1083" xr:uid="{16760B64-2D2E-4F1A-ACE4-DE310822DFB1}"/>
    <cellStyle name="쉼표 [0] 3 2 2 2 2 3 2" xfId="4511" xr:uid="{16760B64-2D2E-4F1A-ACE4-DE310822DFB1}"/>
    <cellStyle name="쉼표 [0] 3 2 2 2 2 3 3" xfId="2798" xr:uid="{16760B64-2D2E-4F1A-ACE4-DE310822DFB1}"/>
    <cellStyle name="쉼표 [0] 3 2 2 2 2 4" xfId="4102" xr:uid="{16760B64-2D2E-4F1A-ACE4-DE310822DFB1}"/>
    <cellStyle name="쉼표 [0] 3 2 2 2 2 5" xfId="2389" xr:uid="{16760B64-2D2E-4F1A-ACE4-DE310822DFB1}"/>
    <cellStyle name="쉼표 [0] 3 2 2 2 3" xfId="428" xr:uid="{16760B64-2D2E-4F1A-ACE4-DE310822DFB1}"/>
    <cellStyle name="쉼표 [0] 3 2 2 2 3 2" xfId="1488" xr:uid="{16760B64-2D2E-4F1A-ACE4-DE310822DFB1}"/>
    <cellStyle name="쉼표 [0] 3 2 2 2 3 2 2" xfId="4915" xr:uid="{16760B64-2D2E-4F1A-ACE4-DE310822DFB1}"/>
    <cellStyle name="쉼표 [0] 3 2 2 2 3 2 3" xfId="3202" xr:uid="{16760B64-2D2E-4F1A-ACE4-DE310822DFB1}"/>
    <cellStyle name="쉼표 [0] 3 2 2 2 3 3" xfId="3858" xr:uid="{16760B64-2D2E-4F1A-ACE4-DE310822DFB1}"/>
    <cellStyle name="쉼표 [0] 3 2 2 2 3 4" xfId="2145" xr:uid="{16760B64-2D2E-4F1A-ACE4-DE310822DFB1}"/>
    <cellStyle name="쉼표 [0] 3 2 2 2 4" xfId="1324" xr:uid="{16760B64-2D2E-4F1A-ACE4-DE310822DFB1}"/>
    <cellStyle name="쉼표 [0] 3 2 2 2 4 2" xfId="4751" xr:uid="{16760B64-2D2E-4F1A-ACE4-DE310822DFB1}"/>
    <cellStyle name="쉼표 [0] 3 2 2 2 4 3" xfId="3038" xr:uid="{16760B64-2D2E-4F1A-ACE4-DE310822DFB1}"/>
    <cellStyle name="쉼표 [0] 3 2 2 2 5" xfId="839" xr:uid="{16760B64-2D2E-4F1A-ACE4-DE310822DFB1}"/>
    <cellStyle name="쉼표 [0] 3 2 2 2 5 2" xfId="4267" xr:uid="{16760B64-2D2E-4F1A-ACE4-DE310822DFB1}"/>
    <cellStyle name="쉼표 [0] 3 2 2 2 5 3" xfId="2554" xr:uid="{16760B64-2D2E-4F1A-ACE4-DE310822DFB1}"/>
    <cellStyle name="쉼표 [0] 3 2 2 2 6" xfId="3694" xr:uid="{16760B64-2D2E-4F1A-ACE4-DE310822DFB1}"/>
    <cellStyle name="쉼표 [0] 3 2 2 2 7" xfId="1981" xr:uid="{16760B64-2D2E-4F1A-ACE4-DE310822DFB1}"/>
    <cellStyle name="쉼표 [0] 3 2 2 3" xfId="180" xr:uid="{16760B64-2D2E-4F1A-ACE4-DE310822DFB1}"/>
    <cellStyle name="쉼표 [0] 3 2 2 3 2" xfId="591" xr:uid="{16760B64-2D2E-4F1A-ACE4-DE310822DFB1}"/>
    <cellStyle name="쉼표 [0] 3 2 2 3 2 2" xfId="1651" xr:uid="{16760B64-2D2E-4F1A-ACE4-DE310822DFB1}"/>
    <cellStyle name="쉼표 [0] 3 2 2 3 2 2 2" xfId="5077" xr:uid="{16760B64-2D2E-4F1A-ACE4-DE310822DFB1}"/>
    <cellStyle name="쉼표 [0] 3 2 2 3 2 2 3" xfId="3364" xr:uid="{16760B64-2D2E-4F1A-ACE4-DE310822DFB1}"/>
    <cellStyle name="쉼표 [0] 3 2 2 3 2 3" xfId="4020" xr:uid="{16760B64-2D2E-4F1A-ACE4-DE310822DFB1}"/>
    <cellStyle name="쉼표 [0] 3 2 2 3 2 4" xfId="2307" xr:uid="{16760B64-2D2E-4F1A-ACE4-DE310822DFB1}"/>
    <cellStyle name="쉼표 [0] 3 2 2 3 3" xfId="1243" xr:uid="{16760B64-2D2E-4F1A-ACE4-DE310822DFB1}"/>
    <cellStyle name="쉼표 [0] 3 2 2 3 3 2" xfId="4670" xr:uid="{16760B64-2D2E-4F1A-ACE4-DE310822DFB1}"/>
    <cellStyle name="쉼표 [0] 3 2 2 3 3 3" xfId="2957" xr:uid="{16760B64-2D2E-4F1A-ACE4-DE310822DFB1}"/>
    <cellStyle name="쉼표 [0] 3 2 2 3 4" xfId="1001" xr:uid="{16760B64-2D2E-4F1A-ACE4-DE310822DFB1}"/>
    <cellStyle name="쉼표 [0] 3 2 2 3 4 2" xfId="4429" xr:uid="{16760B64-2D2E-4F1A-ACE4-DE310822DFB1}"/>
    <cellStyle name="쉼표 [0] 3 2 2 3 4 3" xfId="2716" xr:uid="{16760B64-2D2E-4F1A-ACE4-DE310822DFB1}"/>
    <cellStyle name="쉼표 [0] 3 2 2 3 5" xfId="3612" xr:uid="{16760B64-2D2E-4F1A-ACE4-DE310822DFB1}"/>
    <cellStyle name="쉼표 [0] 3 2 2 3 6" xfId="1899" xr:uid="{16760B64-2D2E-4F1A-ACE4-DE310822DFB1}"/>
    <cellStyle name="쉼표 [0] 3 2 2 4" xfId="509" xr:uid="{16760B64-2D2E-4F1A-ACE4-DE310822DFB1}"/>
    <cellStyle name="쉼표 [0] 3 2 2 4 2" xfId="1569" xr:uid="{16760B64-2D2E-4F1A-ACE4-DE310822DFB1}"/>
    <cellStyle name="쉼표 [0] 3 2 2 4 2 2" xfId="4995" xr:uid="{16760B64-2D2E-4F1A-ACE4-DE310822DFB1}"/>
    <cellStyle name="쉼표 [0] 3 2 2 4 2 3" xfId="3282" xr:uid="{16760B64-2D2E-4F1A-ACE4-DE310822DFB1}"/>
    <cellStyle name="쉼표 [0] 3 2 2 4 3" xfId="919" xr:uid="{16760B64-2D2E-4F1A-ACE4-DE310822DFB1}"/>
    <cellStyle name="쉼표 [0] 3 2 2 4 3 2" xfId="4347" xr:uid="{16760B64-2D2E-4F1A-ACE4-DE310822DFB1}"/>
    <cellStyle name="쉼표 [0] 3 2 2 4 3 3" xfId="2634" xr:uid="{16760B64-2D2E-4F1A-ACE4-DE310822DFB1}"/>
    <cellStyle name="쉼표 [0] 3 2 2 4 4" xfId="3938" xr:uid="{16760B64-2D2E-4F1A-ACE4-DE310822DFB1}"/>
    <cellStyle name="쉼표 [0] 3 2 2 4 5" xfId="2225" xr:uid="{16760B64-2D2E-4F1A-ACE4-DE310822DFB1}"/>
    <cellStyle name="쉼표 [0] 3 2 2 5" xfId="346" xr:uid="{16760B64-2D2E-4F1A-ACE4-DE310822DFB1}"/>
    <cellStyle name="쉼표 [0] 3 2 2 5 2" xfId="1406" xr:uid="{16760B64-2D2E-4F1A-ACE4-DE310822DFB1}"/>
    <cellStyle name="쉼표 [0] 3 2 2 5 2 2" xfId="4833" xr:uid="{16760B64-2D2E-4F1A-ACE4-DE310822DFB1}"/>
    <cellStyle name="쉼표 [0] 3 2 2 5 2 3" xfId="3120" xr:uid="{16760B64-2D2E-4F1A-ACE4-DE310822DFB1}"/>
    <cellStyle name="쉼표 [0] 3 2 2 5 3" xfId="3776" xr:uid="{16760B64-2D2E-4F1A-ACE4-DE310822DFB1}"/>
    <cellStyle name="쉼표 [0] 3 2 2 5 4" xfId="2063" xr:uid="{16760B64-2D2E-4F1A-ACE4-DE310822DFB1}"/>
    <cellStyle name="쉼표 [0] 3 2 2 6" xfId="1164" xr:uid="{16760B64-2D2E-4F1A-ACE4-DE310822DFB1}"/>
    <cellStyle name="쉼표 [0] 3 2 2 6 2" xfId="4591" xr:uid="{16760B64-2D2E-4F1A-ACE4-DE310822DFB1}"/>
    <cellStyle name="쉼표 [0] 3 2 2 6 3" xfId="2878" xr:uid="{16760B64-2D2E-4F1A-ACE4-DE310822DFB1}"/>
    <cellStyle name="쉼표 [0] 3 2 2 7" xfId="757" xr:uid="{16760B64-2D2E-4F1A-ACE4-DE310822DFB1}"/>
    <cellStyle name="쉼표 [0] 3 2 2 7 2" xfId="4185" xr:uid="{16760B64-2D2E-4F1A-ACE4-DE310822DFB1}"/>
    <cellStyle name="쉼표 [0] 3 2 2 7 3" xfId="2472" xr:uid="{16760B64-2D2E-4F1A-ACE4-DE310822DFB1}"/>
    <cellStyle name="쉼표 [0] 3 2 2 8" xfId="3530" xr:uid="{16760B64-2D2E-4F1A-ACE4-DE310822DFB1}"/>
    <cellStyle name="쉼표 [0] 3 2 2 9" xfId="1817" xr:uid="{16760B64-2D2E-4F1A-ACE4-DE310822DFB1}"/>
    <cellStyle name="쉼표 [0] 3 2 3" xfId="226" xr:uid="{16760B64-2D2E-4F1A-ACE4-DE310822DFB1}"/>
    <cellStyle name="쉼표 [0] 3 2 3 2" xfId="637" xr:uid="{16760B64-2D2E-4F1A-ACE4-DE310822DFB1}"/>
    <cellStyle name="쉼표 [0] 3 2 3 2 2" xfId="1697" xr:uid="{16760B64-2D2E-4F1A-ACE4-DE310822DFB1}"/>
    <cellStyle name="쉼표 [0] 3 2 3 2 2 2" xfId="5123" xr:uid="{16760B64-2D2E-4F1A-ACE4-DE310822DFB1}"/>
    <cellStyle name="쉼표 [0] 3 2 3 2 2 3" xfId="3410" xr:uid="{16760B64-2D2E-4F1A-ACE4-DE310822DFB1}"/>
    <cellStyle name="쉼표 [0] 3 2 3 2 3" xfId="1047" xr:uid="{16760B64-2D2E-4F1A-ACE4-DE310822DFB1}"/>
    <cellStyle name="쉼표 [0] 3 2 3 2 3 2" xfId="4475" xr:uid="{16760B64-2D2E-4F1A-ACE4-DE310822DFB1}"/>
    <cellStyle name="쉼표 [0] 3 2 3 2 3 3" xfId="2762" xr:uid="{16760B64-2D2E-4F1A-ACE4-DE310822DFB1}"/>
    <cellStyle name="쉼표 [0] 3 2 3 2 4" xfId="4066" xr:uid="{16760B64-2D2E-4F1A-ACE4-DE310822DFB1}"/>
    <cellStyle name="쉼표 [0] 3 2 3 2 5" xfId="2353" xr:uid="{16760B64-2D2E-4F1A-ACE4-DE310822DFB1}"/>
    <cellStyle name="쉼표 [0] 3 2 3 3" xfId="392" xr:uid="{16760B64-2D2E-4F1A-ACE4-DE310822DFB1}"/>
    <cellStyle name="쉼표 [0] 3 2 3 3 2" xfId="1452" xr:uid="{16760B64-2D2E-4F1A-ACE4-DE310822DFB1}"/>
    <cellStyle name="쉼표 [0] 3 2 3 3 2 2" xfId="4879" xr:uid="{16760B64-2D2E-4F1A-ACE4-DE310822DFB1}"/>
    <cellStyle name="쉼표 [0] 3 2 3 3 2 3" xfId="3166" xr:uid="{16760B64-2D2E-4F1A-ACE4-DE310822DFB1}"/>
    <cellStyle name="쉼표 [0] 3 2 3 3 3" xfId="3822" xr:uid="{16760B64-2D2E-4F1A-ACE4-DE310822DFB1}"/>
    <cellStyle name="쉼표 [0] 3 2 3 3 4" xfId="2109" xr:uid="{16760B64-2D2E-4F1A-ACE4-DE310822DFB1}"/>
    <cellStyle name="쉼표 [0] 3 2 3 4" xfId="1288" xr:uid="{16760B64-2D2E-4F1A-ACE4-DE310822DFB1}"/>
    <cellStyle name="쉼표 [0] 3 2 3 4 2" xfId="4715" xr:uid="{16760B64-2D2E-4F1A-ACE4-DE310822DFB1}"/>
    <cellStyle name="쉼표 [0] 3 2 3 4 3" xfId="3002" xr:uid="{16760B64-2D2E-4F1A-ACE4-DE310822DFB1}"/>
    <cellStyle name="쉼표 [0] 3 2 3 5" xfId="803" xr:uid="{16760B64-2D2E-4F1A-ACE4-DE310822DFB1}"/>
    <cellStyle name="쉼표 [0] 3 2 3 5 2" xfId="4231" xr:uid="{16760B64-2D2E-4F1A-ACE4-DE310822DFB1}"/>
    <cellStyle name="쉼표 [0] 3 2 3 5 3" xfId="2518" xr:uid="{16760B64-2D2E-4F1A-ACE4-DE310822DFB1}"/>
    <cellStyle name="쉼표 [0] 3 2 3 6" xfId="3658" xr:uid="{16760B64-2D2E-4F1A-ACE4-DE310822DFB1}"/>
    <cellStyle name="쉼표 [0] 3 2 3 7" xfId="1945" xr:uid="{16760B64-2D2E-4F1A-ACE4-DE310822DFB1}"/>
    <cellStyle name="쉼표 [0] 3 2 4" xfId="144" xr:uid="{16760B64-2D2E-4F1A-ACE4-DE310822DFB1}"/>
    <cellStyle name="쉼표 [0] 3 2 4 2" xfId="555" xr:uid="{16760B64-2D2E-4F1A-ACE4-DE310822DFB1}"/>
    <cellStyle name="쉼표 [0] 3 2 4 2 2" xfId="1615" xr:uid="{16760B64-2D2E-4F1A-ACE4-DE310822DFB1}"/>
    <cellStyle name="쉼표 [0] 3 2 4 2 2 2" xfId="5041" xr:uid="{16760B64-2D2E-4F1A-ACE4-DE310822DFB1}"/>
    <cellStyle name="쉼표 [0] 3 2 4 2 2 3" xfId="3328" xr:uid="{16760B64-2D2E-4F1A-ACE4-DE310822DFB1}"/>
    <cellStyle name="쉼표 [0] 3 2 4 2 3" xfId="3984" xr:uid="{16760B64-2D2E-4F1A-ACE4-DE310822DFB1}"/>
    <cellStyle name="쉼표 [0] 3 2 4 2 4" xfId="2271" xr:uid="{16760B64-2D2E-4F1A-ACE4-DE310822DFB1}"/>
    <cellStyle name="쉼표 [0] 3 2 4 3" xfId="1207" xr:uid="{16760B64-2D2E-4F1A-ACE4-DE310822DFB1}"/>
    <cellStyle name="쉼표 [0] 3 2 4 3 2" xfId="4634" xr:uid="{16760B64-2D2E-4F1A-ACE4-DE310822DFB1}"/>
    <cellStyle name="쉼표 [0] 3 2 4 3 3" xfId="2921" xr:uid="{16760B64-2D2E-4F1A-ACE4-DE310822DFB1}"/>
    <cellStyle name="쉼표 [0] 3 2 4 4" xfId="965" xr:uid="{16760B64-2D2E-4F1A-ACE4-DE310822DFB1}"/>
    <cellStyle name="쉼표 [0] 3 2 4 4 2" xfId="4393" xr:uid="{16760B64-2D2E-4F1A-ACE4-DE310822DFB1}"/>
    <cellStyle name="쉼표 [0] 3 2 4 4 3" xfId="2680" xr:uid="{16760B64-2D2E-4F1A-ACE4-DE310822DFB1}"/>
    <cellStyle name="쉼표 [0] 3 2 4 5" xfId="3576" xr:uid="{16760B64-2D2E-4F1A-ACE4-DE310822DFB1}"/>
    <cellStyle name="쉼표 [0] 3 2 4 6" xfId="1863" xr:uid="{16760B64-2D2E-4F1A-ACE4-DE310822DFB1}"/>
    <cellStyle name="쉼표 [0] 3 2 5" xfId="473" xr:uid="{16760B64-2D2E-4F1A-ACE4-DE310822DFB1}"/>
    <cellStyle name="쉼표 [0] 3 2 5 2" xfId="1533" xr:uid="{16760B64-2D2E-4F1A-ACE4-DE310822DFB1}"/>
    <cellStyle name="쉼표 [0] 3 2 5 2 2" xfId="4959" xr:uid="{16760B64-2D2E-4F1A-ACE4-DE310822DFB1}"/>
    <cellStyle name="쉼표 [0] 3 2 5 2 3" xfId="3246" xr:uid="{16760B64-2D2E-4F1A-ACE4-DE310822DFB1}"/>
    <cellStyle name="쉼표 [0] 3 2 5 3" xfId="883" xr:uid="{16760B64-2D2E-4F1A-ACE4-DE310822DFB1}"/>
    <cellStyle name="쉼표 [0] 3 2 5 3 2" xfId="4311" xr:uid="{16760B64-2D2E-4F1A-ACE4-DE310822DFB1}"/>
    <cellStyle name="쉼표 [0] 3 2 5 3 3" xfId="2598" xr:uid="{16760B64-2D2E-4F1A-ACE4-DE310822DFB1}"/>
    <cellStyle name="쉼표 [0] 3 2 5 4" xfId="3902" xr:uid="{16760B64-2D2E-4F1A-ACE4-DE310822DFB1}"/>
    <cellStyle name="쉼표 [0] 3 2 5 5" xfId="2189" xr:uid="{16760B64-2D2E-4F1A-ACE4-DE310822DFB1}"/>
    <cellStyle name="쉼표 [0] 3 2 6" xfId="310" xr:uid="{16760B64-2D2E-4F1A-ACE4-DE310822DFB1}"/>
    <cellStyle name="쉼표 [0] 3 2 6 2" xfId="1370" xr:uid="{16760B64-2D2E-4F1A-ACE4-DE310822DFB1}"/>
    <cellStyle name="쉼표 [0] 3 2 6 2 2" xfId="4797" xr:uid="{16760B64-2D2E-4F1A-ACE4-DE310822DFB1}"/>
    <cellStyle name="쉼표 [0] 3 2 6 2 3" xfId="3084" xr:uid="{16760B64-2D2E-4F1A-ACE4-DE310822DFB1}"/>
    <cellStyle name="쉼표 [0] 3 2 6 3" xfId="3740" xr:uid="{16760B64-2D2E-4F1A-ACE4-DE310822DFB1}"/>
    <cellStyle name="쉼표 [0] 3 2 6 4" xfId="2027" xr:uid="{16760B64-2D2E-4F1A-ACE4-DE310822DFB1}"/>
    <cellStyle name="쉼표 [0] 3 2 7" xfId="1128" xr:uid="{16760B64-2D2E-4F1A-ACE4-DE310822DFB1}"/>
    <cellStyle name="쉼표 [0] 3 2 7 2" xfId="4555" xr:uid="{16760B64-2D2E-4F1A-ACE4-DE310822DFB1}"/>
    <cellStyle name="쉼표 [0] 3 2 7 3" xfId="2842" xr:uid="{16760B64-2D2E-4F1A-ACE4-DE310822DFB1}"/>
    <cellStyle name="쉼표 [0] 3 2 8" xfId="721" xr:uid="{16760B64-2D2E-4F1A-ACE4-DE310822DFB1}"/>
    <cellStyle name="쉼표 [0] 3 2 8 2" xfId="4149" xr:uid="{16760B64-2D2E-4F1A-ACE4-DE310822DFB1}"/>
    <cellStyle name="쉼표 [0] 3 2 8 3" xfId="2436" xr:uid="{16760B64-2D2E-4F1A-ACE4-DE310822DFB1}"/>
    <cellStyle name="쉼표 [0] 3 2 9" xfId="3494" xr:uid="{16760B64-2D2E-4F1A-ACE4-DE310822DFB1}"/>
    <cellStyle name="쉼표 [0] 3 3" xfId="18" xr:uid="{00000000-0005-0000-0000-000034000000}"/>
    <cellStyle name="쉼표 [0] 3 3 2" xfId="216" xr:uid="{00000000-0005-0000-0000-000034000000}"/>
    <cellStyle name="쉼표 [0] 3 3 2 2" xfId="627" xr:uid="{00000000-0005-0000-0000-000034000000}"/>
    <cellStyle name="쉼표 [0] 3 3 2 2 2" xfId="1687" xr:uid="{00000000-0005-0000-0000-000034000000}"/>
    <cellStyle name="쉼표 [0] 3 3 2 2 2 2" xfId="5113" xr:uid="{00000000-0005-0000-0000-000034000000}"/>
    <cellStyle name="쉼표 [0] 3 3 2 2 2 3" xfId="3400" xr:uid="{00000000-0005-0000-0000-000034000000}"/>
    <cellStyle name="쉼표 [0] 3 3 2 2 3" xfId="1037" xr:uid="{00000000-0005-0000-0000-000034000000}"/>
    <cellStyle name="쉼표 [0] 3 3 2 2 3 2" xfId="4465" xr:uid="{00000000-0005-0000-0000-000034000000}"/>
    <cellStyle name="쉼표 [0] 3 3 2 2 3 3" xfId="2752" xr:uid="{00000000-0005-0000-0000-000034000000}"/>
    <cellStyle name="쉼표 [0] 3 3 2 2 4" xfId="4056" xr:uid="{00000000-0005-0000-0000-000034000000}"/>
    <cellStyle name="쉼표 [0] 3 3 2 2 5" xfId="2343" xr:uid="{00000000-0005-0000-0000-000034000000}"/>
    <cellStyle name="쉼표 [0] 3 3 2 3" xfId="382" xr:uid="{00000000-0005-0000-0000-000034000000}"/>
    <cellStyle name="쉼표 [0] 3 3 2 3 2" xfId="1442" xr:uid="{00000000-0005-0000-0000-000034000000}"/>
    <cellStyle name="쉼표 [0] 3 3 2 3 2 2" xfId="4869" xr:uid="{00000000-0005-0000-0000-000034000000}"/>
    <cellStyle name="쉼표 [0] 3 3 2 3 2 3" xfId="3156" xr:uid="{00000000-0005-0000-0000-000034000000}"/>
    <cellStyle name="쉼표 [0] 3 3 2 3 3" xfId="3812" xr:uid="{00000000-0005-0000-0000-000034000000}"/>
    <cellStyle name="쉼표 [0] 3 3 2 3 4" xfId="2099" xr:uid="{00000000-0005-0000-0000-000034000000}"/>
    <cellStyle name="쉼표 [0] 3 3 2 4" xfId="1278" xr:uid="{00000000-0005-0000-0000-000034000000}"/>
    <cellStyle name="쉼표 [0] 3 3 2 4 2" xfId="4705" xr:uid="{00000000-0005-0000-0000-000034000000}"/>
    <cellStyle name="쉼표 [0] 3 3 2 4 3" xfId="2992" xr:uid="{00000000-0005-0000-0000-000034000000}"/>
    <cellStyle name="쉼표 [0] 3 3 2 5" xfId="793" xr:uid="{00000000-0005-0000-0000-000034000000}"/>
    <cellStyle name="쉼표 [0] 3 3 2 5 2" xfId="4221" xr:uid="{00000000-0005-0000-0000-000034000000}"/>
    <cellStyle name="쉼표 [0] 3 3 2 5 3" xfId="2508" xr:uid="{00000000-0005-0000-0000-000034000000}"/>
    <cellStyle name="쉼표 [0] 3 3 2 6" xfId="3648" xr:uid="{00000000-0005-0000-0000-000034000000}"/>
    <cellStyle name="쉼표 [0] 3 3 2 7" xfId="1935" xr:uid="{00000000-0005-0000-0000-000034000000}"/>
    <cellStyle name="쉼표 [0] 3 3 3" xfId="133" xr:uid="{00000000-0005-0000-0000-000034000000}"/>
    <cellStyle name="쉼표 [0] 3 3 3 2" xfId="544" xr:uid="{00000000-0005-0000-0000-000034000000}"/>
    <cellStyle name="쉼표 [0] 3 3 3 2 2" xfId="1604" xr:uid="{00000000-0005-0000-0000-000034000000}"/>
    <cellStyle name="쉼표 [0] 3 3 3 2 2 2" xfId="5030" xr:uid="{00000000-0005-0000-0000-000034000000}"/>
    <cellStyle name="쉼표 [0] 3 3 3 2 2 3" xfId="3317" xr:uid="{00000000-0005-0000-0000-000034000000}"/>
    <cellStyle name="쉼표 [0] 3 3 3 2 3" xfId="3973" xr:uid="{00000000-0005-0000-0000-000034000000}"/>
    <cellStyle name="쉼표 [0] 3 3 3 2 4" xfId="2260" xr:uid="{00000000-0005-0000-0000-000034000000}"/>
    <cellStyle name="쉼표 [0] 3 3 3 3" xfId="1197" xr:uid="{00000000-0005-0000-0000-000034000000}"/>
    <cellStyle name="쉼표 [0] 3 3 3 3 2" xfId="4624" xr:uid="{00000000-0005-0000-0000-000034000000}"/>
    <cellStyle name="쉼표 [0] 3 3 3 3 3" xfId="2911" xr:uid="{00000000-0005-0000-0000-000034000000}"/>
    <cellStyle name="쉼표 [0] 3 3 3 4" xfId="954" xr:uid="{00000000-0005-0000-0000-000034000000}"/>
    <cellStyle name="쉼표 [0] 3 3 3 4 2" xfId="4382" xr:uid="{00000000-0005-0000-0000-000034000000}"/>
    <cellStyle name="쉼표 [0] 3 3 3 4 3" xfId="2669" xr:uid="{00000000-0005-0000-0000-000034000000}"/>
    <cellStyle name="쉼표 [0] 3 3 3 5" xfId="3565" xr:uid="{00000000-0005-0000-0000-000034000000}"/>
    <cellStyle name="쉼표 [0] 3 3 3 6" xfId="1852" xr:uid="{00000000-0005-0000-0000-000034000000}"/>
    <cellStyle name="쉼표 [0] 3 3 4" xfId="463" xr:uid="{00000000-0005-0000-0000-000034000000}"/>
    <cellStyle name="쉼표 [0] 3 3 4 2" xfId="1523" xr:uid="{00000000-0005-0000-0000-000034000000}"/>
    <cellStyle name="쉼표 [0] 3 3 4 2 2" xfId="4949" xr:uid="{00000000-0005-0000-0000-000034000000}"/>
    <cellStyle name="쉼표 [0] 3 3 4 2 3" xfId="3236" xr:uid="{00000000-0005-0000-0000-000034000000}"/>
    <cellStyle name="쉼표 [0] 3 3 4 3" xfId="873" xr:uid="{00000000-0005-0000-0000-000034000000}"/>
    <cellStyle name="쉼표 [0] 3 3 4 3 2" xfId="4301" xr:uid="{00000000-0005-0000-0000-000034000000}"/>
    <cellStyle name="쉼표 [0] 3 3 4 3 3" xfId="2588" xr:uid="{00000000-0005-0000-0000-000034000000}"/>
    <cellStyle name="쉼표 [0] 3 3 4 4" xfId="3892" xr:uid="{00000000-0005-0000-0000-000034000000}"/>
    <cellStyle name="쉼표 [0] 3 3 4 5" xfId="2179" xr:uid="{00000000-0005-0000-0000-000034000000}"/>
    <cellStyle name="쉼표 [0] 3 3 5" xfId="299" xr:uid="{00000000-0005-0000-0000-000034000000}"/>
    <cellStyle name="쉼표 [0] 3 3 5 2" xfId="1359" xr:uid="{00000000-0005-0000-0000-000034000000}"/>
    <cellStyle name="쉼표 [0] 3 3 5 2 2" xfId="4786" xr:uid="{00000000-0005-0000-0000-000034000000}"/>
    <cellStyle name="쉼표 [0] 3 3 5 2 3" xfId="3073" xr:uid="{00000000-0005-0000-0000-000034000000}"/>
    <cellStyle name="쉼표 [0] 3 3 5 3" xfId="3729" xr:uid="{00000000-0005-0000-0000-000034000000}"/>
    <cellStyle name="쉼표 [0] 3 3 5 4" xfId="2016" xr:uid="{00000000-0005-0000-0000-000034000000}"/>
    <cellStyle name="쉼표 [0] 3 3 6" xfId="1118" xr:uid="{00000000-0005-0000-0000-000034000000}"/>
    <cellStyle name="쉼표 [0] 3 3 6 2" xfId="4545" xr:uid="{00000000-0005-0000-0000-000034000000}"/>
    <cellStyle name="쉼표 [0] 3 3 6 3" xfId="2832" xr:uid="{00000000-0005-0000-0000-000034000000}"/>
    <cellStyle name="쉼표 [0] 3 3 7" xfId="710" xr:uid="{00000000-0005-0000-0000-000034000000}"/>
    <cellStyle name="쉼표 [0] 3 3 7 2" xfId="4138" xr:uid="{00000000-0005-0000-0000-000034000000}"/>
    <cellStyle name="쉼표 [0] 3 3 7 3" xfId="2425" xr:uid="{00000000-0005-0000-0000-000034000000}"/>
    <cellStyle name="쉼표 [0] 3 3 8" xfId="3483" xr:uid="{00000000-0005-0000-0000-000034000000}"/>
    <cellStyle name="쉼표 [0] 3 3 9" xfId="1770" xr:uid="{00000000-0005-0000-0000-000034000000}"/>
    <cellStyle name="쉼표 [0] 3 4" xfId="85" xr:uid="{00000000-0005-0000-0000-000034000000}"/>
    <cellStyle name="쉼표 [0] 3 4 2" xfId="252" xr:uid="{00000000-0005-0000-0000-000034000000}"/>
    <cellStyle name="쉼표 [0] 3 4 2 2" xfId="663" xr:uid="{00000000-0005-0000-0000-000034000000}"/>
    <cellStyle name="쉼표 [0] 3 4 2 2 2" xfId="1723" xr:uid="{00000000-0005-0000-0000-000034000000}"/>
    <cellStyle name="쉼표 [0] 3 4 2 2 2 2" xfId="5149" xr:uid="{00000000-0005-0000-0000-000034000000}"/>
    <cellStyle name="쉼표 [0] 3 4 2 2 2 3" xfId="3436" xr:uid="{00000000-0005-0000-0000-000034000000}"/>
    <cellStyle name="쉼표 [0] 3 4 2 2 3" xfId="1073" xr:uid="{00000000-0005-0000-0000-000034000000}"/>
    <cellStyle name="쉼표 [0] 3 4 2 2 3 2" xfId="4501" xr:uid="{00000000-0005-0000-0000-000034000000}"/>
    <cellStyle name="쉼표 [0] 3 4 2 2 3 3" xfId="2788" xr:uid="{00000000-0005-0000-0000-000034000000}"/>
    <cellStyle name="쉼표 [0] 3 4 2 2 4" xfId="4092" xr:uid="{00000000-0005-0000-0000-000034000000}"/>
    <cellStyle name="쉼표 [0] 3 4 2 2 5" xfId="2379" xr:uid="{00000000-0005-0000-0000-000034000000}"/>
    <cellStyle name="쉼표 [0] 3 4 2 3" xfId="418" xr:uid="{00000000-0005-0000-0000-000034000000}"/>
    <cellStyle name="쉼표 [0] 3 4 2 3 2" xfId="1478" xr:uid="{00000000-0005-0000-0000-000034000000}"/>
    <cellStyle name="쉼표 [0] 3 4 2 3 2 2" xfId="4905" xr:uid="{00000000-0005-0000-0000-000034000000}"/>
    <cellStyle name="쉼표 [0] 3 4 2 3 2 3" xfId="3192" xr:uid="{00000000-0005-0000-0000-000034000000}"/>
    <cellStyle name="쉼표 [0] 3 4 2 3 3" xfId="3848" xr:uid="{00000000-0005-0000-0000-000034000000}"/>
    <cellStyle name="쉼표 [0] 3 4 2 3 4" xfId="2135" xr:uid="{00000000-0005-0000-0000-000034000000}"/>
    <cellStyle name="쉼표 [0] 3 4 2 4" xfId="1314" xr:uid="{00000000-0005-0000-0000-000034000000}"/>
    <cellStyle name="쉼표 [0] 3 4 2 4 2" xfId="4741" xr:uid="{00000000-0005-0000-0000-000034000000}"/>
    <cellStyle name="쉼표 [0] 3 4 2 4 3" xfId="3028" xr:uid="{00000000-0005-0000-0000-000034000000}"/>
    <cellStyle name="쉼표 [0] 3 4 2 5" xfId="829" xr:uid="{00000000-0005-0000-0000-000034000000}"/>
    <cellStyle name="쉼표 [0] 3 4 2 5 2" xfId="4257" xr:uid="{00000000-0005-0000-0000-000034000000}"/>
    <cellStyle name="쉼표 [0] 3 4 2 5 3" xfId="2544" xr:uid="{00000000-0005-0000-0000-000034000000}"/>
    <cellStyle name="쉼표 [0] 3 4 2 6" xfId="3684" xr:uid="{00000000-0005-0000-0000-000034000000}"/>
    <cellStyle name="쉼표 [0] 3 4 2 7" xfId="1971" xr:uid="{00000000-0005-0000-0000-000034000000}"/>
    <cellStyle name="쉼표 [0] 3 4 3" xfId="170" xr:uid="{00000000-0005-0000-0000-000034000000}"/>
    <cellStyle name="쉼표 [0] 3 4 3 2" xfId="581" xr:uid="{00000000-0005-0000-0000-000034000000}"/>
    <cellStyle name="쉼표 [0] 3 4 3 2 2" xfId="1641" xr:uid="{00000000-0005-0000-0000-000034000000}"/>
    <cellStyle name="쉼표 [0] 3 4 3 2 2 2" xfId="5067" xr:uid="{00000000-0005-0000-0000-000034000000}"/>
    <cellStyle name="쉼표 [0] 3 4 3 2 2 3" xfId="3354" xr:uid="{00000000-0005-0000-0000-000034000000}"/>
    <cellStyle name="쉼표 [0] 3 4 3 2 3" xfId="4010" xr:uid="{00000000-0005-0000-0000-000034000000}"/>
    <cellStyle name="쉼표 [0] 3 4 3 2 4" xfId="2297" xr:uid="{00000000-0005-0000-0000-000034000000}"/>
    <cellStyle name="쉼표 [0] 3 4 3 3" xfId="1233" xr:uid="{00000000-0005-0000-0000-000034000000}"/>
    <cellStyle name="쉼표 [0] 3 4 3 3 2" xfId="4660" xr:uid="{00000000-0005-0000-0000-000034000000}"/>
    <cellStyle name="쉼표 [0] 3 4 3 3 3" xfId="2947" xr:uid="{00000000-0005-0000-0000-000034000000}"/>
    <cellStyle name="쉼표 [0] 3 4 3 4" xfId="991" xr:uid="{00000000-0005-0000-0000-000034000000}"/>
    <cellStyle name="쉼표 [0] 3 4 3 4 2" xfId="4419" xr:uid="{00000000-0005-0000-0000-000034000000}"/>
    <cellStyle name="쉼표 [0] 3 4 3 4 3" xfId="2706" xr:uid="{00000000-0005-0000-0000-000034000000}"/>
    <cellStyle name="쉼표 [0] 3 4 3 5" xfId="3602" xr:uid="{00000000-0005-0000-0000-000034000000}"/>
    <cellStyle name="쉼표 [0] 3 4 3 6" xfId="1889" xr:uid="{00000000-0005-0000-0000-000034000000}"/>
    <cellStyle name="쉼표 [0] 3 4 4" xfId="499" xr:uid="{00000000-0005-0000-0000-000034000000}"/>
    <cellStyle name="쉼표 [0] 3 4 4 2" xfId="1559" xr:uid="{00000000-0005-0000-0000-000034000000}"/>
    <cellStyle name="쉼표 [0] 3 4 4 2 2" xfId="4985" xr:uid="{00000000-0005-0000-0000-000034000000}"/>
    <cellStyle name="쉼표 [0] 3 4 4 2 3" xfId="3272" xr:uid="{00000000-0005-0000-0000-000034000000}"/>
    <cellStyle name="쉼표 [0] 3 4 4 3" xfId="909" xr:uid="{00000000-0005-0000-0000-000034000000}"/>
    <cellStyle name="쉼표 [0] 3 4 4 3 2" xfId="4337" xr:uid="{00000000-0005-0000-0000-000034000000}"/>
    <cellStyle name="쉼표 [0] 3 4 4 3 3" xfId="2624" xr:uid="{00000000-0005-0000-0000-000034000000}"/>
    <cellStyle name="쉼표 [0] 3 4 4 4" xfId="3928" xr:uid="{00000000-0005-0000-0000-000034000000}"/>
    <cellStyle name="쉼표 [0] 3 4 4 5" xfId="2215" xr:uid="{00000000-0005-0000-0000-000034000000}"/>
    <cellStyle name="쉼표 [0] 3 4 5" xfId="336" xr:uid="{00000000-0005-0000-0000-000034000000}"/>
    <cellStyle name="쉼표 [0] 3 4 5 2" xfId="1396" xr:uid="{00000000-0005-0000-0000-000034000000}"/>
    <cellStyle name="쉼표 [0] 3 4 5 2 2" xfId="4823" xr:uid="{00000000-0005-0000-0000-000034000000}"/>
    <cellStyle name="쉼표 [0] 3 4 5 2 3" xfId="3110" xr:uid="{00000000-0005-0000-0000-000034000000}"/>
    <cellStyle name="쉼표 [0] 3 4 5 3" xfId="3766" xr:uid="{00000000-0005-0000-0000-000034000000}"/>
    <cellStyle name="쉼표 [0] 3 4 5 4" xfId="2053" xr:uid="{00000000-0005-0000-0000-000034000000}"/>
    <cellStyle name="쉼표 [0] 3 4 6" xfId="1154" xr:uid="{00000000-0005-0000-0000-000034000000}"/>
    <cellStyle name="쉼표 [0] 3 4 6 2" xfId="4581" xr:uid="{00000000-0005-0000-0000-000034000000}"/>
    <cellStyle name="쉼표 [0] 3 4 6 3" xfId="2868" xr:uid="{00000000-0005-0000-0000-000034000000}"/>
    <cellStyle name="쉼표 [0] 3 4 7" xfId="747" xr:uid="{00000000-0005-0000-0000-000034000000}"/>
    <cellStyle name="쉼표 [0] 3 4 7 2" xfId="4175" xr:uid="{00000000-0005-0000-0000-000034000000}"/>
    <cellStyle name="쉼표 [0] 3 4 7 3" xfId="2462" xr:uid="{00000000-0005-0000-0000-000034000000}"/>
    <cellStyle name="쉼표 [0] 3 4 8" xfId="3520" xr:uid="{00000000-0005-0000-0000-000034000000}"/>
    <cellStyle name="쉼표 [0] 3 4 9" xfId="1807" xr:uid="{00000000-0005-0000-0000-000034000000}"/>
    <cellStyle name="쉼표 [0] 3 5" xfId="212" xr:uid="{00000000-0005-0000-0000-000036000000}"/>
    <cellStyle name="쉼표 [0] 3 5 2" xfId="623" xr:uid="{00000000-0005-0000-0000-000036000000}"/>
    <cellStyle name="쉼표 [0] 3 5 2 2" xfId="1683" xr:uid="{00000000-0005-0000-0000-000036000000}"/>
    <cellStyle name="쉼표 [0] 3 5 2 2 2" xfId="5109" xr:uid="{00000000-0005-0000-0000-000036000000}"/>
    <cellStyle name="쉼표 [0] 3 5 2 2 3" xfId="3396" xr:uid="{00000000-0005-0000-0000-000036000000}"/>
    <cellStyle name="쉼표 [0] 3 5 2 3" xfId="1033" xr:uid="{00000000-0005-0000-0000-000036000000}"/>
    <cellStyle name="쉼표 [0] 3 5 2 3 2" xfId="4461" xr:uid="{00000000-0005-0000-0000-000036000000}"/>
    <cellStyle name="쉼표 [0] 3 5 2 3 3" xfId="2748" xr:uid="{00000000-0005-0000-0000-000036000000}"/>
    <cellStyle name="쉼표 [0] 3 5 2 4" xfId="4052" xr:uid="{00000000-0005-0000-0000-000036000000}"/>
    <cellStyle name="쉼표 [0] 3 5 2 5" xfId="2339" xr:uid="{00000000-0005-0000-0000-000036000000}"/>
    <cellStyle name="쉼표 [0] 3 5 3" xfId="378" xr:uid="{00000000-0005-0000-0000-000036000000}"/>
    <cellStyle name="쉼표 [0] 3 5 3 2" xfId="1438" xr:uid="{00000000-0005-0000-0000-000036000000}"/>
    <cellStyle name="쉼표 [0] 3 5 3 2 2" xfId="4865" xr:uid="{00000000-0005-0000-0000-000036000000}"/>
    <cellStyle name="쉼표 [0] 3 5 3 2 3" xfId="3152" xr:uid="{00000000-0005-0000-0000-000036000000}"/>
    <cellStyle name="쉼표 [0] 3 5 3 3" xfId="3808" xr:uid="{00000000-0005-0000-0000-000036000000}"/>
    <cellStyle name="쉼표 [0] 3 5 3 4" xfId="2095" xr:uid="{00000000-0005-0000-0000-000036000000}"/>
    <cellStyle name="쉼표 [0] 3 5 4" xfId="1274" xr:uid="{00000000-0005-0000-0000-000036000000}"/>
    <cellStyle name="쉼표 [0] 3 5 4 2" xfId="4701" xr:uid="{00000000-0005-0000-0000-000036000000}"/>
    <cellStyle name="쉼표 [0] 3 5 4 3" xfId="2988" xr:uid="{00000000-0005-0000-0000-000036000000}"/>
    <cellStyle name="쉼표 [0] 3 5 5" xfId="789" xr:uid="{00000000-0005-0000-0000-000036000000}"/>
    <cellStyle name="쉼표 [0] 3 5 5 2" xfId="4217" xr:uid="{00000000-0005-0000-0000-000036000000}"/>
    <cellStyle name="쉼표 [0] 3 5 5 3" xfId="2504" xr:uid="{00000000-0005-0000-0000-000036000000}"/>
    <cellStyle name="쉼표 [0] 3 5 6" xfId="3644" xr:uid="{00000000-0005-0000-0000-000036000000}"/>
    <cellStyle name="쉼표 [0] 3 5 7" xfId="1931" xr:uid="{00000000-0005-0000-0000-000036000000}"/>
    <cellStyle name="쉼표 [0] 3 6" xfId="129" xr:uid="{00000000-0005-0000-0000-000036000000}"/>
    <cellStyle name="쉼표 [0] 3 6 2" xfId="540" xr:uid="{00000000-0005-0000-0000-000036000000}"/>
    <cellStyle name="쉼표 [0] 3 6 2 2" xfId="1600" xr:uid="{00000000-0005-0000-0000-000036000000}"/>
    <cellStyle name="쉼표 [0] 3 6 2 2 2" xfId="5026" xr:uid="{00000000-0005-0000-0000-000036000000}"/>
    <cellStyle name="쉼표 [0] 3 6 2 2 3" xfId="3313" xr:uid="{00000000-0005-0000-0000-000036000000}"/>
    <cellStyle name="쉼표 [0] 3 6 2 3" xfId="3969" xr:uid="{00000000-0005-0000-0000-000036000000}"/>
    <cellStyle name="쉼표 [0] 3 6 2 4" xfId="2256" xr:uid="{00000000-0005-0000-0000-000036000000}"/>
    <cellStyle name="쉼표 [0] 3 6 3" xfId="1193" xr:uid="{00000000-0005-0000-0000-000036000000}"/>
    <cellStyle name="쉼표 [0] 3 6 3 2" xfId="4620" xr:uid="{00000000-0005-0000-0000-000036000000}"/>
    <cellStyle name="쉼표 [0] 3 6 3 3" xfId="2907" xr:uid="{00000000-0005-0000-0000-000036000000}"/>
    <cellStyle name="쉼표 [0] 3 6 4" xfId="950" xr:uid="{00000000-0005-0000-0000-000036000000}"/>
    <cellStyle name="쉼표 [0] 3 6 4 2" xfId="4378" xr:uid="{00000000-0005-0000-0000-000036000000}"/>
    <cellStyle name="쉼표 [0] 3 6 4 3" xfId="2665" xr:uid="{00000000-0005-0000-0000-000036000000}"/>
    <cellStyle name="쉼표 [0] 3 6 5" xfId="3561" xr:uid="{00000000-0005-0000-0000-000036000000}"/>
    <cellStyle name="쉼표 [0] 3 6 6" xfId="1848" xr:uid="{00000000-0005-0000-0000-000036000000}"/>
    <cellStyle name="쉼표 [0] 3 7" xfId="459" xr:uid="{00000000-0005-0000-0000-000036000000}"/>
    <cellStyle name="쉼표 [0] 3 7 2" xfId="1519" xr:uid="{00000000-0005-0000-0000-000036000000}"/>
    <cellStyle name="쉼표 [0] 3 7 2 2" xfId="4945" xr:uid="{00000000-0005-0000-0000-000036000000}"/>
    <cellStyle name="쉼표 [0] 3 7 2 3" xfId="3232" xr:uid="{00000000-0005-0000-0000-000036000000}"/>
    <cellStyle name="쉼표 [0] 3 7 3" xfId="869" xr:uid="{00000000-0005-0000-0000-000036000000}"/>
    <cellStyle name="쉼표 [0] 3 7 3 2" xfId="4297" xr:uid="{00000000-0005-0000-0000-000036000000}"/>
    <cellStyle name="쉼표 [0] 3 7 3 3" xfId="2584" xr:uid="{00000000-0005-0000-0000-000036000000}"/>
    <cellStyle name="쉼표 [0] 3 7 4" xfId="3888" xr:uid="{00000000-0005-0000-0000-000036000000}"/>
    <cellStyle name="쉼표 [0] 3 7 5" xfId="2175" xr:uid="{00000000-0005-0000-0000-000036000000}"/>
    <cellStyle name="쉼표 [0] 3 8" xfId="295" xr:uid="{00000000-0005-0000-0000-000036000000}"/>
    <cellStyle name="쉼표 [0] 3 8 2" xfId="1355" xr:uid="{00000000-0005-0000-0000-000036000000}"/>
    <cellStyle name="쉼표 [0] 3 8 2 2" xfId="4782" xr:uid="{00000000-0005-0000-0000-000036000000}"/>
    <cellStyle name="쉼표 [0] 3 8 2 3" xfId="3069" xr:uid="{00000000-0005-0000-0000-000036000000}"/>
    <cellStyle name="쉼표 [0] 3 8 3" xfId="3725" xr:uid="{00000000-0005-0000-0000-000036000000}"/>
    <cellStyle name="쉼표 [0] 3 8 4" xfId="2012" xr:uid="{00000000-0005-0000-0000-000036000000}"/>
    <cellStyle name="쉼표 [0] 3 9" xfId="1114" xr:uid="{00000000-0005-0000-0000-000036000000}"/>
    <cellStyle name="쉼표 [0] 3 9 2" xfId="4541" xr:uid="{00000000-0005-0000-0000-000036000000}"/>
    <cellStyle name="쉼표 [0] 3 9 3" xfId="2828" xr:uid="{00000000-0005-0000-0000-000036000000}"/>
    <cellStyle name="쉼표 [0] 30" xfId="456" xr:uid="{00000000-0005-0000-0000-0000FB000000}"/>
    <cellStyle name="쉼표 [0] 30 2" xfId="1516" xr:uid="{00000000-0005-0000-0000-0000FB000000}"/>
    <cellStyle name="쉼표 [0] 30 2 2" xfId="4942" xr:uid="{00000000-0005-0000-0000-0000FB000000}"/>
    <cellStyle name="쉼표 [0] 30 2 3" xfId="3229" xr:uid="{00000000-0005-0000-0000-0000FB000000}"/>
    <cellStyle name="쉼표 [0] 30 3" xfId="866" xr:uid="{00000000-0005-0000-0000-0000FB000000}"/>
    <cellStyle name="쉼표 [0] 30 3 2" xfId="4294" xr:uid="{00000000-0005-0000-0000-0000FB000000}"/>
    <cellStyle name="쉼표 [0] 30 3 3" xfId="2581" xr:uid="{00000000-0005-0000-0000-0000FB000000}"/>
    <cellStyle name="쉼표 [0] 30 4" xfId="3885" xr:uid="{00000000-0005-0000-0000-0000FB000000}"/>
    <cellStyle name="쉼표 [0] 30 5" xfId="2172" xr:uid="{00000000-0005-0000-0000-0000FB000000}"/>
    <cellStyle name="쉼표 [0] 31" xfId="373" xr:uid="{00000000-0005-0000-0000-000051010000}"/>
    <cellStyle name="쉼표 [0] 31 2" xfId="1433" xr:uid="{00000000-0005-0000-0000-000051010000}"/>
    <cellStyle name="쉼표 [0] 31 2 2" xfId="4860" xr:uid="{00000000-0005-0000-0000-000051010000}"/>
    <cellStyle name="쉼표 [0] 31 2 3" xfId="3147" xr:uid="{00000000-0005-0000-0000-000051010000}"/>
    <cellStyle name="쉼표 [0] 31 3" xfId="3803" xr:uid="{00000000-0005-0000-0000-000051010000}"/>
    <cellStyle name="쉼표 [0] 31 4" xfId="2090" xr:uid="{00000000-0005-0000-0000-000051010000}"/>
    <cellStyle name="쉼표 [0] 32" xfId="701" xr:uid="{00000000-0005-0000-0000-000031000000}"/>
    <cellStyle name="쉼표 [0] 32 2" xfId="1760" xr:uid="{00000000-0005-0000-0000-000031000000}"/>
    <cellStyle name="쉼표 [0] 32 2 2" xfId="5186" xr:uid="{00000000-0005-0000-0000-000031000000}"/>
    <cellStyle name="쉼표 [0] 32 2 3" xfId="3473" xr:uid="{00000000-0005-0000-0000-000031000000}"/>
    <cellStyle name="쉼표 [0] 32 3" xfId="4129" xr:uid="{00000000-0005-0000-0000-000031000000}"/>
    <cellStyle name="쉼표 [0] 32 4" xfId="5189" xr:uid="{A69B295B-2B84-4775-BA0B-316157C4BC1C}"/>
    <cellStyle name="쉼표 [0] 32 5" xfId="2416" xr:uid="{00000000-0005-0000-0000-000031000000}"/>
    <cellStyle name="쉼표 [0] 33" xfId="1111" xr:uid="{00000000-0005-0000-0000-0000F0010000}"/>
    <cellStyle name="쉼표 [0] 33 2" xfId="4538" xr:uid="{00000000-0005-0000-0000-0000F0010000}"/>
    <cellStyle name="쉼표 [0] 33 3" xfId="2825" xr:uid="{00000000-0005-0000-0000-0000F0010000}"/>
    <cellStyle name="쉼표 [0] 34" xfId="784" xr:uid="{00000000-0005-0000-0000-0000EC020000}"/>
    <cellStyle name="쉼표 [0] 34 2" xfId="4212" xr:uid="{00000000-0005-0000-0000-0000EC020000}"/>
    <cellStyle name="쉼표 [0] 34 3" xfId="2499" xr:uid="{00000000-0005-0000-0000-0000EC020000}"/>
    <cellStyle name="쉼표 [0] 35" xfId="2" xr:uid="{00000000-0005-0000-0000-000032000000}"/>
    <cellStyle name="쉼표 [0] 35 2" xfId="3474" xr:uid="{00000000-0005-0000-0000-00000D070000}"/>
    <cellStyle name="쉼표 [0] 36" xfId="5188" xr:uid="{C908BA40-5E14-4AF8-B44B-B77698CB8C6D}"/>
    <cellStyle name="쉼표 [0] 37" xfId="5190" xr:uid="{00000000-0005-0000-0000-0000C30D0000}"/>
    <cellStyle name="쉼표 [0] 38" xfId="5192" xr:uid="{00000000-0005-0000-0000-0000C20D0000}"/>
    <cellStyle name="쉼표 [0] 39" xfId="5200" xr:uid="{626B1A51-FA43-4E9D-BFA8-A435D8F4F5CA}"/>
    <cellStyle name="쉼표 [0] 4" xfId="35" xr:uid="{4040B616-1B9E-454A-A0F9-AFCEE7DDF244}"/>
    <cellStyle name="쉼표 [0] 4 10" xfId="3492" xr:uid="{4040B616-1B9E-454A-A0F9-AFCEE7DDF244}"/>
    <cellStyle name="쉼표 [0] 4 11" xfId="1779" xr:uid="{4040B616-1B9E-454A-A0F9-AFCEE7DDF244}"/>
    <cellStyle name="쉼표 [0] 4 2" xfId="49" xr:uid="{C3865435-A92A-4908-B1E7-9436703AB197}"/>
    <cellStyle name="쉼표 [0] 4 2 10" xfId="1786" xr:uid="{C3865435-A92A-4908-B1E7-9436703AB197}"/>
    <cellStyle name="쉼표 [0] 4 2 2" xfId="100" xr:uid="{C3865435-A92A-4908-B1E7-9436703AB197}"/>
    <cellStyle name="쉼표 [0] 4 2 2 2" xfId="267" xr:uid="{C3865435-A92A-4908-B1E7-9436703AB197}"/>
    <cellStyle name="쉼표 [0] 4 2 2 2 2" xfId="678" xr:uid="{C3865435-A92A-4908-B1E7-9436703AB197}"/>
    <cellStyle name="쉼표 [0] 4 2 2 2 2 2" xfId="1738" xr:uid="{C3865435-A92A-4908-B1E7-9436703AB197}"/>
    <cellStyle name="쉼표 [0] 4 2 2 2 2 2 2" xfId="5164" xr:uid="{C3865435-A92A-4908-B1E7-9436703AB197}"/>
    <cellStyle name="쉼표 [0] 4 2 2 2 2 2 3" xfId="3451" xr:uid="{C3865435-A92A-4908-B1E7-9436703AB197}"/>
    <cellStyle name="쉼표 [0] 4 2 2 2 2 3" xfId="1088" xr:uid="{C3865435-A92A-4908-B1E7-9436703AB197}"/>
    <cellStyle name="쉼표 [0] 4 2 2 2 2 3 2" xfId="4516" xr:uid="{C3865435-A92A-4908-B1E7-9436703AB197}"/>
    <cellStyle name="쉼표 [0] 4 2 2 2 2 3 3" xfId="2803" xr:uid="{C3865435-A92A-4908-B1E7-9436703AB197}"/>
    <cellStyle name="쉼표 [0] 4 2 2 2 2 4" xfId="4107" xr:uid="{C3865435-A92A-4908-B1E7-9436703AB197}"/>
    <cellStyle name="쉼표 [0] 4 2 2 2 2 5" xfId="2394" xr:uid="{C3865435-A92A-4908-B1E7-9436703AB197}"/>
    <cellStyle name="쉼표 [0] 4 2 2 2 3" xfId="433" xr:uid="{C3865435-A92A-4908-B1E7-9436703AB197}"/>
    <cellStyle name="쉼표 [0] 4 2 2 2 3 2" xfId="1493" xr:uid="{C3865435-A92A-4908-B1E7-9436703AB197}"/>
    <cellStyle name="쉼표 [0] 4 2 2 2 3 2 2" xfId="4920" xr:uid="{C3865435-A92A-4908-B1E7-9436703AB197}"/>
    <cellStyle name="쉼표 [0] 4 2 2 2 3 2 3" xfId="3207" xr:uid="{C3865435-A92A-4908-B1E7-9436703AB197}"/>
    <cellStyle name="쉼표 [0] 4 2 2 2 3 3" xfId="3863" xr:uid="{C3865435-A92A-4908-B1E7-9436703AB197}"/>
    <cellStyle name="쉼표 [0] 4 2 2 2 3 4" xfId="2150" xr:uid="{C3865435-A92A-4908-B1E7-9436703AB197}"/>
    <cellStyle name="쉼표 [0] 4 2 2 2 4" xfId="1329" xr:uid="{C3865435-A92A-4908-B1E7-9436703AB197}"/>
    <cellStyle name="쉼표 [0] 4 2 2 2 4 2" xfId="4756" xr:uid="{C3865435-A92A-4908-B1E7-9436703AB197}"/>
    <cellStyle name="쉼표 [0] 4 2 2 2 4 3" xfId="3043" xr:uid="{C3865435-A92A-4908-B1E7-9436703AB197}"/>
    <cellStyle name="쉼표 [0] 4 2 2 2 5" xfId="844" xr:uid="{C3865435-A92A-4908-B1E7-9436703AB197}"/>
    <cellStyle name="쉼표 [0] 4 2 2 2 5 2" xfId="4272" xr:uid="{C3865435-A92A-4908-B1E7-9436703AB197}"/>
    <cellStyle name="쉼표 [0] 4 2 2 2 5 3" xfId="2559" xr:uid="{C3865435-A92A-4908-B1E7-9436703AB197}"/>
    <cellStyle name="쉼표 [0] 4 2 2 2 6" xfId="3699" xr:uid="{C3865435-A92A-4908-B1E7-9436703AB197}"/>
    <cellStyle name="쉼표 [0] 4 2 2 2 7" xfId="1986" xr:uid="{C3865435-A92A-4908-B1E7-9436703AB197}"/>
    <cellStyle name="쉼표 [0] 4 2 2 3" xfId="185" xr:uid="{C3865435-A92A-4908-B1E7-9436703AB197}"/>
    <cellStyle name="쉼표 [0] 4 2 2 3 2" xfId="596" xr:uid="{C3865435-A92A-4908-B1E7-9436703AB197}"/>
    <cellStyle name="쉼표 [0] 4 2 2 3 2 2" xfId="1656" xr:uid="{C3865435-A92A-4908-B1E7-9436703AB197}"/>
    <cellStyle name="쉼표 [0] 4 2 2 3 2 2 2" xfId="5082" xr:uid="{C3865435-A92A-4908-B1E7-9436703AB197}"/>
    <cellStyle name="쉼표 [0] 4 2 2 3 2 2 3" xfId="3369" xr:uid="{C3865435-A92A-4908-B1E7-9436703AB197}"/>
    <cellStyle name="쉼표 [0] 4 2 2 3 2 3" xfId="4025" xr:uid="{C3865435-A92A-4908-B1E7-9436703AB197}"/>
    <cellStyle name="쉼표 [0] 4 2 2 3 2 4" xfId="2312" xr:uid="{C3865435-A92A-4908-B1E7-9436703AB197}"/>
    <cellStyle name="쉼표 [0] 4 2 2 3 3" xfId="1248" xr:uid="{C3865435-A92A-4908-B1E7-9436703AB197}"/>
    <cellStyle name="쉼표 [0] 4 2 2 3 3 2" xfId="4675" xr:uid="{C3865435-A92A-4908-B1E7-9436703AB197}"/>
    <cellStyle name="쉼표 [0] 4 2 2 3 3 3" xfId="2962" xr:uid="{C3865435-A92A-4908-B1E7-9436703AB197}"/>
    <cellStyle name="쉼표 [0] 4 2 2 3 4" xfId="1006" xr:uid="{C3865435-A92A-4908-B1E7-9436703AB197}"/>
    <cellStyle name="쉼표 [0] 4 2 2 3 4 2" xfId="4434" xr:uid="{C3865435-A92A-4908-B1E7-9436703AB197}"/>
    <cellStyle name="쉼표 [0] 4 2 2 3 4 3" xfId="2721" xr:uid="{C3865435-A92A-4908-B1E7-9436703AB197}"/>
    <cellStyle name="쉼표 [0] 4 2 2 3 5" xfId="3617" xr:uid="{C3865435-A92A-4908-B1E7-9436703AB197}"/>
    <cellStyle name="쉼표 [0] 4 2 2 3 6" xfId="1904" xr:uid="{C3865435-A92A-4908-B1E7-9436703AB197}"/>
    <cellStyle name="쉼표 [0] 4 2 2 4" xfId="514" xr:uid="{C3865435-A92A-4908-B1E7-9436703AB197}"/>
    <cellStyle name="쉼표 [0] 4 2 2 4 2" xfId="1574" xr:uid="{C3865435-A92A-4908-B1E7-9436703AB197}"/>
    <cellStyle name="쉼표 [0] 4 2 2 4 2 2" xfId="5000" xr:uid="{C3865435-A92A-4908-B1E7-9436703AB197}"/>
    <cellStyle name="쉼표 [0] 4 2 2 4 2 3" xfId="3287" xr:uid="{C3865435-A92A-4908-B1E7-9436703AB197}"/>
    <cellStyle name="쉼표 [0] 4 2 2 4 3" xfId="924" xr:uid="{C3865435-A92A-4908-B1E7-9436703AB197}"/>
    <cellStyle name="쉼표 [0] 4 2 2 4 3 2" xfId="4352" xr:uid="{C3865435-A92A-4908-B1E7-9436703AB197}"/>
    <cellStyle name="쉼표 [0] 4 2 2 4 3 3" xfId="2639" xr:uid="{C3865435-A92A-4908-B1E7-9436703AB197}"/>
    <cellStyle name="쉼표 [0] 4 2 2 4 4" xfId="3943" xr:uid="{C3865435-A92A-4908-B1E7-9436703AB197}"/>
    <cellStyle name="쉼표 [0] 4 2 2 4 5" xfId="2230" xr:uid="{C3865435-A92A-4908-B1E7-9436703AB197}"/>
    <cellStyle name="쉼표 [0] 4 2 2 5" xfId="351" xr:uid="{C3865435-A92A-4908-B1E7-9436703AB197}"/>
    <cellStyle name="쉼표 [0] 4 2 2 5 2" xfId="1411" xr:uid="{C3865435-A92A-4908-B1E7-9436703AB197}"/>
    <cellStyle name="쉼표 [0] 4 2 2 5 2 2" xfId="4838" xr:uid="{C3865435-A92A-4908-B1E7-9436703AB197}"/>
    <cellStyle name="쉼표 [0] 4 2 2 5 2 3" xfId="3125" xr:uid="{C3865435-A92A-4908-B1E7-9436703AB197}"/>
    <cellStyle name="쉼표 [0] 4 2 2 5 3" xfId="3781" xr:uid="{C3865435-A92A-4908-B1E7-9436703AB197}"/>
    <cellStyle name="쉼표 [0] 4 2 2 5 4" xfId="2068" xr:uid="{C3865435-A92A-4908-B1E7-9436703AB197}"/>
    <cellStyle name="쉼표 [0] 4 2 2 6" xfId="1169" xr:uid="{C3865435-A92A-4908-B1E7-9436703AB197}"/>
    <cellStyle name="쉼표 [0] 4 2 2 6 2" xfId="4596" xr:uid="{C3865435-A92A-4908-B1E7-9436703AB197}"/>
    <cellStyle name="쉼표 [0] 4 2 2 6 3" xfId="2883" xr:uid="{C3865435-A92A-4908-B1E7-9436703AB197}"/>
    <cellStyle name="쉼표 [0] 4 2 2 7" xfId="762" xr:uid="{C3865435-A92A-4908-B1E7-9436703AB197}"/>
    <cellStyle name="쉼표 [0] 4 2 2 7 2" xfId="4190" xr:uid="{C3865435-A92A-4908-B1E7-9436703AB197}"/>
    <cellStyle name="쉼표 [0] 4 2 2 7 3" xfId="2477" xr:uid="{C3865435-A92A-4908-B1E7-9436703AB197}"/>
    <cellStyle name="쉼표 [0] 4 2 2 8" xfId="3535" xr:uid="{C3865435-A92A-4908-B1E7-9436703AB197}"/>
    <cellStyle name="쉼표 [0] 4 2 2 9" xfId="1822" xr:uid="{C3865435-A92A-4908-B1E7-9436703AB197}"/>
    <cellStyle name="쉼표 [0] 4 2 3" xfId="231" xr:uid="{C3865435-A92A-4908-B1E7-9436703AB197}"/>
    <cellStyle name="쉼표 [0] 4 2 3 2" xfId="642" xr:uid="{C3865435-A92A-4908-B1E7-9436703AB197}"/>
    <cellStyle name="쉼표 [0] 4 2 3 2 2" xfId="1702" xr:uid="{C3865435-A92A-4908-B1E7-9436703AB197}"/>
    <cellStyle name="쉼표 [0] 4 2 3 2 2 2" xfId="5128" xr:uid="{C3865435-A92A-4908-B1E7-9436703AB197}"/>
    <cellStyle name="쉼표 [0] 4 2 3 2 2 3" xfId="3415" xr:uid="{C3865435-A92A-4908-B1E7-9436703AB197}"/>
    <cellStyle name="쉼표 [0] 4 2 3 2 3" xfId="1052" xr:uid="{C3865435-A92A-4908-B1E7-9436703AB197}"/>
    <cellStyle name="쉼표 [0] 4 2 3 2 3 2" xfId="4480" xr:uid="{C3865435-A92A-4908-B1E7-9436703AB197}"/>
    <cellStyle name="쉼표 [0] 4 2 3 2 3 3" xfId="2767" xr:uid="{C3865435-A92A-4908-B1E7-9436703AB197}"/>
    <cellStyle name="쉼표 [0] 4 2 3 2 4" xfId="4071" xr:uid="{C3865435-A92A-4908-B1E7-9436703AB197}"/>
    <cellStyle name="쉼표 [0] 4 2 3 2 5" xfId="2358" xr:uid="{C3865435-A92A-4908-B1E7-9436703AB197}"/>
    <cellStyle name="쉼표 [0] 4 2 3 3" xfId="397" xr:uid="{C3865435-A92A-4908-B1E7-9436703AB197}"/>
    <cellStyle name="쉼표 [0] 4 2 3 3 2" xfId="1457" xr:uid="{C3865435-A92A-4908-B1E7-9436703AB197}"/>
    <cellStyle name="쉼표 [0] 4 2 3 3 2 2" xfId="4884" xr:uid="{C3865435-A92A-4908-B1E7-9436703AB197}"/>
    <cellStyle name="쉼표 [0] 4 2 3 3 2 3" xfId="3171" xr:uid="{C3865435-A92A-4908-B1E7-9436703AB197}"/>
    <cellStyle name="쉼표 [0] 4 2 3 3 3" xfId="3827" xr:uid="{C3865435-A92A-4908-B1E7-9436703AB197}"/>
    <cellStyle name="쉼표 [0] 4 2 3 3 4" xfId="2114" xr:uid="{C3865435-A92A-4908-B1E7-9436703AB197}"/>
    <cellStyle name="쉼표 [0] 4 2 3 4" xfId="1293" xr:uid="{C3865435-A92A-4908-B1E7-9436703AB197}"/>
    <cellStyle name="쉼표 [0] 4 2 3 4 2" xfId="4720" xr:uid="{C3865435-A92A-4908-B1E7-9436703AB197}"/>
    <cellStyle name="쉼표 [0] 4 2 3 4 3" xfId="3007" xr:uid="{C3865435-A92A-4908-B1E7-9436703AB197}"/>
    <cellStyle name="쉼표 [0] 4 2 3 5" xfId="808" xr:uid="{C3865435-A92A-4908-B1E7-9436703AB197}"/>
    <cellStyle name="쉼표 [0] 4 2 3 5 2" xfId="4236" xr:uid="{C3865435-A92A-4908-B1E7-9436703AB197}"/>
    <cellStyle name="쉼표 [0] 4 2 3 5 3" xfId="2523" xr:uid="{C3865435-A92A-4908-B1E7-9436703AB197}"/>
    <cellStyle name="쉼표 [0] 4 2 3 6" xfId="3663" xr:uid="{C3865435-A92A-4908-B1E7-9436703AB197}"/>
    <cellStyle name="쉼표 [0] 4 2 3 7" xfId="1950" xr:uid="{C3865435-A92A-4908-B1E7-9436703AB197}"/>
    <cellStyle name="쉼표 [0] 4 2 4" xfId="149" xr:uid="{C3865435-A92A-4908-B1E7-9436703AB197}"/>
    <cellStyle name="쉼표 [0] 4 2 4 2" xfId="560" xr:uid="{C3865435-A92A-4908-B1E7-9436703AB197}"/>
    <cellStyle name="쉼표 [0] 4 2 4 2 2" xfId="1620" xr:uid="{C3865435-A92A-4908-B1E7-9436703AB197}"/>
    <cellStyle name="쉼표 [0] 4 2 4 2 2 2" xfId="5046" xr:uid="{C3865435-A92A-4908-B1E7-9436703AB197}"/>
    <cellStyle name="쉼표 [0] 4 2 4 2 2 3" xfId="3333" xr:uid="{C3865435-A92A-4908-B1E7-9436703AB197}"/>
    <cellStyle name="쉼표 [0] 4 2 4 2 3" xfId="3989" xr:uid="{C3865435-A92A-4908-B1E7-9436703AB197}"/>
    <cellStyle name="쉼표 [0] 4 2 4 2 4" xfId="2276" xr:uid="{C3865435-A92A-4908-B1E7-9436703AB197}"/>
    <cellStyle name="쉼표 [0] 4 2 4 3" xfId="1212" xr:uid="{C3865435-A92A-4908-B1E7-9436703AB197}"/>
    <cellStyle name="쉼표 [0] 4 2 4 3 2" xfId="4639" xr:uid="{C3865435-A92A-4908-B1E7-9436703AB197}"/>
    <cellStyle name="쉼표 [0] 4 2 4 3 3" xfId="2926" xr:uid="{C3865435-A92A-4908-B1E7-9436703AB197}"/>
    <cellStyle name="쉼표 [0] 4 2 4 4" xfId="970" xr:uid="{C3865435-A92A-4908-B1E7-9436703AB197}"/>
    <cellStyle name="쉼표 [0] 4 2 4 4 2" xfId="4398" xr:uid="{C3865435-A92A-4908-B1E7-9436703AB197}"/>
    <cellStyle name="쉼표 [0] 4 2 4 4 3" xfId="2685" xr:uid="{C3865435-A92A-4908-B1E7-9436703AB197}"/>
    <cellStyle name="쉼표 [0] 4 2 4 5" xfId="3581" xr:uid="{C3865435-A92A-4908-B1E7-9436703AB197}"/>
    <cellStyle name="쉼표 [0] 4 2 4 6" xfId="1868" xr:uid="{C3865435-A92A-4908-B1E7-9436703AB197}"/>
    <cellStyle name="쉼표 [0] 4 2 5" xfId="478" xr:uid="{C3865435-A92A-4908-B1E7-9436703AB197}"/>
    <cellStyle name="쉼표 [0] 4 2 5 2" xfId="1538" xr:uid="{C3865435-A92A-4908-B1E7-9436703AB197}"/>
    <cellStyle name="쉼표 [0] 4 2 5 2 2" xfId="4964" xr:uid="{C3865435-A92A-4908-B1E7-9436703AB197}"/>
    <cellStyle name="쉼표 [0] 4 2 5 2 3" xfId="3251" xr:uid="{C3865435-A92A-4908-B1E7-9436703AB197}"/>
    <cellStyle name="쉼표 [0] 4 2 5 3" xfId="888" xr:uid="{C3865435-A92A-4908-B1E7-9436703AB197}"/>
    <cellStyle name="쉼표 [0] 4 2 5 3 2" xfId="4316" xr:uid="{C3865435-A92A-4908-B1E7-9436703AB197}"/>
    <cellStyle name="쉼표 [0] 4 2 5 3 3" xfId="2603" xr:uid="{C3865435-A92A-4908-B1E7-9436703AB197}"/>
    <cellStyle name="쉼표 [0] 4 2 5 4" xfId="3907" xr:uid="{C3865435-A92A-4908-B1E7-9436703AB197}"/>
    <cellStyle name="쉼표 [0] 4 2 5 5" xfId="2194" xr:uid="{C3865435-A92A-4908-B1E7-9436703AB197}"/>
    <cellStyle name="쉼표 [0] 4 2 6" xfId="315" xr:uid="{C3865435-A92A-4908-B1E7-9436703AB197}"/>
    <cellStyle name="쉼표 [0] 4 2 6 2" xfId="1375" xr:uid="{C3865435-A92A-4908-B1E7-9436703AB197}"/>
    <cellStyle name="쉼표 [0] 4 2 6 2 2" xfId="4802" xr:uid="{C3865435-A92A-4908-B1E7-9436703AB197}"/>
    <cellStyle name="쉼표 [0] 4 2 6 2 3" xfId="3089" xr:uid="{C3865435-A92A-4908-B1E7-9436703AB197}"/>
    <cellStyle name="쉼표 [0] 4 2 6 3" xfId="3745" xr:uid="{C3865435-A92A-4908-B1E7-9436703AB197}"/>
    <cellStyle name="쉼표 [0] 4 2 6 4" xfId="2032" xr:uid="{C3865435-A92A-4908-B1E7-9436703AB197}"/>
    <cellStyle name="쉼표 [0] 4 2 7" xfId="1133" xr:uid="{C3865435-A92A-4908-B1E7-9436703AB197}"/>
    <cellStyle name="쉼표 [0] 4 2 7 2" xfId="4560" xr:uid="{C3865435-A92A-4908-B1E7-9436703AB197}"/>
    <cellStyle name="쉼표 [0] 4 2 7 3" xfId="2847" xr:uid="{C3865435-A92A-4908-B1E7-9436703AB197}"/>
    <cellStyle name="쉼표 [0] 4 2 8" xfId="726" xr:uid="{C3865435-A92A-4908-B1E7-9436703AB197}"/>
    <cellStyle name="쉼표 [0] 4 2 8 2" xfId="4154" xr:uid="{C3865435-A92A-4908-B1E7-9436703AB197}"/>
    <cellStyle name="쉼표 [0] 4 2 8 3" xfId="2441" xr:uid="{C3865435-A92A-4908-B1E7-9436703AB197}"/>
    <cellStyle name="쉼표 [0] 4 2 9" xfId="3499" xr:uid="{C3865435-A92A-4908-B1E7-9436703AB197}"/>
    <cellStyle name="쉼표 [0] 4 3" xfId="93" xr:uid="{4040B616-1B9E-454A-A0F9-AFCEE7DDF244}"/>
    <cellStyle name="쉼표 [0] 4 3 2" xfId="260" xr:uid="{4040B616-1B9E-454A-A0F9-AFCEE7DDF244}"/>
    <cellStyle name="쉼표 [0] 4 3 2 2" xfId="671" xr:uid="{4040B616-1B9E-454A-A0F9-AFCEE7DDF244}"/>
    <cellStyle name="쉼표 [0] 4 3 2 2 2" xfId="1731" xr:uid="{4040B616-1B9E-454A-A0F9-AFCEE7DDF244}"/>
    <cellStyle name="쉼표 [0] 4 3 2 2 2 2" xfId="5157" xr:uid="{4040B616-1B9E-454A-A0F9-AFCEE7DDF244}"/>
    <cellStyle name="쉼표 [0] 4 3 2 2 2 3" xfId="3444" xr:uid="{4040B616-1B9E-454A-A0F9-AFCEE7DDF244}"/>
    <cellStyle name="쉼표 [0] 4 3 2 2 3" xfId="1081" xr:uid="{4040B616-1B9E-454A-A0F9-AFCEE7DDF244}"/>
    <cellStyle name="쉼표 [0] 4 3 2 2 3 2" xfId="4509" xr:uid="{4040B616-1B9E-454A-A0F9-AFCEE7DDF244}"/>
    <cellStyle name="쉼표 [0] 4 3 2 2 3 3" xfId="2796" xr:uid="{4040B616-1B9E-454A-A0F9-AFCEE7DDF244}"/>
    <cellStyle name="쉼표 [0] 4 3 2 2 4" xfId="4100" xr:uid="{4040B616-1B9E-454A-A0F9-AFCEE7DDF244}"/>
    <cellStyle name="쉼표 [0] 4 3 2 2 5" xfId="2387" xr:uid="{4040B616-1B9E-454A-A0F9-AFCEE7DDF244}"/>
    <cellStyle name="쉼표 [0] 4 3 2 3" xfId="426" xr:uid="{4040B616-1B9E-454A-A0F9-AFCEE7DDF244}"/>
    <cellStyle name="쉼표 [0] 4 3 2 3 2" xfId="1486" xr:uid="{4040B616-1B9E-454A-A0F9-AFCEE7DDF244}"/>
    <cellStyle name="쉼표 [0] 4 3 2 3 2 2" xfId="4913" xr:uid="{4040B616-1B9E-454A-A0F9-AFCEE7DDF244}"/>
    <cellStyle name="쉼표 [0] 4 3 2 3 2 3" xfId="3200" xr:uid="{4040B616-1B9E-454A-A0F9-AFCEE7DDF244}"/>
    <cellStyle name="쉼표 [0] 4 3 2 3 3" xfId="3856" xr:uid="{4040B616-1B9E-454A-A0F9-AFCEE7DDF244}"/>
    <cellStyle name="쉼표 [0] 4 3 2 3 4" xfId="2143" xr:uid="{4040B616-1B9E-454A-A0F9-AFCEE7DDF244}"/>
    <cellStyle name="쉼표 [0] 4 3 2 4" xfId="1322" xr:uid="{4040B616-1B9E-454A-A0F9-AFCEE7DDF244}"/>
    <cellStyle name="쉼표 [0] 4 3 2 4 2" xfId="4749" xr:uid="{4040B616-1B9E-454A-A0F9-AFCEE7DDF244}"/>
    <cellStyle name="쉼표 [0] 4 3 2 4 3" xfId="3036" xr:uid="{4040B616-1B9E-454A-A0F9-AFCEE7DDF244}"/>
    <cellStyle name="쉼표 [0] 4 3 2 5" xfId="837" xr:uid="{4040B616-1B9E-454A-A0F9-AFCEE7DDF244}"/>
    <cellStyle name="쉼표 [0] 4 3 2 5 2" xfId="4265" xr:uid="{4040B616-1B9E-454A-A0F9-AFCEE7DDF244}"/>
    <cellStyle name="쉼표 [0] 4 3 2 5 3" xfId="2552" xr:uid="{4040B616-1B9E-454A-A0F9-AFCEE7DDF244}"/>
    <cellStyle name="쉼표 [0] 4 3 2 6" xfId="3692" xr:uid="{4040B616-1B9E-454A-A0F9-AFCEE7DDF244}"/>
    <cellStyle name="쉼표 [0] 4 3 2 7" xfId="1979" xr:uid="{4040B616-1B9E-454A-A0F9-AFCEE7DDF244}"/>
    <cellStyle name="쉼표 [0] 4 3 3" xfId="178" xr:uid="{4040B616-1B9E-454A-A0F9-AFCEE7DDF244}"/>
    <cellStyle name="쉼표 [0] 4 3 3 2" xfId="589" xr:uid="{4040B616-1B9E-454A-A0F9-AFCEE7DDF244}"/>
    <cellStyle name="쉼표 [0] 4 3 3 2 2" xfId="1649" xr:uid="{4040B616-1B9E-454A-A0F9-AFCEE7DDF244}"/>
    <cellStyle name="쉼표 [0] 4 3 3 2 2 2" xfId="5075" xr:uid="{4040B616-1B9E-454A-A0F9-AFCEE7DDF244}"/>
    <cellStyle name="쉼표 [0] 4 3 3 2 2 3" xfId="3362" xr:uid="{4040B616-1B9E-454A-A0F9-AFCEE7DDF244}"/>
    <cellStyle name="쉼표 [0] 4 3 3 2 3" xfId="4018" xr:uid="{4040B616-1B9E-454A-A0F9-AFCEE7DDF244}"/>
    <cellStyle name="쉼표 [0] 4 3 3 2 4" xfId="2305" xr:uid="{4040B616-1B9E-454A-A0F9-AFCEE7DDF244}"/>
    <cellStyle name="쉼표 [0] 4 3 3 3" xfId="1241" xr:uid="{4040B616-1B9E-454A-A0F9-AFCEE7DDF244}"/>
    <cellStyle name="쉼표 [0] 4 3 3 3 2" xfId="4668" xr:uid="{4040B616-1B9E-454A-A0F9-AFCEE7DDF244}"/>
    <cellStyle name="쉼표 [0] 4 3 3 3 3" xfId="2955" xr:uid="{4040B616-1B9E-454A-A0F9-AFCEE7DDF244}"/>
    <cellStyle name="쉼표 [0] 4 3 3 4" xfId="999" xr:uid="{4040B616-1B9E-454A-A0F9-AFCEE7DDF244}"/>
    <cellStyle name="쉼표 [0] 4 3 3 4 2" xfId="4427" xr:uid="{4040B616-1B9E-454A-A0F9-AFCEE7DDF244}"/>
    <cellStyle name="쉼표 [0] 4 3 3 4 3" xfId="2714" xr:uid="{4040B616-1B9E-454A-A0F9-AFCEE7DDF244}"/>
    <cellStyle name="쉼표 [0] 4 3 3 5" xfId="3610" xr:uid="{4040B616-1B9E-454A-A0F9-AFCEE7DDF244}"/>
    <cellStyle name="쉼표 [0] 4 3 3 6" xfId="1897" xr:uid="{4040B616-1B9E-454A-A0F9-AFCEE7DDF244}"/>
    <cellStyle name="쉼표 [0] 4 3 4" xfId="507" xr:uid="{4040B616-1B9E-454A-A0F9-AFCEE7DDF244}"/>
    <cellStyle name="쉼표 [0] 4 3 4 2" xfId="1567" xr:uid="{4040B616-1B9E-454A-A0F9-AFCEE7DDF244}"/>
    <cellStyle name="쉼표 [0] 4 3 4 2 2" xfId="4993" xr:uid="{4040B616-1B9E-454A-A0F9-AFCEE7DDF244}"/>
    <cellStyle name="쉼표 [0] 4 3 4 2 3" xfId="3280" xr:uid="{4040B616-1B9E-454A-A0F9-AFCEE7DDF244}"/>
    <cellStyle name="쉼표 [0] 4 3 4 3" xfId="917" xr:uid="{4040B616-1B9E-454A-A0F9-AFCEE7DDF244}"/>
    <cellStyle name="쉼표 [0] 4 3 4 3 2" xfId="4345" xr:uid="{4040B616-1B9E-454A-A0F9-AFCEE7DDF244}"/>
    <cellStyle name="쉼표 [0] 4 3 4 3 3" xfId="2632" xr:uid="{4040B616-1B9E-454A-A0F9-AFCEE7DDF244}"/>
    <cellStyle name="쉼표 [0] 4 3 4 4" xfId="3936" xr:uid="{4040B616-1B9E-454A-A0F9-AFCEE7DDF244}"/>
    <cellStyle name="쉼표 [0] 4 3 4 5" xfId="2223" xr:uid="{4040B616-1B9E-454A-A0F9-AFCEE7DDF244}"/>
    <cellStyle name="쉼표 [0] 4 3 5" xfId="344" xr:uid="{4040B616-1B9E-454A-A0F9-AFCEE7DDF244}"/>
    <cellStyle name="쉼표 [0] 4 3 5 2" xfId="1404" xr:uid="{4040B616-1B9E-454A-A0F9-AFCEE7DDF244}"/>
    <cellStyle name="쉼표 [0] 4 3 5 2 2" xfId="4831" xr:uid="{4040B616-1B9E-454A-A0F9-AFCEE7DDF244}"/>
    <cellStyle name="쉼표 [0] 4 3 5 2 3" xfId="3118" xr:uid="{4040B616-1B9E-454A-A0F9-AFCEE7DDF244}"/>
    <cellStyle name="쉼표 [0] 4 3 5 3" xfId="3774" xr:uid="{4040B616-1B9E-454A-A0F9-AFCEE7DDF244}"/>
    <cellStyle name="쉼표 [0] 4 3 5 4" xfId="2061" xr:uid="{4040B616-1B9E-454A-A0F9-AFCEE7DDF244}"/>
    <cellStyle name="쉼표 [0] 4 3 6" xfId="1162" xr:uid="{4040B616-1B9E-454A-A0F9-AFCEE7DDF244}"/>
    <cellStyle name="쉼표 [0] 4 3 6 2" xfId="4589" xr:uid="{4040B616-1B9E-454A-A0F9-AFCEE7DDF244}"/>
    <cellStyle name="쉼표 [0] 4 3 6 3" xfId="2876" xr:uid="{4040B616-1B9E-454A-A0F9-AFCEE7DDF244}"/>
    <cellStyle name="쉼표 [0] 4 3 7" xfId="755" xr:uid="{4040B616-1B9E-454A-A0F9-AFCEE7DDF244}"/>
    <cellStyle name="쉼표 [0] 4 3 7 2" xfId="4183" xr:uid="{4040B616-1B9E-454A-A0F9-AFCEE7DDF244}"/>
    <cellStyle name="쉼표 [0] 4 3 7 3" xfId="2470" xr:uid="{4040B616-1B9E-454A-A0F9-AFCEE7DDF244}"/>
    <cellStyle name="쉼표 [0] 4 3 8" xfId="3528" xr:uid="{4040B616-1B9E-454A-A0F9-AFCEE7DDF244}"/>
    <cellStyle name="쉼표 [0] 4 3 9" xfId="1815" xr:uid="{4040B616-1B9E-454A-A0F9-AFCEE7DDF244}"/>
    <cellStyle name="쉼표 [0] 4 4" xfId="224" xr:uid="{4040B616-1B9E-454A-A0F9-AFCEE7DDF244}"/>
    <cellStyle name="쉼표 [0] 4 4 2" xfId="635" xr:uid="{4040B616-1B9E-454A-A0F9-AFCEE7DDF244}"/>
    <cellStyle name="쉼표 [0] 4 4 2 2" xfId="1695" xr:uid="{4040B616-1B9E-454A-A0F9-AFCEE7DDF244}"/>
    <cellStyle name="쉼표 [0] 4 4 2 2 2" xfId="5121" xr:uid="{4040B616-1B9E-454A-A0F9-AFCEE7DDF244}"/>
    <cellStyle name="쉼표 [0] 4 4 2 2 3" xfId="3408" xr:uid="{4040B616-1B9E-454A-A0F9-AFCEE7DDF244}"/>
    <cellStyle name="쉼표 [0] 4 4 2 3" xfId="1045" xr:uid="{4040B616-1B9E-454A-A0F9-AFCEE7DDF244}"/>
    <cellStyle name="쉼표 [0] 4 4 2 3 2" xfId="4473" xr:uid="{4040B616-1B9E-454A-A0F9-AFCEE7DDF244}"/>
    <cellStyle name="쉼표 [0] 4 4 2 3 3" xfId="2760" xr:uid="{4040B616-1B9E-454A-A0F9-AFCEE7DDF244}"/>
    <cellStyle name="쉼표 [0] 4 4 2 4" xfId="4064" xr:uid="{4040B616-1B9E-454A-A0F9-AFCEE7DDF244}"/>
    <cellStyle name="쉼표 [0] 4 4 2 5" xfId="2351" xr:uid="{4040B616-1B9E-454A-A0F9-AFCEE7DDF244}"/>
    <cellStyle name="쉼표 [0] 4 4 3" xfId="390" xr:uid="{4040B616-1B9E-454A-A0F9-AFCEE7DDF244}"/>
    <cellStyle name="쉼표 [0] 4 4 3 2" xfId="1450" xr:uid="{4040B616-1B9E-454A-A0F9-AFCEE7DDF244}"/>
    <cellStyle name="쉼표 [0] 4 4 3 2 2" xfId="4877" xr:uid="{4040B616-1B9E-454A-A0F9-AFCEE7DDF244}"/>
    <cellStyle name="쉼표 [0] 4 4 3 2 3" xfId="3164" xr:uid="{4040B616-1B9E-454A-A0F9-AFCEE7DDF244}"/>
    <cellStyle name="쉼표 [0] 4 4 3 3" xfId="3820" xr:uid="{4040B616-1B9E-454A-A0F9-AFCEE7DDF244}"/>
    <cellStyle name="쉼표 [0] 4 4 3 4" xfId="2107" xr:uid="{4040B616-1B9E-454A-A0F9-AFCEE7DDF244}"/>
    <cellStyle name="쉼표 [0] 4 4 4" xfId="1286" xr:uid="{4040B616-1B9E-454A-A0F9-AFCEE7DDF244}"/>
    <cellStyle name="쉼표 [0] 4 4 4 2" xfId="4713" xr:uid="{4040B616-1B9E-454A-A0F9-AFCEE7DDF244}"/>
    <cellStyle name="쉼표 [0] 4 4 4 3" xfId="3000" xr:uid="{4040B616-1B9E-454A-A0F9-AFCEE7DDF244}"/>
    <cellStyle name="쉼표 [0] 4 4 5" xfId="801" xr:uid="{4040B616-1B9E-454A-A0F9-AFCEE7DDF244}"/>
    <cellStyle name="쉼표 [0] 4 4 5 2" xfId="4229" xr:uid="{4040B616-1B9E-454A-A0F9-AFCEE7DDF244}"/>
    <cellStyle name="쉼표 [0] 4 4 5 3" xfId="2516" xr:uid="{4040B616-1B9E-454A-A0F9-AFCEE7DDF244}"/>
    <cellStyle name="쉼표 [0] 4 4 6" xfId="3656" xr:uid="{4040B616-1B9E-454A-A0F9-AFCEE7DDF244}"/>
    <cellStyle name="쉼표 [0] 4 4 7" xfId="1943" xr:uid="{4040B616-1B9E-454A-A0F9-AFCEE7DDF244}"/>
    <cellStyle name="쉼표 [0] 4 5" xfId="142" xr:uid="{4040B616-1B9E-454A-A0F9-AFCEE7DDF244}"/>
    <cellStyle name="쉼표 [0] 4 5 2" xfId="553" xr:uid="{4040B616-1B9E-454A-A0F9-AFCEE7DDF244}"/>
    <cellStyle name="쉼표 [0] 4 5 2 2" xfId="1613" xr:uid="{4040B616-1B9E-454A-A0F9-AFCEE7DDF244}"/>
    <cellStyle name="쉼표 [0] 4 5 2 2 2" xfId="5039" xr:uid="{4040B616-1B9E-454A-A0F9-AFCEE7DDF244}"/>
    <cellStyle name="쉼표 [0] 4 5 2 2 3" xfId="3326" xr:uid="{4040B616-1B9E-454A-A0F9-AFCEE7DDF244}"/>
    <cellStyle name="쉼표 [0] 4 5 2 3" xfId="3982" xr:uid="{4040B616-1B9E-454A-A0F9-AFCEE7DDF244}"/>
    <cellStyle name="쉼표 [0] 4 5 2 4" xfId="2269" xr:uid="{4040B616-1B9E-454A-A0F9-AFCEE7DDF244}"/>
    <cellStyle name="쉼표 [0] 4 5 3" xfId="1205" xr:uid="{4040B616-1B9E-454A-A0F9-AFCEE7DDF244}"/>
    <cellStyle name="쉼표 [0] 4 5 3 2" xfId="4632" xr:uid="{4040B616-1B9E-454A-A0F9-AFCEE7DDF244}"/>
    <cellStyle name="쉼표 [0] 4 5 3 3" xfId="2919" xr:uid="{4040B616-1B9E-454A-A0F9-AFCEE7DDF244}"/>
    <cellStyle name="쉼표 [0] 4 5 4" xfId="963" xr:uid="{4040B616-1B9E-454A-A0F9-AFCEE7DDF244}"/>
    <cellStyle name="쉼표 [0] 4 5 4 2" xfId="4391" xr:uid="{4040B616-1B9E-454A-A0F9-AFCEE7DDF244}"/>
    <cellStyle name="쉼표 [0] 4 5 4 3" xfId="2678" xr:uid="{4040B616-1B9E-454A-A0F9-AFCEE7DDF244}"/>
    <cellStyle name="쉼표 [0] 4 5 5" xfId="3574" xr:uid="{4040B616-1B9E-454A-A0F9-AFCEE7DDF244}"/>
    <cellStyle name="쉼표 [0] 4 5 6" xfId="1861" xr:uid="{4040B616-1B9E-454A-A0F9-AFCEE7DDF244}"/>
    <cellStyle name="쉼표 [0] 4 6" xfId="471" xr:uid="{4040B616-1B9E-454A-A0F9-AFCEE7DDF244}"/>
    <cellStyle name="쉼표 [0] 4 6 2" xfId="1531" xr:uid="{4040B616-1B9E-454A-A0F9-AFCEE7DDF244}"/>
    <cellStyle name="쉼표 [0] 4 6 2 2" xfId="4957" xr:uid="{4040B616-1B9E-454A-A0F9-AFCEE7DDF244}"/>
    <cellStyle name="쉼표 [0] 4 6 2 3" xfId="3244" xr:uid="{4040B616-1B9E-454A-A0F9-AFCEE7DDF244}"/>
    <cellStyle name="쉼표 [0] 4 6 3" xfId="881" xr:uid="{4040B616-1B9E-454A-A0F9-AFCEE7DDF244}"/>
    <cellStyle name="쉼표 [0] 4 6 3 2" xfId="4309" xr:uid="{4040B616-1B9E-454A-A0F9-AFCEE7DDF244}"/>
    <cellStyle name="쉼표 [0] 4 6 3 3" xfId="2596" xr:uid="{4040B616-1B9E-454A-A0F9-AFCEE7DDF244}"/>
    <cellStyle name="쉼표 [0] 4 6 4" xfId="3900" xr:uid="{4040B616-1B9E-454A-A0F9-AFCEE7DDF244}"/>
    <cellStyle name="쉼표 [0] 4 6 5" xfId="2187" xr:uid="{4040B616-1B9E-454A-A0F9-AFCEE7DDF244}"/>
    <cellStyle name="쉼표 [0] 4 7" xfId="308" xr:uid="{4040B616-1B9E-454A-A0F9-AFCEE7DDF244}"/>
    <cellStyle name="쉼표 [0] 4 7 2" xfId="1368" xr:uid="{4040B616-1B9E-454A-A0F9-AFCEE7DDF244}"/>
    <cellStyle name="쉼표 [0] 4 7 2 2" xfId="4795" xr:uid="{4040B616-1B9E-454A-A0F9-AFCEE7DDF244}"/>
    <cellStyle name="쉼표 [0] 4 7 2 3" xfId="3082" xr:uid="{4040B616-1B9E-454A-A0F9-AFCEE7DDF244}"/>
    <cellStyle name="쉼표 [0] 4 7 3" xfId="3738" xr:uid="{4040B616-1B9E-454A-A0F9-AFCEE7DDF244}"/>
    <cellStyle name="쉼표 [0] 4 7 4" xfId="2025" xr:uid="{4040B616-1B9E-454A-A0F9-AFCEE7DDF244}"/>
    <cellStyle name="쉼표 [0] 4 8" xfId="1126" xr:uid="{4040B616-1B9E-454A-A0F9-AFCEE7DDF244}"/>
    <cellStyle name="쉼표 [0] 4 8 2" xfId="4553" xr:uid="{4040B616-1B9E-454A-A0F9-AFCEE7DDF244}"/>
    <cellStyle name="쉼표 [0] 4 8 3" xfId="2840" xr:uid="{4040B616-1B9E-454A-A0F9-AFCEE7DDF244}"/>
    <cellStyle name="쉼표 [0] 4 9" xfId="719" xr:uid="{4040B616-1B9E-454A-A0F9-AFCEE7DDF244}"/>
    <cellStyle name="쉼표 [0] 4 9 2" xfId="4147" xr:uid="{4040B616-1B9E-454A-A0F9-AFCEE7DDF244}"/>
    <cellStyle name="쉼표 [0] 4 9 3" xfId="2434" xr:uid="{4040B616-1B9E-454A-A0F9-AFCEE7DDF244}"/>
    <cellStyle name="쉼표 [0] 40" xfId="5203" xr:uid="{00000000-0005-0000-0000-0000D00D0000}"/>
    <cellStyle name="쉼표 [0] 41" xfId="5204" xr:uid="{00000000-0005-0000-0000-0000D10D0000}"/>
    <cellStyle name="쉼표 [0] 42" xfId="5205" xr:uid="{00000000-0005-0000-0000-0000D20D0000}"/>
    <cellStyle name="쉼표 [0] 43" xfId="1761" xr:uid="{00000000-0005-0000-0000-000010070000}"/>
    <cellStyle name="쉼표 [0] 5" xfId="45" xr:uid="{88108E6E-E5A9-455F-A419-7576204CE4CC}"/>
    <cellStyle name="쉼표 [0] 5 10" xfId="1783" xr:uid="{88108E6E-E5A9-455F-A419-7576204CE4CC}"/>
    <cellStyle name="쉼표 [0] 5 2" xfId="97" xr:uid="{88108E6E-E5A9-455F-A419-7576204CE4CC}"/>
    <cellStyle name="쉼표 [0] 5 2 2" xfId="264" xr:uid="{88108E6E-E5A9-455F-A419-7576204CE4CC}"/>
    <cellStyle name="쉼표 [0] 5 2 2 2" xfId="675" xr:uid="{88108E6E-E5A9-455F-A419-7576204CE4CC}"/>
    <cellStyle name="쉼표 [0] 5 2 2 2 2" xfId="1735" xr:uid="{88108E6E-E5A9-455F-A419-7576204CE4CC}"/>
    <cellStyle name="쉼표 [0] 5 2 2 2 2 2" xfId="5161" xr:uid="{88108E6E-E5A9-455F-A419-7576204CE4CC}"/>
    <cellStyle name="쉼표 [0] 5 2 2 2 2 3" xfId="3448" xr:uid="{88108E6E-E5A9-455F-A419-7576204CE4CC}"/>
    <cellStyle name="쉼표 [0] 5 2 2 2 3" xfId="1085" xr:uid="{88108E6E-E5A9-455F-A419-7576204CE4CC}"/>
    <cellStyle name="쉼표 [0] 5 2 2 2 3 2" xfId="4513" xr:uid="{88108E6E-E5A9-455F-A419-7576204CE4CC}"/>
    <cellStyle name="쉼표 [0] 5 2 2 2 3 3" xfId="2800" xr:uid="{88108E6E-E5A9-455F-A419-7576204CE4CC}"/>
    <cellStyle name="쉼표 [0] 5 2 2 2 4" xfId="4104" xr:uid="{88108E6E-E5A9-455F-A419-7576204CE4CC}"/>
    <cellStyle name="쉼표 [0] 5 2 2 2 5" xfId="2391" xr:uid="{88108E6E-E5A9-455F-A419-7576204CE4CC}"/>
    <cellStyle name="쉼표 [0] 5 2 2 3" xfId="430" xr:uid="{88108E6E-E5A9-455F-A419-7576204CE4CC}"/>
    <cellStyle name="쉼표 [0] 5 2 2 3 2" xfId="1490" xr:uid="{88108E6E-E5A9-455F-A419-7576204CE4CC}"/>
    <cellStyle name="쉼표 [0] 5 2 2 3 2 2" xfId="4917" xr:uid="{88108E6E-E5A9-455F-A419-7576204CE4CC}"/>
    <cellStyle name="쉼표 [0] 5 2 2 3 2 3" xfId="3204" xr:uid="{88108E6E-E5A9-455F-A419-7576204CE4CC}"/>
    <cellStyle name="쉼표 [0] 5 2 2 3 3" xfId="3860" xr:uid="{88108E6E-E5A9-455F-A419-7576204CE4CC}"/>
    <cellStyle name="쉼표 [0] 5 2 2 3 4" xfId="2147" xr:uid="{88108E6E-E5A9-455F-A419-7576204CE4CC}"/>
    <cellStyle name="쉼표 [0] 5 2 2 4" xfId="1326" xr:uid="{88108E6E-E5A9-455F-A419-7576204CE4CC}"/>
    <cellStyle name="쉼표 [0] 5 2 2 4 2" xfId="4753" xr:uid="{88108E6E-E5A9-455F-A419-7576204CE4CC}"/>
    <cellStyle name="쉼표 [0] 5 2 2 4 3" xfId="3040" xr:uid="{88108E6E-E5A9-455F-A419-7576204CE4CC}"/>
    <cellStyle name="쉼표 [0] 5 2 2 5" xfId="841" xr:uid="{88108E6E-E5A9-455F-A419-7576204CE4CC}"/>
    <cellStyle name="쉼표 [0] 5 2 2 5 2" xfId="4269" xr:uid="{88108E6E-E5A9-455F-A419-7576204CE4CC}"/>
    <cellStyle name="쉼표 [0] 5 2 2 5 3" xfId="2556" xr:uid="{88108E6E-E5A9-455F-A419-7576204CE4CC}"/>
    <cellStyle name="쉼표 [0] 5 2 2 6" xfId="3696" xr:uid="{88108E6E-E5A9-455F-A419-7576204CE4CC}"/>
    <cellStyle name="쉼표 [0] 5 2 2 7" xfId="1983" xr:uid="{88108E6E-E5A9-455F-A419-7576204CE4CC}"/>
    <cellStyle name="쉼표 [0] 5 2 3" xfId="182" xr:uid="{88108E6E-E5A9-455F-A419-7576204CE4CC}"/>
    <cellStyle name="쉼표 [0] 5 2 3 2" xfId="593" xr:uid="{88108E6E-E5A9-455F-A419-7576204CE4CC}"/>
    <cellStyle name="쉼표 [0] 5 2 3 2 2" xfId="1653" xr:uid="{88108E6E-E5A9-455F-A419-7576204CE4CC}"/>
    <cellStyle name="쉼표 [0] 5 2 3 2 2 2" xfId="5079" xr:uid="{88108E6E-E5A9-455F-A419-7576204CE4CC}"/>
    <cellStyle name="쉼표 [0] 5 2 3 2 2 3" xfId="3366" xr:uid="{88108E6E-E5A9-455F-A419-7576204CE4CC}"/>
    <cellStyle name="쉼표 [0] 5 2 3 2 3" xfId="4022" xr:uid="{88108E6E-E5A9-455F-A419-7576204CE4CC}"/>
    <cellStyle name="쉼표 [0] 5 2 3 2 4" xfId="2309" xr:uid="{88108E6E-E5A9-455F-A419-7576204CE4CC}"/>
    <cellStyle name="쉼표 [0] 5 2 3 3" xfId="1245" xr:uid="{88108E6E-E5A9-455F-A419-7576204CE4CC}"/>
    <cellStyle name="쉼표 [0] 5 2 3 3 2" xfId="4672" xr:uid="{88108E6E-E5A9-455F-A419-7576204CE4CC}"/>
    <cellStyle name="쉼표 [0] 5 2 3 3 3" xfId="2959" xr:uid="{88108E6E-E5A9-455F-A419-7576204CE4CC}"/>
    <cellStyle name="쉼표 [0] 5 2 3 4" xfId="1003" xr:uid="{88108E6E-E5A9-455F-A419-7576204CE4CC}"/>
    <cellStyle name="쉼표 [0] 5 2 3 4 2" xfId="4431" xr:uid="{88108E6E-E5A9-455F-A419-7576204CE4CC}"/>
    <cellStyle name="쉼표 [0] 5 2 3 4 3" xfId="2718" xr:uid="{88108E6E-E5A9-455F-A419-7576204CE4CC}"/>
    <cellStyle name="쉼표 [0] 5 2 3 5" xfId="3614" xr:uid="{88108E6E-E5A9-455F-A419-7576204CE4CC}"/>
    <cellStyle name="쉼표 [0] 5 2 3 6" xfId="1901" xr:uid="{88108E6E-E5A9-455F-A419-7576204CE4CC}"/>
    <cellStyle name="쉼표 [0] 5 2 4" xfId="511" xr:uid="{88108E6E-E5A9-455F-A419-7576204CE4CC}"/>
    <cellStyle name="쉼표 [0] 5 2 4 2" xfId="1571" xr:uid="{88108E6E-E5A9-455F-A419-7576204CE4CC}"/>
    <cellStyle name="쉼표 [0] 5 2 4 2 2" xfId="4997" xr:uid="{88108E6E-E5A9-455F-A419-7576204CE4CC}"/>
    <cellStyle name="쉼표 [0] 5 2 4 2 3" xfId="3284" xr:uid="{88108E6E-E5A9-455F-A419-7576204CE4CC}"/>
    <cellStyle name="쉼표 [0] 5 2 4 3" xfId="921" xr:uid="{88108E6E-E5A9-455F-A419-7576204CE4CC}"/>
    <cellStyle name="쉼표 [0] 5 2 4 3 2" xfId="4349" xr:uid="{88108E6E-E5A9-455F-A419-7576204CE4CC}"/>
    <cellStyle name="쉼표 [0] 5 2 4 3 3" xfId="2636" xr:uid="{88108E6E-E5A9-455F-A419-7576204CE4CC}"/>
    <cellStyle name="쉼표 [0] 5 2 4 4" xfId="3940" xr:uid="{88108E6E-E5A9-455F-A419-7576204CE4CC}"/>
    <cellStyle name="쉼표 [0] 5 2 4 5" xfId="2227" xr:uid="{88108E6E-E5A9-455F-A419-7576204CE4CC}"/>
    <cellStyle name="쉼표 [0] 5 2 5" xfId="348" xr:uid="{88108E6E-E5A9-455F-A419-7576204CE4CC}"/>
    <cellStyle name="쉼표 [0] 5 2 5 2" xfId="1408" xr:uid="{88108E6E-E5A9-455F-A419-7576204CE4CC}"/>
    <cellStyle name="쉼표 [0] 5 2 5 2 2" xfId="4835" xr:uid="{88108E6E-E5A9-455F-A419-7576204CE4CC}"/>
    <cellStyle name="쉼표 [0] 5 2 5 2 3" xfId="3122" xr:uid="{88108E6E-E5A9-455F-A419-7576204CE4CC}"/>
    <cellStyle name="쉼표 [0] 5 2 5 3" xfId="3778" xr:uid="{88108E6E-E5A9-455F-A419-7576204CE4CC}"/>
    <cellStyle name="쉼표 [0] 5 2 5 4" xfId="2065" xr:uid="{88108E6E-E5A9-455F-A419-7576204CE4CC}"/>
    <cellStyle name="쉼표 [0] 5 2 6" xfId="1166" xr:uid="{88108E6E-E5A9-455F-A419-7576204CE4CC}"/>
    <cellStyle name="쉼표 [0] 5 2 6 2" xfId="4593" xr:uid="{88108E6E-E5A9-455F-A419-7576204CE4CC}"/>
    <cellStyle name="쉼표 [0] 5 2 6 3" xfId="2880" xr:uid="{88108E6E-E5A9-455F-A419-7576204CE4CC}"/>
    <cellStyle name="쉼표 [0] 5 2 7" xfId="759" xr:uid="{88108E6E-E5A9-455F-A419-7576204CE4CC}"/>
    <cellStyle name="쉼표 [0] 5 2 7 2" xfId="4187" xr:uid="{88108E6E-E5A9-455F-A419-7576204CE4CC}"/>
    <cellStyle name="쉼표 [0] 5 2 7 3" xfId="2474" xr:uid="{88108E6E-E5A9-455F-A419-7576204CE4CC}"/>
    <cellStyle name="쉼표 [0] 5 2 8" xfId="3532" xr:uid="{88108E6E-E5A9-455F-A419-7576204CE4CC}"/>
    <cellStyle name="쉼표 [0] 5 2 9" xfId="1819" xr:uid="{88108E6E-E5A9-455F-A419-7576204CE4CC}"/>
    <cellStyle name="쉼표 [0] 5 3" xfId="228" xr:uid="{88108E6E-E5A9-455F-A419-7576204CE4CC}"/>
    <cellStyle name="쉼표 [0] 5 3 2" xfId="639" xr:uid="{88108E6E-E5A9-455F-A419-7576204CE4CC}"/>
    <cellStyle name="쉼표 [0] 5 3 2 2" xfId="1699" xr:uid="{88108E6E-E5A9-455F-A419-7576204CE4CC}"/>
    <cellStyle name="쉼표 [0] 5 3 2 2 2" xfId="5125" xr:uid="{88108E6E-E5A9-455F-A419-7576204CE4CC}"/>
    <cellStyle name="쉼표 [0] 5 3 2 2 3" xfId="3412" xr:uid="{88108E6E-E5A9-455F-A419-7576204CE4CC}"/>
    <cellStyle name="쉼표 [0] 5 3 2 3" xfId="1049" xr:uid="{88108E6E-E5A9-455F-A419-7576204CE4CC}"/>
    <cellStyle name="쉼표 [0] 5 3 2 3 2" xfId="4477" xr:uid="{88108E6E-E5A9-455F-A419-7576204CE4CC}"/>
    <cellStyle name="쉼표 [0] 5 3 2 3 3" xfId="2764" xr:uid="{88108E6E-E5A9-455F-A419-7576204CE4CC}"/>
    <cellStyle name="쉼표 [0] 5 3 2 4" xfId="4068" xr:uid="{88108E6E-E5A9-455F-A419-7576204CE4CC}"/>
    <cellStyle name="쉼표 [0] 5 3 2 5" xfId="2355" xr:uid="{88108E6E-E5A9-455F-A419-7576204CE4CC}"/>
    <cellStyle name="쉼표 [0] 5 3 3" xfId="394" xr:uid="{88108E6E-E5A9-455F-A419-7576204CE4CC}"/>
    <cellStyle name="쉼표 [0] 5 3 3 2" xfId="1454" xr:uid="{88108E6E-E5A9-455F-A419-7576204CE4CC}"/>
    <cellStyle name="쉼표 [0] 5 3 3 2 2" xfId="4881" xr:uid="{88108E6E-E5A9-455F-A419-7576204CE4CC}"/>
    <cellStyle name="쉼표 [0] 5 3 3 2 3" xfId="3168" xr:uid="{88108E6E-E5A9-455F-A419-7576204CE4CC}"/>
    <cellStyle name="쉼표 [0] 5 3 3 3" xfId="3824" xr:uid="{88108E6E-E5A9-455F-A419-7576204CE4CC}"/>
    <cellStyle name="쉼표 [0] 5 3 3 4" xfId="2111" xr:uid="{88108E6E-E5A9-455F-A419-7576204CE4CC}"/>
    <cellStyle name="쉼표 [0] 5 3 4" xfId="1290" xr:uid="{88108E6E-E5A9-455F-A419-7576204CE4CC}"/>
    <cellStyle name="쉼표 [0] 5 3 4 2" xfId="4717" xr:uid="{88108E6E-E5A9-455F-A419-7576204CE4CC}"/>
    <cellStyle name="쉼표 [0] 5 3 4 3" xfId="3004" xr:uid="{88108E6E-E5A9-455F-A419-7576204CE4CC}"/>
    <cellStyle name="쉼표 [0] 5 3 5" xfId="805" xr:uid="{88108E6E-E5A9-455F-A419-7576204CE4CC}"/>
    <cellStyle name="쉼표 [0] 5 3 5 2" xfId="4233" xr:uid="{88108E6E-E5A9-455F-A419-7576204CE4CC}"/>
    <cellStyle name="쉼표 [0] 5 3 5 3" xfId="2520" xr:uid="{88108E6E-E5A9-455F-A419-7576204CE4CC}"/>
    <cellStyle name="쉼표 [0] 5 3 6" xfId="3660" xr:uid="{88108E6E-E5A9-455F-A419-7576204CE4CC}"/>
    <cellStyle name="쉼표 [0] 5 3 7" xfId="1947" xr:uid="{88108E6E-E5A9-455F-A419-7576204CE4CC}"/>
    <cellStyle name="쉼표 [0] 5 4" xfId="146" xr:uid="{88108E6E-E5A9-455F-A419-7576204CE4CC}"/>
    <cellStyle name="쉼표 [0] 5 4 2" xfId="557" xr:uid="{88108E6E-E5A9-455F-A419-7576204CE4CC}"/>
    <cellStyle name="쉼표 [0] 5 4 2 2" xfId="1617" xr:uid="{88108E6E-E5A9-455F-A419-7576204CE4CC}"/>
    <cellStyle name="쉼표 [0] 5 4 2 2 2" xfId="5043" xr:uid="{88108E6E-E5A9-455F-A419-7576204CE4CC}"/>
    <cellStyle name="쉼표 [0] 5 4 2 2 3" xfId="3330" xr:uid="{88108E6E-E5A9-455F-A419-7576204CE4CC}"/>
    <cellStyle name="쉼표 [0] 5 4 2 3" xfId="3986" xr:uid="{88108E6E-E5A9-455F-A419-7576204CE4CC}"/>
    <cellStyle name="쉼표 [0] 5 4 2 4" xfId="2273" xr:uid="{88108E6E-E5A9-455F-A419-7576204CE4CC}"/>
    <cellStyle name="쉼표 [0] 5 4 3" xfId="1209" xr:uid="{88108E6E-E5A9-455F-A419-7576204CE4CC}"/>
    <cellStyle name="쉼표 [0] 5 4 3 2" xfId="4636" xr:uid="{88108E6E-E5A9-455F-A419-7576204CE4CC}"/>
    <cellStyle name="쉼표 [0] 5 4 3 3" xfId="2923" xr:uid="{88108E6E-E5A9-455F-A419-7576204CE4CC}"/>
    <cellStyle name="쉼표 [0] 5 4 4" xfId="967" xr:uid="{88108E6E-E5A9-455F-A419-7576204CE4CC}"/>
    <cellStyle name="쉼표 [0] 5 4 4 2" xfId="4395" xr:uid="{88108E6E-E5A9-455F-A419-7576204CE4CC}"/>
    <cellStyle name="쉼표 [0] 5 4 4 3" xfId="2682" xr:uid="{88108E6E-E5A9-455F-A419-7576204CE4CC}"/>
    <cellStyle name="쉼표 [0] 5 4 5" xfId="3578" xr:uid="{88108E6E-E5A9-455F-A419-7576204CE4CC}"/>
    <cellStyle name="쉼표 [0] 5 4 6" xfId="1865" xr:uid="{88108E6E-E5A9-455F-A419-7576204CE4CC}"/>
    <cellStyle name="쉼표 [0] 5 5" xfId="475" xr:uid="{88108E6E-E5A9-455F-A419-7576204CE4CC}"/>
    <cellStyle name="쉼표 [0] 5 5 2" xfId="1535" xr:uid="{88108E6E-E5A9-455F-A419-7576204CE4CC}"/>
    <cellStyle name="쉼표 [0] 5 5 2 2" xfId="4961" xr:uid="{88108E6E-E5A9-455F-A419-7576204CE4CC}"/>
    <cellStyle name="쉼표 [0] 5 5 2 3" xfId="3248" xr:uid="{88108E6E-E5A9-455F-A419-7576204CE4CC}"/>
    <cellStyle name="쉼표 [0] 5 5 3" xfId="885" xr:uid="{88108E6E-E5A9-455F-A419-7576204CE4CC}"/>
    <cellStyle name="쉼표 [0] 5 5 3 2" xfId="4313" xr:uid="{88108E6E-E5A9-455F-A419-7576204CE4CC}"/>
    <cellStyle name="쉼표 [0] 5 5 3 3" xfId="2600" xr:uid="{88108E6E-E5A9-455F-A419-7576204CE4CC}"/>
    <cellStyle name="쉼표 [0] 5 5 4" xfId="3904" xr:uid="{88108E6E-E5A9-455F-A419-7576204CE4CC}"/>
    <cellStyle name="쉼표 [0] 5 5 5" xfId="2191" xr:uid="{88108E6E-E5A9-455F-A419-7576204CE4CC}"/>
    <cellStyle name="쉼표 [0] 5 6" xfId="312" xr:uid="{88108E6E-E5A9-455F-A419-7576204CE4CC}"/>
    <cellStyle name="쉼표 [0] 5 6 2" xfId="1372" xr:uid="{88108E6E-E5A9-455F-A419-7576204CE4CC}"/>
    <cellStyle name="쉼표 [0] 5 6 2 2" xfId="4799" xr:uid="{88108E6E-E5A9-455F-A419-7576204CE4CC}"/>
    <cellStyle name="쉼표 [0] 5 6 2 3" xfId="3086" xr:uid="{88108E6E-E5A9-455F-A419-7576204CE4CC}"/>
    <cellStyle name="쉼표 [0] 5 6 3" xfId="3742" xr:uid="{88108E6E-E5A9-455F-A419-7576204CE4CC}"/>
    <cellStyle name="쉼표 [0] 5 6 4" xfId="2029" xr:uid="{88108E6E-E5A9-455F-A419-7576204CE4CC}"/>
    <cellStyle name="쉼표 [0] 5 7" xfId="1130" xr:uid="{88108E6E-E5A9-455F-A419-7576204CE4CC}"/>
    <cellStyle name="쉼표 [0] 5 7 2" xfId="4557" xr:uid="{88108E6E-E5A9-455F-A419-7576204CE4CC}"/>
    <cellStyle name="쉼표 [0] 5 7 3" xfId="2844" xr:uid="{88108E6E-E5A9-455F-A419-7576204CE4CC}"/>
    <cellStyle name="쉼표 [0] 5 8" xfId="723" xr:uid="{88108E6E-E5A9-455F-A419-7576204CE4CC}"/>
    <cellStyle name="쉼표 [0] 5 8 2" xfId="4151" xr:uid="{88108E6E-E5A9-455F-A419-7576204CE4CC}"/>
    <cellStyle name="쉼표 [0] 5 8 3" xfId="2438" xr:uid="{88108E6E-E5A9-455F-A419-7576204CE4CC}"/>
    <cellStyle name="쉼표 [0] 5 9" xfId="3496" xr:uid="{88108E6E-E5A9-455F-A419-7576204CE4CC}"/>
    <cellStyle name="쉼표 [0] 6" xfId="53" xr:uid="{0A4843F3-8BF0-4BF3-8F19-80654DEAFA59}"/>
    <cellStyle name="쉼표 [0] 6 10" xfId="1787" xr:uid="{0A4843F3-8BF0-4BF3-8F19-80654DEAFA59}"/>
    <cellStyle name="쉼표 [0] 6 2" xfId="101" xr:uid="{0A4843F3-8BF0-4BF3-8F19-80654DEAFA59}"/>
    <cellStyle name="쉼표 [0] 6 2 2" xfId="268" xr:uid="{0A4843F3-8BF0-4BF3-8F19-80654DEAFA59}"/>
    <cellStyle name="쉼표 [0] 6 2 2 2" xfId="679" xr:uid="{0A4843F3-8BF0-4BF3-8F19-80654DEAFA59}"/>
    <cellStyle name="쉼표 [0] 6 2 2 2 2" xfId="1739" xr:uid="{0A4843F3-8BF0-4BF3-8F19-80654DEAFA59}"/>
    <cellStyle name="쉼표 [0] 6 2 2 2 2 2" xfId="5165" xr:uid="{0A4843F3-8BF0-4BF3-8F19-80654DEAFA59}"/>
    <cellStyle name="쉼표 [0] 6 2 2 2 2 3" xfId="3452" xr:uid="{0A4843F3-8BF0-4BF3-8F19-80654DEAFA59}"/>
    <cellStyle name="쉼표 [0] 6 2 2 2 3" xfId="1089" xr:uid="{0A4843F3-8BF0-4BF3-8F19-80654DEAFA59}"/>
    <cellStyle name="쉼표 [0] 6 2 2 2 3 2" xfId="4517" xr:uid="{0A4843F3-8BF0-4BF3-8F19-80654DEAFA59}"/>
    <cellStyle name="쉼표 [0] 6 2 2 2 3 3" xfId="2804" xr:uid="{0A4843F3-8BF0-4BF3-8F19-80654DEAFA59}"/>
    <cellStyle name="쉼표 [0] 6 2 2 2 4" xfId="4108" xr:uid="{0A4843F3-8BF0-4BF3-8F19-80654DEAFA59}"/>
    <cellStyle name="쉼표 [0] 6 2 2 2 5" xfId="2395" xr:uid="{0A4843F3-8BF0-4BF3-8F19-80654DEAFA59}"/>
    <cellStyle name="쉼표 [0] 6 2 2 3" xfId="434" xr:uid="{0A4843F3-8BF0-4BF3-8F19-80654DEAFA59}"/>
    <cellStyle name="쉼표 [0] 6 2 2 3 2" xfId="1494" xr:uid="{0A4843F3-8BF0-4BF3-8F19-80654DEAFA59}"/>
    <cellStyle name="쉼표 [0] 6 2 2 3 2 2" xfId="4921" xr:uid="{0A4843F3-8BF0-4BF3-8F19-80654DEAFA59}"/>
    <cellStyle name="쉼표 [0] 6 2 2 3 2 3" xfId="3208" xr:uid="{0A4843F3-8BF0-4BF3-8F19-80654DEAFA59}"/>
    <cellStyle name="쉼표 [0] 6 2 2 3 3" xfId="3864" xr:uid="{0A4843F3-8BF0-4BF3-8F19-80654DEAFA59}"/>
    <cellStyle name="쉼표 [0] 6 2 2 3 4" xfId="2151" xr:uid="{0A4843F3-8BF0-4BF3-8F19-80654DEAFA59}"/>
    <cellStyle name="쉼표 [0] 6 2 2 4" xfId="1330" xr:uid="{0A4843F3-8BF0-4BF3-8F19-80654DEAFA59}"/>
    <cellStyle name="쉼표 [0] 6 2 2 4 2" xfId="4757" xr:uid="{0A4843F3-8BF0-4BF3-8F19-80654DEAFA59}"/>
    <cellStyle name="쉼표 [0] 6 2 2 4 3" xfId="3044" xr:uid="{0A4843F3-8BF0-4BF3-8F19-80654DEAFA59}"/>
    <cellStyle name="쉼표 [0] 6 2 2 5" xfId="845" xr:uid="{0A4843F3-8BF0-4BF3-8F19-80654DEAFA59}"/>
    <cellStyle name="쉼표 [0] 6 2 2 5 2" xfId="4273" xr:uid="{0A4843F3-8BF0-4BF3-8F19-80654DEAFA59}"/>
    <cellStyle name="쉼표 [0] 6 2 2 5 3" xfId="2560" xr:uid="{0A4843F3-8BF0-4BF3-8F19-80654DEAFA59}"/>
    <cellStyle name="쉼표 [0] 6 2 2 6" xfId="3700" xr:uid="{0A4843F3-8BF0-4BF3-8F19-80654DEAFA59}"/>
    <cellStyle name="쉼표 [0] 6 2 2 7" xfId="1987" xr:uid="{0A4843F3-8BF0-4BF3-8F19-80654DEAFA59}"/>
    <cellStyle name="쉼표 [0] 6 2 3" xfId="186" xr:uid="{0A4843F3-8BF0-4BF3-8F19-80654DEAFA59}"/>
    <cellStyle name="쉼표 [0] 6 2 3 2" xfId="597" xr:uid="{0A4843F3-8BF0-4BF3-8F19-80654DEAFA59}"/>
    <cellStyle name="쉼표 [0] 6 2 3 2 2" xfId="1657" xr:uid="{0A4843F3-8BF0-4BF3-8F19-80654DEAFA59}"/>
    <cellStyle name="쉼표 [0] 6 2 3 2 2 2" xfId="5083" xr:uid="{0A4843F3-8BF0-4BF3-8F19-80654DEAFA59}"/>
    <cellStyle name="쉼표 [0] 6 2 3 2 2 3" xfId="3370" xr:uid="{0A4843F3-8BF0-4BF3-8F19-80654DEAFA59}"/>
    <cellStyle name="쉼표 [0] 6 2 3 2 3" xfId="4026" xr:uid="{0A4843F3-8BF0-4BF3-8F19-80654DEAFA59}"/>
    <cellStyle name="쉼표 [0] 6 2 3 2 4" xfId="2313" xr:uid="{0A4843F3-8BF0-4BF3-8F19-80654DEAFA59}"/>
    <cellStyle name="쉼표 [0] 6 2 3 3" xfId="1249" xr:uid="{0A4843F3-8BF0-4BF3-8F19-80654DEAFA59}"/>
    <cellStyle name="쉼표 [0] 6 2 3 3 2" xfId="4676" xr:uid="{0A4843F3-8BF0-4BF3-8F19-80654DEAFA59}"/>
    <cellStyle name="쉼표 [0] 6 2 3 3 3" xfId="2963" xr:uid="{0A4843F3-8BF0-4BF3-8F19-80654DEAFA59}"/>
    <cellStyle name="쉼표 [0] 6 2 3 4" xfId="1007" xr:uid="{0A4843F3-8BF0-4BF3-8F19-80654DEAFA59}"/>
    <cellStyle name="쉼표 [0] 6 2 3 4 2" xfId="4435" xr:uid="{0A4843F3-8BF0-4BF3-8F19-80654DEAFA59}"/>
    <cellStyle name="쉼표 [0] 6 2 3 4 3" xfId="2722" xr:uid="{0A4843F3-8BF0-4BF3-8F19-80654DEAFA59}"/>
    <cellStyle name="쉼표 [0] 6 2 3 5" xfId="3618" xr:uid="{0A4843F3-8BF0-4BF3-8F19-80654DEAFA59}"/>
    <cellStyle name="쉼표 [0] 6 2 3 6" xfId="1905" xr:uid="{0A4843F3-8BF0-4BF3-8F19-80654DEAFA59}"/>
    <cellStyle name="쉼표 [0] 6 2 4" xfId="515" xr:uid="{0A4843F3-8BF0-4BF3-8F19-80654DEAFA59}"/>
    <cellStyle name="쉼표 [0] 6 2 4 2" xfId="1575" xr:uid="{0A4843F3-8BF0-4BF3-8F19-80654DEAFA59}"/>
    <cellStyle name="쉼표 [0] 6 2 4 2 2" xfId="5001" xr:uid="{0A4843F3-8BF0-4BF3-8F19-80654DEAFA59}"/>
    <cellStyle name="쉼표 [0] 6 2 4 2 3" xfId="3288" xr:uid="{0A4843F3-8BF0-4BF3-8F19-80654DEAFA59}"/>
    <cellStyle name="쉼표 [0] 6 2 4 3" xfId="925" xr:uid="{0A4843F3-8BF0-4BF3-8F19-80654DEAFA59}"/>
    <cellStyle name="쉼표 [0] 6 2 4 3 2" xfId="4353" xr:uid="{0A4843F3-8BF0-4BF3-8F19-80654DEAFA59}"/>
    <cellStyle name="쉼표 [0] 6 2 4 3 3" xfId="2640" xr:uid="{0A4843F3-8BF0-4BF3-8F19-80654DEAFA59}"/>
    <cellStyle name="쉼표 [0] 6 2 4 4" xfId="3944" xr:uid="{0A4843F3-8BF0-4BF3-8F19-80654DEAFA59}"/>
    <cellStyle name="쉼표 [0] 6 2 4 5" xfId="2231" xr:uid="{0A4843F3-8BF0-4BF3-8F19-80654DEAFA59}"/>
    <cellStyle name="쉼표 [0] 6 2 5" xfId="352" xr:uid="{0A4843F3-8BF0-4BF3-8F19-80654DEAFA59}"/>
    <cellStyle name="쉼표 [0] 6 2 5 2" xfId="1412" xr:uid="{0A4843F3-8BF0-4BF3-8F19-80654DEAFA59}"/>
    <cellStyle name="쉼표 [0] 6 2 5 2 2" xfId="4839" xr:uid="{0A4843F3-8BF0-4BF3-8F19-80654DEAFA59}"/>
    <cellStyle name="쉼표 [0] 6 2 5 2 3" xfId="3126" xr:uid="{0A4843F3-8BF0-4BF3-8F19-80654DEAFA59}"/>
    <cellStyle name="쉼표 [0] 6 2 5 3" xfId="3782" xr:uid="{0A4843F3-8BF0-4BF3-8F19-80654DEAFA59}"/>
    <cellStyle name="쉼표 [0] 6 2 5 4" xfId="2069" xr:uid="{0A4843F3-8BF0-4BF3-8F19-80654DEAFA59}"/>
    <cellStyle name="쉼표 [0] 6 2 6" xfId="1170" xr:uid="{0A4843F3-8BF0-4BF3-8F19-80654DEAFA59}"/>
    <cellStyle name="쉼표 [0] 6 2 6 2" xfId="4597" xr:uid="{0A4843F3-8BF0-4BF3-8F19-80654DEAFA59}"/>
    <cellStyle name="쉼표 [0] 6 2 6 3" xfId="2884" xr:uid="{0A4843F3-8BF0-4BF3-8F19-80654DEAFA59}"/>
    <cellStyle name="쉼표 [0] 6 2 7" xfId="763" xr:uid="{0A4843F3-8BF0-4BF3-8F19-80654DEAFA59}"/>
    <cellStyle name="쉼표 [0] 6 2 7 2" xfId="4191" xr:uid="{0A4843F3-8BF0-4BF3-8F19-80654DEAFA59}"/>
    <cellStyle name="쉼표 [0] 6 2 7 3" xfId="2478" xr:uid="{0A4843F3-8BF0-4BF3-8F19-80654DEAFA59}"/>
    <cellStyle name="쉼표 [0] 6 2 8" xfId="3536" xr:uid="{0A4843F3-8BF0-4BF3-8F19-80654DEAFA59}"/>
    <cellStyle name="쉼표 [0] 6 2 9" xfId="1823" xr:uid="{0A4843F3-8BF0-4BF3-8F19-80654DEAFA59}"/>
    <cellStyle name="쉼표 [0] 6 3" xfId="232" xr:uid="{0A4843F3-8BF0-4BF3-8F19-80654DEAFA59}"/>
    <cellStyle name="쉼표 [0] 6 3 2" xfId="643" xr:uid="{0A4843F3-8BF0-4BF3-8F19-80654DEAFA59}"/>
    <cellStyle name="쉼표 [0] 6 3 2 2" xfId="1703" xr:uid="{0A4843F3-8BF0-4BF3-8F19-80654DEAFA59}"/>
    <cellStyle name="쉼표 [0] 6 3 2 2 2" xfId="5129" xr:uid="{0A4843F3-8BF0-4BF3-8F19-80654DEAFA59}"/>
    <cellStyle name="쉼표 [0] 6 3 2 2 3" xfId="3416" xr:uid="{0A4843F3-8BF0-4BF3-8F19-80654DEAFA59}"/>
    <cellStyle name="쉼표 [0] 6 3 2 3" xfId="1053" xr:uid="{0A4843F3-8BF0-4BF3-8F19-80654DEAFA59}"/>
    <cellStyle name="쉼표 [0] 6 3 2 3 2" xfId="4481" xr:uid="{0A4843F3-8BF0-4BF3-8F19-80654DEAFA59}"/>
    <cellStyle name="쉼표 [0] 6 3 2 3 3" xfId="2768" xr:uid="{0A4843F3-8BF0-4BF3-8F19-80654DEAFA59}"/>
    <cellStyle name="쉼표 [0] 6 3 2 4" xfId="4072" xr:uid="{0A4843F3-8BF0-4BF3-8F19-80654DEAFA59}"/>
    <cellStyle name="쉼표 [0] 6 3 2 5" xfId="2359" xr:uid="{0A4843F3-8BF0-4BF3-8F19-80654DEAFA59}"/>
    <cellStyle name="쉼표 [0] 6 3 3" xfId="398" xr:uid="{0A4843F3-8BF0-4BF3-8F19-80654DEAFA59}"/>
    <cellStyle name="쉼표 [0] 6 3 3 2" xfId="1458" xr:uid="{0A4843F3-8BF0-4BF3-8F19-80654DEAFA59}"/>
    <cellStyle name="쉼표 [0] 6 3 3 2 2" xfId="4885" xr:uid="{0A4843F3-8BF0-4BF3-8F19-80654DEAFA59}"/>
    <cellStyle name="쉼표 [0] 6 3 3 2 3" xfId="3172" xr:uid="{0A4843F3-8BF0-4BF3-8F19-80654DEAFA59}"/>
    <cellStyle name="쉼표 [0] 6 3 3 3" xfId="3828" xr:uid="{0A4843F3-8BF0-4BF3-8F19-80654DEAFA59}"/>
    <cellStyle name="쉼표 [0] 6 3 3 4" xfId="2115" xr:uid="{0A4843F3-8BF0-4BF3-8F19-80654DEAFA59}"/>
    <cellStyle name="쉼표 [0] 6 3 4" xfId="1294" xr:uid="{0A4843F3-8BF0-4BF3-8F19-80654DEAFA59}"/>
    <cellStyle name="쉼표 [0] 6 3 4 2" xfId="4721" xr:uid="{0A4843F3-8BF0-4BF3-8F19-80654DEAFA59}"/>
    <cellStyle name="쉼표 [0] 6 3 4 3" xfId="3008" xr:uid="{0A4843F3-8BF0-4BF3-8F19-80654DEAFA59}"/>
    <cellStyle name="쉼표 [0] 6 3 5" xfId="809" xr:uid="{0A4843F3-8BF0-4BF3-8F19-80654DEAFA59}"/>
    <cellStyle name="쉼표 [0] 6 3 5 2" xfId="4237" xr:uid="{0A4843F3-8BF0-4BF3-8F19-80654DEAFA59}"/>
    <cellStyle name="쉼표 [0] 6 3 5 3" xfId="2524" xr:uid="{0A4843F3-8BF0-4BF3-8F19-80654DEAFA59}"/>
    <cellStyle name="쉼표 [0] 6 3 6" xfId="3664" xr:uid="{0A4843F3-8BF0-4BF3-8F19-80654DEAFA59}"/>
    <cellStyle name="쉼표 [0] 6 3 7" xfId="1951" xr:uid="{0A4843F3-8BF0-4BF3-8F19-80654DEAFA59}"/>
    <cellStyle name="쉼표 [0] 6 4" xfId="150" xr:uid="{0A4843F3-8BF0-4BF3-8F19-80654DEAFA59}"/>
    <cellStyle name="쉼표 [0] 6 4 2" xfId="561" xr:uid="{0A4843F3-8BF0-4BF3-8F19-80654DEAFA59}"/>
    <cellStyle name="쉼표 [0] 6 4 2 2" xfId="1621" xr:uid="{0A4843F3-8BF0-4BF3-8F19-80654DEAFA59}"/>
    <cellStyle name="쉼표 [0] 6 4 2 2 2" xfId="5047" xr:uid="{0A4843F3-8BF0-4BF3-8F19-80654DEAFA59}"/>
    <cellStyle name="쉼표 [0] 6 4 2 2 3" xfId="3334" xr:uid="{0A4843F3-8BF0-4BF3-8F19-80654DEAFA59}"/>
    <cellStyle name="쉼표 [0] 6 4 2 3" xfId="3990" xr:uid="{0A4843F3-8BF0-4BF3-8F19-80654DEAFA59}"/>
    <cellStyle name="쉼표 [0] 6 4 2 4" xfId="2277" xr:uid="{0A4843F3-8BF0-4BF3-8F19-80654DEAFA59}"/>
    <cellStyle name="쉼표 [0] 6 4 3" xfId="1213" xr:uid="{0A4843F3-8BF0-4BF3-8F19-80654DEAFA59}"/>
    <cellStyle name="쉼표 [0] 6 4 3 2" xfId="4640" xr:uid="{0A4843F3-8BF0-4BF3-8F19-80654DEAFA59}"/>
    <cellStyle name="쉼표 [0] 6 4 3 3" xfId="2927" xr:uid="{0A4843F3-8BF0-4BF3-8F19-80654DEAFA59}"/>
    <cellStyle name="쉼표 [0] 6 4 4" xfId="971" xr:uid="{0A4843F3-8BF0-4BF3-8F19-80654DEAFA59}"/>
    <cellStyle name="쉼표 [0] 6 4 4 2" xfId="4399" xr:uid="{0A4843F3-8BF0-4BF3-8F19-80654DEAFA59}"/>
    <cellStyle name="쉼표 [0] 6 4 4 3" xfId="2686" xr:uid="{0A4843F3-8BF0-4BF3-8F19-80654DEAFA59}"/>
    <cellStyle name="쉼표 [0] 6 4 5" xfId="3582" xr:uid="{0A4843F3-8BF0-4BF3-8F19-80654DEAFA59}"/>
    <cellStyle name="쉼표 [0] 6 4 6" xfId="1869" xr:uid="{0A4843F3-8BF0-4BF3-8F19-80654DEAFA59}"/>
    <cellStyle name="쉼표 [0] 6 5" xfId="479" xr:uid="{0A4843F3-8BF0-4BF3-8F19-80654DEAFA59}"/>
    <cellStyle name="쉼표 [0] 6 5 2" xfId="1539" xr:uid="{0A4843F3-8BF0-4BF3-8F19-80654DEAFA59}"/>
    <cellStyle name="쉼표 [0] 6 5 2 2" xfId="4965" xr:uid="{0A4843F3-8BF0-4BF3-8F19-80654DEAFA59}"/>
    <cellStyle name="쉼표 [0] 6 5 2 3" xfId="3252" xr:uid="{0A4843F3-8BF0-4BF3-8F19-80654DEAFA59}"/>
    <cellStyle name="쉼표 [0] 6 5 3" xfId="889" xr:uid="{0A4843F3-8BF0-4BF3-8F19-80654DEAFA59}"/>
    <cellStyle name="쉼표 [0] 6 5 3 2" xfId="4317" xr:uid="{0A4843F3-8BF0-4BF3-8F19-80654DEAFA59}"/>
    <cellStyle name="쉼표 [0] 6 5 3 3" xfId="2604" xr:uid="{0A4843F3-8BF0-4BF3-8F19-80654DEAFA59}"/>
    <cellStyle name="쉼표 [0] 6 5 4" xfId="3908" xr:uid="{0A4843F3-8BF0-4BF3-8F19-80654DEAFA59}"/>
    <cellStyle name="쉼표 [0] 6 5 5" xfId="2195" xr:uid="{0A4843F3-8BF0-4BF3-8F19-80654DEAFA59}"/>
    <cellStyle name="쉼표 [0] 6 6" xfId="316" xr:uid="{0A4843F3-8BF0-4BF3-8F19-80654DEAFA59}"/>
    <cellStyle name="쉼표 [0] 6 6 2" xfId="1376" xr:uid="{0A4843F3-8BF0-4BF3-8F19-80654DEAFA59}"/>
    <cellStyle name="쉼표 [0] 6 6 2 2" xfId="4803" xr:uid="{0A4843F3-8BF0-4BF3-8F19-80654DEAFA59}"/>
    <cellStyle name="쉼표 [0] 6 6 2 3" xfId="3090" xr:uid="{0A4843F3-8BF0-4BF3-8F19-80654DEAFA59}"/>
    <cellStyle name="쉼표 [0] 6 6 3" xfId="3746" xr:uid="{0A4843F3-8BF0-4BF3-8F19-80654DEAFA59}"/>
    <cellStyle name="쉼표 [0] 6 6 4" xfId="2033" xr:uid="{0A4843F3-8BF0-4BF3-8F19-80654DEAFA59}"/>
    <cellStyle name="쉼표 [0] 6 7" xfId="1134" xr:uid="{0A4843F3-8BF0-4BF3-8F19-80654DEAFA59}"/>
    <cellStyle name="쉼표 [0] 6 7 2" xfId="4561" xr:uid="{0A4843F3-8BF0-4BF3-8F19-80654DEAFA59}"/>
    <cellStyle name="쉼표 [0] 6 7 3" xfId="2848" xr:uid="{0A4843F3-8BF0-4BF3-8F19-80654DEAFA59}"/>
    <cellStyle name="쉼표 [0] 6 8" xfId="727" xr:uid="{0A4843F3-8BF0-4BF3-8F19-80654DEAFA59}"/>
    <cellStyle name="쉼표 [0] 6 8 2" xfId="4155" xr:uid="{0A4843F3-8BF0-4BF3-8F19-80654DEAFA59}"/>
    <cellStyle name="쉼표 [0] 6 8 3" xfId="2442" xr:uid="{0A4843F3-8BF0-4BF3-8F19-80654DEAFA59}"/>
    <cellStyle name="쉼표 [0] 6 9" xfId="3500" xr:uid="{0A4843F3-8BF0-4BF3-8F19-80654DEAFA59}"/>
    <cellStyle name="쉼표 [0] 7" xfId="54" xr:uid="{53D043F3-0D6F-4D2D-9365-6B53CDBD28B4}"/>
    <cellStyle name="쉼표 [0] 7 10" xfId="1788" xr:uid="{53D043F3-0D6F-4D2D-9365-6B53CDBD28B4}"/>
    <cellStyle name="쉼표 [0] 7 2" xfId="102" xr:uid="{53D043F3-0D6F-4D2D-9365-6B53CDBD28B4}"/>
    <cellStyle name="쉼표 [0] 7 2 2" xfId="269" xr:uid="{53D043F3-0D6F-4D2D-9365-6B53CDBD28B4}"/>
    <cellStyle name="쉼표 [0] 7 2 2 2" xfId="680" xr:uid="{53D043F3-0D6F-4D2D-9365-6B53CDBD28B4}"/>
    <cellStyle name="쉼표 [0] 7 2 2 2 2" xfId="1740" xr:uid="{53D043F3-0D6F-4D2D-9365-6B53CDBD28B4}"/>
    <cellStyle name="쉼표 [0] 7 2 2 2 2 2" xfId="5166" xr:uid="{53D043F3-0D6F-4D2D-9365-6B53CDBD28B4}"/>
    <cellStyle name="쉼표 [0] 7 2 2 2 2 3" xfId="3453" xr:uid="{53D043F3-0D6F-4D2D-9365-6B53CDBD28B4}"/>
    <cellStyle name="쉼표 [0] 7 2 2 2 3" xfId="1090" xr:uid="{53D043F3-0D6F-4D2D-9365-6B53CDBD28B4}"/>
    <cellStyle name="쉼표 [0] 7 2 2 2 3 2" xfId="4518" xr:uid="{53D043F3-0D6F-4D2D-9365-6B53CDBD28B4}"/>
    <cellStyle name="쉼표 [0] 7 2 2 2 3 3" xfId="2805" xr:uid="{53D043F3-0D6F-4D2D-9365-6B53CDBD28B4}"/>
    <cellStyle name="쉼표 [0] 7 2 2 2 4" xfId="4109" xr:uid="{53D043F3-0D6F-4D2D-9365-6B53CDBD28B4}"/>
    <cellStyle name="쉼표 [0] 7 2 2 2 5" xfId="2396" xr:uid="{53D043F3-0D6F-4D2D-9365-6B53CDBD28B4}"/>
    <cellStyle name="쉼표 [0] 7 2 2 3" xfId="435" xr:uid="{53D043F3-0D6F-4D2D-9365-6B53CDBD28B4}"/>
    <cellStyle name="쉼표 [0] 7 2 2 3 2" xfId="1495" xr:uid="{53D043F3-0D6F-4D2D-9365-6B53CDBD28B4}"/>
    <cellStyle name="쉼표 [0] 7 2 2 3 2 2" xfId="4922" xr:uid="{53D043F3-0D6F-4D2D-9365-6B53CDBD28B4}"/>
    <cellStyle name="쉼표 [0] 7 2 2 3 2 3" xfId="3209" xr:uid="{53D043F3-0D6F-4D2D-9365-6B53CDBD28B4}"/>
    <cellStyle name="쉼표 [0] 7 2 2 3 3" xfId="3865" xr:uid="{53D043F3-0D6F-4D2D-9365-6B53CDBD28B4}"/>
    <cellStyle name="쉼표 [0] 7 2 2 3 4" xfId="2152" xr:uid="{53D043F3-0D6F-4D2D-9365-6B53CDBD28B4}"/>
    <cellStyle name="쉼표 [0] 7 2 2 4" xfId="1331" xr:uid="{53D043F3-0D6F-4D2D-9365-6B53CDBD28B4}"/>
    <cellStyle name="쉼표 [0] 7 2 2 4 2" xfId="4758" xr:uid="{53D043F3-0D6F-4D2D-9365-6B53CDBD28B4}"/>
    <cellStyle name="쉼표 [0] 7 2 2 4 3" xfId="3045" xr:uid="{53D043F3-0D6F-4D2D-9365-6B53CDBD28B4}"/>
    <cellStyle name="쉼표 [0] 7 2 2 5" xfId="846" xr:uid="{53D043F3-0D6F-4D2D-9365-6B53CDBD28B4}"/>
    <cellStyle name="쉼표 [0] 7 2 2 5 2" xfId="4274" xr:uid="{53D043F3-0D6F-4D2D-9365-6B53CDBD28B4}"/>
    <cellStyle name="쉼표 [0] 7 2 2 5 3" xfId="2561" xr:uid="{53D043F3-0D6F-4D2D-9365-6B53CDBD28B4}"/>
    <cellStyle name="쉼표 [0] 7 2 2 6" xfId="3701" xr:uid="{53D043F3-0D6F-4D2D-9365-6B53CDBD28B4}"/>
    <cellStyle name="쉼표 [0] 7 2 2 7" xfId="1988" xr:uid="{53D043F3-0D6F-4D2D-9365-6B53CDBD28B4}"/>
    <cellStyle name="쉼표 [0] 7 2 3" xfId="187" xr:uid="{53D043F3-0D6F-4D2D-9365-6B53CDBD28B4}"/>
    <cellStyle name="쉼표 [0] 7 2 3 2" xfId="598" xr:uid="{53D043F3-0D6F-4D2D-9365-6B53CDBD28B4}"/>
    <cellStyle name="쉼표 [0] 7 2 3 2 2" xfId="1658" xr:uid="{53D043F3-0D6F-4D2D-9365-6B53CDBD28B4}"/>
    <cellStyle name="쉼표 [0] 7 2 3 2 2 2" xfId="5084" xr:uid="{53D043F3-0D6F-4D2D-9365-6B53CDBD28B4}"/>
    <cellStyle name="쉼표 [0] 7 2 3 2 2 3" xfId="3371" xr:uid="{53D043F3-0D6F-4D2D-9365-6B53CDBD28B4}"/>
    <cellStyle name="쉼표 [0] 7 2 3 2 3" xfId="4027" xr:uid="{53D043F3-0D6F-4D2D-9365-6B53CDBD28B4}"/>
    <cellStyle name="쉼표 [0] 7 2 3 2 4" xfId="2314" xr:uid="{53D043F3-0D6F-4D2D-9365-6B53CDBD28B4}"/>
    <cellStyle name="쉼표 [0] 7 2 3 3" xfId="1250" xr:uid="{53D043F3-0D6F-4D2D-9365-6B53CDBD28B4}"/>
    <cellStyle name="쉼표 [0] 7 2 3 3 2" xfId="4677" xr:uid="{53D043F3-0D6F-4D2D-9365-6B53CDBD28B4}"/>
    <cellStyle name="쉼표 [0] 7 2 3 3 3" xfId="2964" xr:uid="{53D043F3-0D6F-4D2D-9365-6B53CDBD28B4}"/>
    <cellStyle name="쉼표 [0] 7 2 3 4" xfId="1008" xr:uid="{53D043F3-0D6F-4D2D-9365-6B53CDBD28B4}"/>
    <cellStyle name="쉼표 [0] 7 2 3 4 2" xfId="4436" xr:uid="{53D043F3-0D6F-4D2D-9365-6B53CDBD28B4}"/>
    <cellStyle name="쉼표 [0] 7 2 3 4 3" xfId="2723" xr:uid="{53D043F3-0D6F-4D2D-9365-6B53CDBD28B4}"/>
    <cellStyle name="쉼표 [0] 7 2 3 5" xfId="3619" xr:uid="{53D043F3-0D6F-4D2D-9365-6B53CDBD28B4}"/>
    <cellStyle name="쉼표 [0] 7 2 3 6" xfId="1906" xr:uid="{53D043F3-0D6F-4D2D-9365-6B53CDBD28B4}"/>
    <cellStyle name="쉼표 [0] 7 2 4" xfId="516" xr:uid="{53D043F3-0D6F-4D2D-9365-6B53CDBD28B4}"/>
    <cellStyle name="쉼표 [0] 7 2 4 2" xfId="1576" xr:uid="{53D043F3-0D6F-4D2D-9365-6B53CDBD28B4}"/>
    <cellStyle name="쉼표 [0] 7 2 4 2 2" xfId="5002" xr:uid="{53D043F3-0D6F-4D2D-9365-6B53CDBD28B4}"/>
    <cellStyle name="쉼표 [0] 7 2 4 2 3" xfId="3289" xr:uid="{53D043F3-0D6F-4D2D-9365-6B53CDBD28B4}"/>
    <cellStyle name="쉼표 [0] 7 2 4 3" xfId="926" xr:uid="{53D043F3-0D6F-4D2D-9365-6B53CDBD28B4}"/>
    <cellStyle name="쉼표 [0] 7 2 4 3 2" xfId="4354" xr:uid="{53D043F3-0D6F-4D2D-9365-6B53CDBD28B4}"/>
    <cellStyle name="쉼표 [0] 7 2 4 3 3" xfId="2641" xr:uid="{53D043F3-0D6F-4D2D-9365-6B53CDBD28B4}"/>
    <cellStyle name="쉼표 [0] 7 2 4 4" xfId="3945" xr:uid="{53D043F3-0D6F-4D2D-9365-6B53CDBD28B4}"/>
    <cellStyle name="쉼표 [0] 7 2 4 5" xfId="2232" xr:uid="{53D043F3-0D6F-4D2D-9365-6B53CDBD28B4}"/>
    <cellStyle name="쉼표 [0] 7 2 5" xfId="353" xr:uid="{53D043F3-0D6F-4D2D-9365-6B53CDBD28B4}"/>
    <cellStyle name="쉼표 [0] 7 2 5 2" xfId="1413" xr:uid="{53D043F3-0D6F-4D2D-9365-6B53CDBD28B4}"/>
    <cellStyle name="쉼표 [0] 7 2 5 2 2" xfId="4840" xr:uid="{53D043F3-0D6F-4D2D-9365-6B53CDBD28B4}"/>
    <cellStyle name="쉼표 [0] 7 2 5 2 3" xfId="3127" xr:uid="{53D043F3-0D6F-4D2D-9365-6B53CDBD28B4}"/>
    <cellStyle name="쉼표 [0] 7 2 5 3" xfId="3783" xr:uid="{53D043F3-0D6F-4D2D-9365-6B53CDBD28B4}"/>
    <cellStyle name="쉼표 [0] 7 2 5 4" xfId="2070" xr:uid="{53D043F3-0D6F-4D2D-9365-6B53CDBD28B4}"/>
    <cellStyle name="쉼표 [0] 7 2 6" xfId="1171" xr:uid="{53D043F3-0D6F-4D2D-9365-6B53CDBD28B4}"/>
    <cellStyle name="쉼표 [0] 7 2 6 2" xfId="4598" xr:uid="{53D043F3-0D6F-4D2D-9365-6B53CDBD28B4}"/>
    <cellStyle name="쉼표 [0] 7 2 6 3" xfId="2885" xr:uid="{53D043F3-0D6F-4D2D-9365-6B53CDBD28B4}"/>
    <cellStyle name="쉼표 [0] 7 2 7" xfId="764" xr:uid="{53D043F3-0D6F-4D2D-9365-6B53CDBD28B4}"/>
    <cellStyle name="쉼표 [0] 7 2 7 2" xfId="4192" xr:uid="{53D043F3-0D6F-4D2D-9365-6B53CDBD28B4}"/>
    <cellStyle name="쉼표 [0] 7 2 7 3" xfId="2479" xr:uid="{53D043F3-0D6F-4D2D-9365-6B53CDBD28B4}"/>
    <cellStyle name="쉼표 [0] 7 2 8" xfId="3537" xr:uid="{53D043F3-0D6F-4D2D-9365-6B53CDBD28B4}"/>
    <cellStyle name="쉼표 [0] 7 2 9" xfId="1824" xr:uid="{53D043F3-0D6F-4D2D-9365-6B53CDBD28B4}"/>
    <cellStyle name="쉼표 [0] 7 3" xfId="233" xr:uid="{53D043F3-0D6F-4D2D-9365-6B53CDBD28B4}"/>
    <cellStyle name="쉼표 [0] 7 3 2" xfId="644" xr:uid="{53D043F3-0D6F-4D2D-9365-6B53CDBD28B4}"/>
    <cellStyle name="쉼표 [0] 7 3 2 2" xfId="1704" xr:uid="{53D043F3-0D6F-4D2D-9365-6B53CDBD28B4}"/>
    <cellStyle name="쉼표 [0] 7 3 2 2 2" xfId="5130" xr:uid="{53D043F3-0D6F-4D2D-9365-6B53CDBD28B4}"/>
    <cellStyle name="쉼표 [0] 7 3 2 2 3" xfId="3417" xr:uid="{53D043F3-0D6F-4D2D-9365-6B53CDBD28B4}"/>
    <cellStyle name="쉼표 [0] 7 3 2 3" xfId="1054" xr:uid="{53D043F3-0D6F-4D2D-9365-6B53CDBD28B4}"/>
    <cellStyle name="쉼표 [0] 7 3 2 3 2" xfId="4482" xr:uid="{53D043F3-0D6F-4D2D-9365-6B53CDBD28B4}"/>
    <cellStyle name="쉼표 [0] 7 3 2 3 3" xfId="2769" xr:uid="{53D043F3-0D6F-4D2D-9365-6B53CDBD28B4}"/>
    <cellStyle name="쉼표 [0] 7 3 2 4" xfId="4073" xr:uid="{53D043F3-0D6F-4D2D-9365-6B53CDBD28B4}"/>
    <cellStyle name="쉼표 [0] 7 3 2 5" xfId="2360" xr:uid="{53D043F3-0D6F-4D2D-9365-6B53CDBD28B4}"/>
    <cellStyle name="쉼표 [0] 7 3 3" xfId="399" xr:uid="{53D043F3-0D6F-4D2D-9365-6B53CDBD28B4}"/>
    <cellStyle name="쉼표 [0] 7 3 3 2" xfId="1459" xr:uid="{53D043F3-0D6F-4D2D-9365-6B53CDBD28B4}"/>
    <cellStyle name="쉼표 [0] 7 3 3 2 2" xfId="4886" xr:uid="{53D043F3-0D6F-4D2D-9365-6B53CDBD28B4}"/>
    <cellStyle name="쉼표 [0] 7 3 3 2 3" xfId="3173" xr:uid="{53D043F3-0D6F-4D2D-9365-6B53CDBD28B4}"/>
    <cellStyle name="쉼표 [0] 7 3 3 3" xfId="3829" xr:uid="{53D043F3-0D6F-4D2D-9365-6B53CDBD28B4}"/>
    <cellStyle name="쉼표 [0] 7 3 3 4" xfId="2116" xr:uid="{53D043F3-0D6F-4D2D-9365-6B53CDBD28B4}"/>
    <cellStyle name="쉼표 [0] 7 3 4" xfId="1295" xr:uid="{53D043F3-0D6F-4D2D-9365-6B53CDBD28B4}"/>
    <cellStyle name="쉼표 [0] 7 3 4 2" xfId="4722" xr:uid="{53D043F3-0D6F-4D2D-9365-6B53CDBD28B4}"/>
    <cellStyle name="쉼표 [0] 7 3 4 3" xfId="3009" xr:uid="{53D043F3-0D6F-4D2D-9365-6B53CDBD28B4}"/>
    <cellStyle name="쉼표 [0] 7 3 5" xfId="810" xr:uid="{53D043F3-0D6F-4D2D-9365-6B53CDBD28B4}"/>
    <cellStyle name="쉼표 [0] 7 3 5 2" xfId="4238" xr:uid="{53D043F3-0D6F-4D2D-9365-6B53CDBD28B4}"/>
    <cellStyle name="쉼표 [0] 7 3 5 3" xfId="2525" xr:uid="{53D043F3-0D6F-4D2D-9365-6B53CDBD28B4}"/>
    <cellStyle name="쉼표 [0] 7 3 6" xfId="3665" xr:uid="{53D043F3-0D6F-4D2D-9365-6B53CDBD28B4}"/>
    <cellStyle name="쉼표 [0] 7 3 7" xfId="1952" xr:uid="{53D043F3-0D6F-4D2D-9365-6B53CDBD28B4}"/>
    <cellStyle name="쉼표 [0] 7 4" xfId="151" xr:uid="{53D043F3-0D6F-4D2D-9365-6B53CDBD28B4}"/>
    <cellStyle name="쉼표 [0] 7 4 2" xfId="562" xr:uid="{53D043F3-0D6F-4D2D-9365-6B53CDBD28B4}"/>
    <cellStyle name="쉼표 [0] 7 4 2 2" xfId="1622" xr:uid="{53D043F3-0D6F-4D2D-9365-6B53CDBD28B4}"/>
    <cellStyle name="쉼표 [0] 7 4 2 2 2" xfId="5048" xr:uid="{53D043F3-0D6F-4D2D-9365-6B53CDBD28B4}"/>
    <cellStyle name="쉼표 [0] 7 4 2 2 3" xfId="3335" xr:uid="{53D043F3-0D6F-4D2D-9365-6B53CDBD28B4}"/>
    <cellStyle name="쉼표 [0] 7 4 2 3" xfId="3991" xr:uid="{53D043F3-0D6F-4D2D-9365-6B53CDBD28B4}"/>
    <cellStyle name="쉼표 [0] 7 4 2 4" xfId="2278" xr:uid="{53D043F3-0D6F-4D2D-9365-6B53CDBD28B4}"/>
    <cellStyle name="쉼표 [0] 7 4 3" xfId="1214" xr:uid="{53D043F3-0D6F-4D2D-9365-6B53CDBD28B4}"/>
    <cellStyle name="쉼표 [0] 7 4 3 2" xfId="4641" xr:uid="{53D043F3-0D6F-4D2D-9365-6B53CDBD28B4}"/>
    <cellStyle name="쉼표 [0] 7 4 3 3" xfId="2928" xr:uid="{53D043F3-0D6F-4D2D-9365-6B53CDBD28B4}"/>
    <cellStyle name="쉼표 [0] 7 4 4" xfId="972" xr:uid="{53D043F3-0D6F-4D2D-9365-6B53CDBD28B4}"/>
    <cellStyle name="쉼표 [0] 7 4 4 2" xfId="4400" xr:uid="{53D043F3-0D6F-4D2D-9365-6B53CDBD28B4}"/>
    <cellStyle name="쉼표 [0] 7 4 4 3" xfId="2687" xr:uid="{53D043F3-0D6F-4D2D-9365-6B53CDBD28B4}"/>
    <cellStyle name="쉼표 [0] 7 4 5" xfId="3583" xr:uid="{53D043F3-0D6F-4D2D-9365-6B53CDBD28B4}"/>
    <cellStyle name="쉼표 [0] 7 4 6" xfId="1870" xr:uid="{53D043F3-0D6F-4D2D-9365-6B53CDBD28B4}"/>
    <cellStyle name="쉼표 [0] 7 5" xfId="480" xr:uid="{53D043F3-0D6F-4D2D-9365-6B53CDBD28B4}"/>
    <cellStyle name="쉼표 [0] 7 5 2" xfId="1540" xr:uid="{53D043F3-0D6F-4D2D-9365-6B53CDBD28B4}"/>
    <cellStyle name="쉼표 [0] 7 5 2 2" xfId="4966" xr:uid="{53D043F3-0D6F-4D2D-9365-6B53CDBD28B4}"/>
    <cellStyle name="쉼표 [0] 7 5 2 3" xfId="3253" xr:uid="{53D043F3-0D6F-4D2D-9365-6B53CDBD28B4}"/>
    <cellStyle name="쉼표 [0] 7 5 3" xfId="890" xr:uid="{53D043F3-0D6F-4D2D-9365-6B53CDBD28B4}"/>
    <cellStyle name="쉼표 [0] 7 5 3 2" xfId="4318" xr:uid="{53D043F3-0D6F-4D2D-9365-6B53CDBD28B4}"/>
    <cellStyle name="쉼표 [0] 7 5 3 3" xfId="2605" xr:uid="{53D043F3-0D6F-4D2D-9365-6B53CDBD28B4}"/>
    <cellStyle name="쉼표 [0] 7 5 4" xfId="3909" xr:uid="{53D043F3-0D6F-4D2D-9365-6B53CDBD28B4}"/>
    <cellStyle name="쉼표 [0] 7 5 5" xfId="2196" xr:uid="{53D043F3-0D6F-4D2D-9365-6B53CDBD28B4}"/>
    <cellStyle name="쉼표 [0] 7 6" xfId="317" xr:uid="{53D043F3-0D6F-4D2D-9365-6B53CDBD28B4}"/>
    <cellStyle name="쉼표 [0] 7 6 2" xfId="1377" xr:uid="{53D043F3-0D6F-4D2D-9365-6B53CDBD28B4}"/>
    <cellStyle name="쉼표 [0] 7 6 2 2" xfId="4804" xr:uid="{53D043F3-0D6F-4D2D-9365-6B53CDBD28B4}"/>
    <cellStyle name="쉼표 [0] 7 6 2 3" xfId="3091" xr:uid="{53D043F3-0D6F-4D2D-9365-6B53CDBD28B4}"/>
    <cellStyle name="쉼표 [0] 7 6 3" xfId="3747" xr:uid="{53D043F3-0D6F-4D2D-9365-6B53CDBD28B4}"/>
    <cellStyle name="쉼표 [0] 7 6 4" xfId="2034" xr:uid="{53D043F3-0D6F-4D2D-9365-6B53CDBD28B4}"/>
    <cellStyle name="쉼표 [0] 7 7" xfId="1135" xr:uid="{53D043F3-0D6F-4D2D-9365-6B53CDBD28B4}"/>
    <cellStyle name="쉼표 [0] 7 7 2" xfId="4562" xr:uid="{53D043F3-0D6F-4D2D-9365-6B53CDBD28B4}"/>
    <cellStyle name="쉼표 [0] 7 7 3" xfId="2849" xr:uid="{53D043F3-0D6F-4D2D-9365-6B53CDBD28B4}"/>
    <cellStyle name="쉼표 [0] 7 8" xfId="728" xr:uid="{53D043F3-0D6F-4D2D-9365-6B53CDBD28B4}"/>
    <cellStyle name="쉼표 [0] 7 8 2" xfId="4156" xr:uid="{53D043F3-0D6F-4D2D-9365-6B53CDBD28B4}"/>
    <cellStyle name="쉼표 [0] 7 8 3" xfId="2443" xr:uid="{53D043F3-0D6F-4D2D-9365-6B53CDBD28B4}"/>
    <cellStyle name="쉼표 [0] 7 9" xfId="3501" xr:uid="{53D043F3-0D6F-4D2D-9365-6B53CDBD28B4}"/>
    <cellStyle name="쉼표 [0] 8" xfId="44" xr:uid="{D0196319-D46C-4F21-B471-8317AA4F9CDC}"/>
    <cellStyle name="쉼표 [0] 8 10" xfId="1782" xr:uid="{D0196319-D46C-4F21-B471-8317AA4F9CDC}"/>
    <cellStyle name="쉼표 [0] 8 2" xfId="96" xr:uid="{D0196319-D46C-4F21-B471-8317AA4F9CDC}"/>
    <cellStyle name="쉼표 [0] 8 2 2" xfId="263" xr:uid="{D0196319-D46C-4F21-B471-8317AA4F9CDC}"/>
    <cellStyle name="쉼표 [0] 8 2 2 2" xfId="674" xr:uid="{D0196319-D46C-4F21-B471-8317AA4F9CDC}"/>
    <cellStyle name="쉼표 [0] 8 2 2 2 2" xfId="1734" xr:uid="{D0196319-D46C-4F21-B471-8317AA4F9CDC}"/>
    <cellStyle name="쉼표 [0] 8 2 2 2 2 2" xfId="5160" xr:uid="{D0196319-D46C-4F21-B471-8317AA4F9CDC}"/>
    <cellStyle name="쉼표 [0] 8 2 2 2 2 3" xfId="3447" xr:uid="{D0196319-D46C-4F21-B471-8317AA4F9CDC}"/>
    <cellStyle name="쉼표 [0] 8 2 2 2 3" xfId="1084" xr:uid="{D0196319-D46C-4F21-B471-8317AA4F9CDC}"/>
    <cellStyle name="쉼표 [0] 8 2 2 2 3 2" xfId="4512" xr:uid="{D0196319-D46C-4F21-B471-8317AA4F9CDC}"/>
    <cellStyle name="쉼표 [0] 8 2 2 2 3 3" xfId="2799" xr:uid="{D0196319-D46C-4F21-B471-8317AA4F9CDC}"/>
    <cellStyle name="쉼표 [0] 8 2 2 2 4" xfId="4103" xr:uid="{D0196319-D46C-4F21-B471-8317AA4F9CDC}"/>
    <cellStyle name="쉼표 [0] 8 2 2 2 5" xfId="2390" xr:uid="{D0196319-D46C-4F21-B471-8317AA4F9CDC}"/>
    <cellStyle name="쉼표 [0] 8 2 2 3" xfId="429" xr:uid="{D0196319-D46C-4F21-B471-8317AA4F9CDC}"/>
    <cellStyle name="쉼표 [0] 8 2 2 3 2" xfId="1489" xr:uid="{D0196319-D46C-4F21-B471-8317AA4F9CDC}"/>
    <cellStyle name="쉼표 [0] 8 2 2 3 2 2" xfId="4916" xr:uid="{D0196319-D46C-4F21-B471-8317AA4F9CDC}"/>
    <cellStyle name="쉼표 [0] 8 2 2 3 2 3" xfId="3203" xr:uid="{D0196319-D46C-4F21-B471-8317AA4F9CDC}"/>
    <cellStyle name="쉼표 [0] 8 2 2 3 3" xfId="3859" xr:uid="{D0196319-D46C-4F21-B471-8317AA4F9CDC}"/>
    <cellStyle name="쉼표 [0] 8 2 2 3 4" xfId="2146" xr:uid="{D0196319-D46C-4F21-B471-8317AA4F9CDC}"/>
    <cellStyle name="쉼표 [0] 8 2 2 4" xfId="1325" xr:uid="{D0196319-D46C-4F21-B471-8317AA4F9CDC}"/>
    <cellStyle name="쉼표 [0] 8 2 2 4 2" xfId="4752" xr:uid="{D0196319-D46C-4F21-B471-8317AA4F9CDC}"/>
    <cellStyle name="쉼표 [0] 8 2 2 4 3" xfId="3039" xr:uid="{D0196319-D46C-4F21-B471-8317AA4F9CDC}"/>
    <cellStyle name="쉼표 [0] 8 2 2 5" xfId="840" xr:uid="{D0196319-D46C-4F21-B471-8317AA4F9CDC}"/>
    <cellStyle name="쉼표 [0] 8 2 2 5 2" xfId="4268" xr:uid="{D0196319-D46C-4F21-B471-8317AA4F9CDC}"/>
    <cellStyle name="쉼표 [0] 8 2 2 5 3" xfId="2555" xr:uid="{D0196319-D46C-4F21-B471-8317AA4F9CDC}"/>
    <cellStyle name="쉼표 [0] 8 2 2 6" xfId="3695" xr:uid="{D0196319-D46C-4F21-B471-8317AA4F9CDC}"/>
    <cellStyle name="쉼표 [0] 8 2 2 7" xfId="1982" xr:uid="{D0196319-D46C-4F21-B471-8317AA4F9CDC}"/>
    <cellStyle name="쉼표 [0] 8 2 3" xfId="181" xr:uid="{D0196319-D46C-4F21-B471-8317AA4F9CDC}"/>
    <cellStyle name="쉼표 [0] 8 2 3 2" xfId="592" xr:uid="{D0196319-D46C-4F21-B471-8317AA4F9CDC}"/>
    <cellStyle name="쉼표 [0] 8 2 3 2 2" xfId="1652" xr:uid="{D0196319-D46C-4F21-B471-8317AA4F9CDC}"/>
    <cellStyle name="쉼표 [0] 8 2 3 2 2 2" xfId="5078" xr:uid="{D0196319-D46C-4F21-B471-8317AA4F9CDC}"/>
    <cellStyle name="쉼표 [0] 8 2 3 2 2 3" xfId="3365" xr:uid="{D0196319-D46C-4F21-B471-8317AA4F9CDC}"/>
    <cellStyle name="쉼표 [0] 8 2 3 2 3" xfId="4021" xr:uid="{D0196319-D46C-4F21-B471-8317AA4F9CDC}"/>
    <cellStyle name="쉼표 [0] 8 2 3 2 4" xfId="2308" xr:uid="{D0196319-D46C-4F21-B471-8317AA4F9CDC}"/>
    <cellStyle name="쉼표 [0] 8 2 3 3" xfId="1244" xr:uid="{D0196319-D46C-4F21-B471-8317AA4F9CDC}"/>
    <cellStyle name="쉼표 [0] 8 2 3 3 2" xfId="4671" xr:uid="{D0196319-D46C-4F21-B471-8317AA4F9CDC}"/>
    <cellStyle name="쉼표 [0] 8 2 3 3 3" xfId="2958" xr:uid="{D0196319-D46C-4F21-B471-8317AA4F9CDC}"/>
    <cellStyle name="쉼표 [0] 8 2 3 4" xfId="1002" xr:uid="{D0196319-D46C-4F21-B471-8317AA4F9CDC}"/>
    <cellStyle name="쉼표 [0] 8 2 3 4 2" xfId="4430" xr:uid="{D0196319-D46C-4F21-B471-8317AA4F9CDC}"/>
    <cellStyle name="쉼표 [0] 8 2 3 4 3" xfId="2717" xr:uid="{D0196319-D46C-4F21-B471-8317AA4F9CDC}"/>
    <cellStyle name="쉼표 [0] 8 2 3 5" xfId="3613" xr:uid="{D0196319-D46C-4F21-B471-8317AA4F9CDC}"/>
    <cellStyle name="쉼표 [0] 8 2 3 6" xfId="1900" xr:uid="{D0196319-D46C-4F21-B471-8317AA4F9CDC}"/>
    <cellStyle name="쉼표 [0] 8 2 4" xfId="510" xr:uid="{D0196319-D46C-4F21-B471-8317AA4F9CDC}"/>
    <cellStyle name="쉼표 [0] 8 2 4 2" xfId="1570" xr:uid="{D0196319-D46C-4F21-B471-8317AA4F9CDC}"/>
    <cellStyle name="쉼표 [0] 8 2 4 2 2" xfId="4996" xr:uid="{D0196319-D46C-4F21-B471-8317AA4F9CDC}"/>
    <cellStyle name="쉼표 [0] 8 2 4 2 3" xfId="3283" xr:uid="{D0196319-D46C-4F21-B471-8317AA4F9CDC}"/>
    <cellStyle name="쉼표 [0] 8 2 4 3" xfId="920" xr:uid="{D0196319-D46C-4F21-B471-8317AA4F9CDC}"/>
    <cellStyle name="쉼표 [0] 8 2 4 3 2" xfId="4348" xr:uid="{D0196319-D46C-4F21-B471-8317AA4F9CDC}"/>
    <cellStyle name="쉼표 [0] 8 2 4 3 3" xfId="2635" xr:uid="{D0196319-D46C-4F21-B471-8317AA4F9CDC}"/>
    <cellStyle name="쉼표 [0] 8 2 4 4" xfId="3939" xr:uid="{D0196319-D46C-4F21-B471-8317AA4F9CDC}"/>
    <cellStyle name="쉼표 [0] 8 2 4 5" xfId="2226" xr:uid="{D0196319-D46C-4F21-B471-8317AA4F9CDC}"/>
    <cellStyle name="쉼표 [0] 8 2 5" xfId="347" xr:uid="{D0196319-D46C-4F21-B471-8317AA4F9CDC}"/>
    <cellStyle name="쉼표 [0] 8 2 5 2" xfId="1407" xr:uid="{D0196319-D46C-4F21-B471-8317AA4F9CDC}"/>
    <cellStyle name="쉼표 [0] 8 2 5 2 2" xfId="4834" xr:uid="{D0196319-D46C-4F21-B471-8317AA4F9CDC}"/>
    <cellStyle name="쉼표 [0] 8 2 5 2 3" xfId="3121" xr:uid="{D0196319-D46C-4F21-B471-8317AA4F9CDC}"/>
    <cellStyle name="쉼표 [0] 8 2 5 3" xfId="3777" xr:uid="{D0196319-D46C-4F21-B471-8317AA4F9CDC}"/>
    <cellStyle name="쉼표 [0] 8 2 5 4" xfId="2064" xr:uid="{D0196319-D46C-4F21-B471-8317AA4F9CDC}"/>
    <cellStyle name="쉼표 [0] 8 2 6" xfId="1165" xr:uid="{D0196319-D46C-4F21-B471-8317AA4F9CDC}"/>
    <cellStyle name="쉼표 [0] 8 2 6 2" xfId="4592" xr:uid="{D0196319-D46C-4F21-B471-8317AA4F9CDC}"/>
    <cellStyle name="쉼표 [0] 8 2 6 3" xfId="2879" xr:uid="{D0196319-D46C-4F21-B471-8317AA4F9CDC}"/>
    <cellStyle name="쉼표 [0] 8 2 7" xfId="758" xr:uid="{D0196319-D46C-4F21-B471-8317AA4F9CDC}"/>
    <cellStyle name="쉼표 [0] 8 2 7 2" xfId="4186" xr:uid="{D0196319-D46C-4F21-B471-8317AA4F9CDC}"/>
    <cellStyle name="쉼표 [0] 8 2 7 3" xfId="2473" xr:uid="{D0196319-D46C-4F21-B471-8317AA4F9CDC}"/>
    <cellStyle name="쉼표 [0] 8 2 8" xfId="3531" xr:uid="{D0196319-D46C-4F21-B471-8317AA4F9CDC}"/>
    <cellStyle name="쉼표 [0] 8 2 9" xfId="1818" xr:uid="{D0196319-D46C-4F21-B471-8317AA4F9CDC}"/>
    <cellStyle name="쉼표 [0] 8 3" xfId="227" xr:uid="{D0196319-D46C-4F21-B471-8317AA4F9CDC}"/>
    <cellStyle name="쉼표 [0] 8 3 2" xfId="638" xr:uid="{D0196319-D46C-4F21-B471-8317AA4F9CDC}"/>
    <cellStyle name="쉼표 [0] 8 3 2 2" xfId="1698" xr:uid="{D0196319-D46C-4F21-B471-8317AA4F9CDC}"/>
    <cellStyle name="쉼표 [0] 8 3 2 2 2" xfId="5124" xr:uid="{D0196319-D46C-4F21-B471-8317AA4F9CDC}"/>
    <cellStyle name="쉼표 [0] 8 3 2 2 3" xfId="3411" xr:uid="{D0196319-D46C-4F21-B471-8317AA4F9CDC}"/>
    <cellStyle name="쉼표 [0] 8 3 2 3" xfId="1048" xr:uid="{D0196319-D46C-4F21-B471-8317AA4F9CDC}"/>
    <cellStyle name="쉼표 [0] 8 3 2 3 2" xfId="4476" xr:uid="{D0196319-D46C-4F21-B471-8317AA4F9CDC}"/>
    <cellStyle name="쉼표 [0] 8 3 2 3 3" xfId="2763" xr:uid="{D0196319-D46C-4F21-B471-8317AA4F9CDC}"/>
    <cellStyle name="쉼표 [0] 8 3 2 4" xfId="4067" xr:uid="{D0196319-D46C-4F21-B471-8317AA4F9CDC}"/>
    <cellStyle name="쉼표 [0] 8 3 2 5" xfId="2354" xr:uid="{D0196319-D46C-4F21-B471-8317AA4F9CDC}"/>
    <cellStyle name="쉼표 [0] 8 3 3" xfId="393" xr:uid="{D0196319-D46C-4F21-B471-8317AA4F9CDC}"/>
    <cellStyle name="쉼표 [0] 8 3 3 2" xfId="1453" xr:uid="{D0196319-D46C-4F21-B471-8317AA4F9CDC}"/>
    <cellStyle name="쉼표 [0] 8 3 3 2 2" xfId="4880" xr:uid="{D0196319-D46C-4F21-B471-8317AA4F9CDC}"/>
    <cellStyle name="쉼표 [0] 8 3 3 2 3" xfId="3167" xr:uid="{D0196319-D46C-4F21-B471-8317AA4F9CDC}"/>
    <cellStyle name="쉼표 [0] 8 3 3 3" xfId="3823" xr:uid="{D0196319-D46C-4F21-B471-8317AA4F9CDC}"/>
    <cellStyle name="쉼표 [0] 8 3 3 4" xfId="2110" xr:uid="{D0196319-D46C-4F21-B471-8317AA4F9CDC}"/>
    <cellStyle name="쉼표 [0] 8 3 4" xfId="1289" xr:uid="{D0196319-D46C-4F21-B471-8317AA4F9CDC}"/>
    <cellStyle name="쉼표 [0] 8 3 4 2" xfId="4716" xr:uid="{D0196319-D46C-4F21-B471-8317AA4F9CDC}"/>
    <cellStyle name="쉼표 [0] 8 3 4 3" xfId="3003" xr:uid="{D0196319-D46C-4F21-B471-8317AA4F9CDC}"/>
    <cellStyle name="쉼표 [0] 8 3 5" xfId="804" xr:uid="{D0196319-D46C-4F21-B471-8317AA4F9CDC}"/>
    <cellStyle name="쉼표 [0] 8 3 5 2" xfId="4232" xr:uid="{D0196319-D46C-4F21-B471-8317AA4F9CDC}"/>
    <cellStyle name="쉼표 [0] 8 3 5 3" xfId="2519" xr:uid="{D0196319-D46C-4F21-B471-8317AA4F9CDC}"/>
    <cellStyle name="쉼표 [0] 8 3 6" xfId="3659" xr:uid="{D0196319-D46C-4F21-B471-8317AA4F9CDC}"/>
    <cellStyle name="쉼표 [0] 8 3 7" xfId="1946" xr:uid="{D0196319-D46C-4F21-B471-8317AA4F9CDC}"/>
    <cellStyle name="쉼표 [0] 8 4" xfId="145" xr:uid="{D0196319-D46C-4F21-B471-8317AA4F9CDC}"/>
    <cellStyle name="쉼표 [0] 8 4 2" xfId="556" xr:uid="{D0196319-D46C-4F21-B471-8317AA4F9CDC}"/>
    <cellStyle name="쉼표 [0] 8 4 2 2" xfId="1616" xr:uid="{D0196319-D46C-4F21-B471-8317AA4F9CDC}"/>
    <cellStyle name="쉼표 [0] 8 4 2 2 2" xfId="5042" xr:uid="{D0196319-D46C-4F21-B471-8317AA4F9CDC}"/>
    <cellStyle name="쉼표 [0] 8 4 2 2 3" xfId="3329" xr:uid="{D0196319-D46C-4F21-B471-8317AA4F9CDC}"/>
    <cellStyle name="쉼표 [0] 8 4 2 3" xfId="3985" xr:uid="{D0196319-D46C-4F21-B471-8317AA4F9CDC}"/>
    <cellStyle name="쉼표 [0] 8 4 2 4" xfId="2272" xr:uid="{D0196319-D46C-4F21-B471-8317AA4F9CDC}"/>
    <cellStyle name="쉼표 [0] 8 4 3" xfId="1208" xr:uid="{D0196319-D46C-4F21-B471-8317AA4F9CDC}"/>
    <cellStyle name="쉼표 [0] 8 4 3 2" xfId="4635" xr:uid="{D0196319-D46C-4F21-B471-8317AA4F9CDC}"/>
    <cellStyle name="쉼표 [0] 8 4 3 3" xfId="2922" xr:uid="{D0196319-D46C-4F21-B471-8317AA4F9CDC}"/>
    <cellStyle name="쉼표 [0] 8 4 4" xfId="966" xr:uid="{D0196319-D46C-4F21-B471-8317AA4F9CDC}"/>
    <cellStyle name="쉼표 [0] 8 4 4 2" xfId="4394" xr:uid="{D0196319-D46C-4F21-B471-8317AA4F9CDC}"/>
    <cellStyle name="쉼표 [0] 8 4 4 3" xfId="2681" xr:uid="{D0196319-D46C-4F21-B471-8317AA4F9CDC}"/>
    <cellStyle name="쉼표 [0] 8 4 5" xfId="3577" xr:uid="{D0196319-D46C-4F21-B471-8317AA4F9CDC}"/>
    <cellStyle name="쉼표 [0] 8 4 6" xfId="1864" xr:uid="{D0196319-D46C-4F21-B471-8317AA4F9CDC}"/>
    <cellStyle name="쉼표 [0] 8 5" xfId="474" xr:uid="{D0196319-D46C-4F21-B471-8317AA4F9CDC}"/>
    <cellStyle name="쉼표 [0] 8 5 2" xfId="1534" xr:uid="{D0196319-D46C-4F21-B471-8317AA4F9CDC}"/>
    <cellStyle name="쉼표 [0] 8 5 2 2" xfId="4960" xr:uid="{D0196319-D46C-4F21-B471-8317AA4F9CDC}"/>
    <cellStyle name="쉼표 [0] 8 5 2 3" xfId="3247" xr:uid="{D0196319-D46C-4F21-B471-8317AA4F9CDC}"/>
    <cellStyle name="쉼표 [0] 8 5 3" xfId="884" xr:uid="{D0196319-D46C-4F21-B471-8317AA4F9CDC}"/>
    <cellStyle name="쉼표 [0] 8 5 3 2" xfId="4312" xr:uid="{D0196319-D46C-4F21-B471-8317AA4F9CDC}"/>
    <cellStyle name="쉼표 [0] 8 5 3 3" xfId="2599" xr:uid="{D0196319-D46C-4F21-B471-8317AA4F9CDC}"/>
    <cellStyle name="쉼표 [0] 8 5 4" xfId="3903" xr:uid="{D0196319-D46C-4F21-B471-8317AA4F9CDC}"/>
    <cellStyle name="쉼표 [0] 8 5 5" xfId="2190" xr:uid="{D0196319-D46C-4F21-B471-8317AA4F9CDC}"/>
    <cellStyle name="쉼표 [0] 8 6" xfId="311" xr:uid="{D0196319-D46C-4F21-B471-8317AA4F9CDC}"/>
    <cellStyle name="쉼표 [0] 8 6 2" xfId="1371" xr:uid="{D0196319-D46C-4F21-B471-8317AA4F9CDC}"/>
    <cellStyle name="쉼표 [0] 8 6 2 2" xfId="4798" xr:uid="{D0196319-D46C-4F21-B471-8317AA4F9CDC}"/>
    <cellStyle name="쉼표 [0] 8 6 2 3" xfId="3085" xr:uid="{D0196319-D46C-4F21-B471-8317AA4F9CDC}"/>
    <cellStyle name="쉼표 [0] 8 6 3" xfId="3741" xr:uid="{D0196319-D46C-4F21-B471-8317AA4F9CDC}"/>
    <cellStyle name="쉼표 [0] 8 6 4" xfId="2028" xr:uid="{D0196319-D46C-4F21-B471-8317AA4F9CDC}"/>
    <cellStyle name="쉼표 [0] 8 7" xfId="1129" xr:uid="{D0196319-D46C-4F21-B471-8317AA4F9CDC}"/>
    <cellStyle name="쉼표 [0] 8 7 2" xfId="4556" xr:uid="{D0196319-D46C-4F21-B471-8317AA4F9CDC}"/>
    <cellStyle name="쉼표 [0] 8 7 3" xfId="2843" xr:uid="{D0196319-D46C-4F21-B471-8317AA4F9CDC}"/>
    <cellStyle name="쉼표 [0] 8 8" xfId="722" xr:uid="{D0196319-D46C-4F21-B471-8317AA4F9CDC}"/>
    <cellStyle name="쉼표 [0] 8 8 2" xfId="4150" xr:uid="{D0196319-D46C-4F21-B471-8317AA4F9CDC}"/>
    <cellStyle name="쉼표 [0] 8 8 3" xfId="2437" xr:uid="{D0196319-D46C-4F21-B471-8317AA4F9CDC}"/>
    <cellStyle name="쉼표 [0] 8 9" xfId="3495" xr:uid="{D0196319-D46C-4F21-B471-8317AA4F9CDC}"/>
    <cellStyle name="쉼표 [0] 9" xfId="56" xr:uid="{B2E1CC18-1DB7-43F3-9D30-D2012F1E0488}"/>
    <cellStyle name="쉼표 [0] 9 10" xfId="1789" xr:uid="{B2E1CC18-1DB7-43F3-9D30-D2012F1E0488}"/>
    <cellStyle name="쉼표 [0] 9 2" xfId="103" xr:uid="{B2E1CC18-1DB7-43F3-9D30-D2012F1E0488}"/>
    <cellStyle name="쉼표 [0] 9 2 2" xfId="270" xr:uid="{B2E1CC18-1DB7-43F3-9D30-D2012F1E0488}"/>
    <cellStyle name="쉼표 [0] 9 2 2 2" xfId="681" xr:uid="{B2E1CC18-1DB7-43F3-9D30-D2012F1E0488}"/>
    <cellStyle name="쉼표 [0] 9 2 2 2 2" xfId="1741" xr:uid="{B2E1CC18-1DB7-43F3-9D30-D2012F1E0488}"/>
    <cellStyle name="쉼표 [0] 9 2 2 2 2 2" xfId="5167" xr:uid="{B2E1CC18-1DB7-43F3-9D30-D2012F1E0488}"/>
    <cellStyle name="쉼표 [0] 9 2 2 2 2 3" xfId="3454" xr:uid="{B2E1CC18-1DB7-43F3-9D30-D2012F1E0488}"/>
    <cellStyle name="쉼표 [0] 9 2 2 2 3" xfId="1091" xr:uid="{B2E1CC18-1DB7-43F3-9D30-D2012F1E0488}"/>
    <cellStyle name="쉼표 [0] 9 2 2 2 3 2" xfId="4519" xr:uid="{B2E1CC18-1DB7-43F3-9D30-D2012F1E0488}"/>
    <cellStyle name="쉼표 [0] 9 2 2 2 3 3" xfId="2806" xr:uid="{B2E1CC18-1DB7-43F3-9D30-D2012F1E0488}"/>
    <cellStyle name="쉼표 [0] 9 2 2 2 4" xfId="4110" xr:uid="{B2E1CC18-1DB7-43F3-9D30-D2012F1E0488}"/>
    <cellStyle name="쉼표 [0] 9 2 2 2 5" xfId="2397" xr:uid="{B2E1CC18-1DB7-43F3-9D30-D2012F1E0488}"/>
    <cellStyle name="쉼표 [0] 9 2 2 3" xfId="436" xr:uid="{B2E1CC18-1DB7-43F3-9D30-D2012F1E0488}"/>
    <cellStyle name="쉼표 [0] 9 2 2 3 2" xfId="1496" xr:uid="{B2E1CC18-1DB7-43F3-9D30-D2012F1E0488}"/>
    <cellStyle name="쉼표 [0] 9 2 2 3 2 2" xfId="4923" xr:uid="{B2E1CC18-1DB7-43F3-9D30-D2012F1E0488}"/>
    <cellStyle name="쉼표 [0] 9 2 2 3 2 3" xfId="3210" xr:uid="{B2E1CC18-1DB7-43F3-9D30-D2012F1E0488}"/>
    <cellStyle name="쉼표 [0] 9 2 2 3 3" xfId="3866" xr:uid="{B2E1CC18-1DB7-43F3-9D30-D2012F1E0488}"/>
    <cellStyle name="쉼표 [0] 9 2 2 3 4" xfId="2153" xr:uid="{B2E1CC18-1DB7-43F3-9D30-D2012F1E0488}"/>
    <cellStyle name="쉼표 [0] 9 2 2 4" xfId="1332" xr:uid="{B2E1CC18-1DB7-43F3-9D30-D2012F1E0488}"/>
    <cellStyle name="쉼표 [0] 9 2 2 4 2" xfId="4759" xr:uid="{B2E1CC18-1DB7-43F3-9D30-D2012F1E0488}"/>
    <cellStyle name="쉼표 [0] 9 2 2 4 3" xfId="3046" xr:uid="{B2E1CC18-1DB7-43F3-9D30-D2012F1E0488}"/>
    <cellStyle name="쉼표 [0] 9 2 2 5" xfId="847" xr:uid="{B2E1CC18-1DB7-43F3-9D30-D2012F1E0488}"/>
    <cellStyle name="쉼표 [0] 9 2 2 5 2" xfId="4275" xr:uid="{B2E1CC18-1DB7-43F3-9D30-D2012F1E0488}"/>
    <cellStyle name="쉼표 [0] 9 2 2 5 3" xfId="2562" xr:uid="{B2E1CC18-1DB7-43F3-9D30-D2012F1E0488}"/>
    <cellStyle name="쉼표 [0] 9 2 2 6" xfId="3702" xr:uid="{B2E1CC18-1DB7-43F3-9D30-D2012F1E0488}"/>
    <cellStyle name="쉼표 [0] 9 2 2 7" xfId="1989" xr:uid="{B2E1CC18-1DB7-43F3-9D30-D2012F1E0488}"/>
    <cellStyle name="쉼표 [0] 9 2 3" xfId="188" xr:uid="{B2E1CC18-1DB7-43F3-9D30-D2012F1E0488}"/>
    <cellStyle name="쉼표 [0] 9 2 3 2" xfId="599" xr:uid="{B2E1CC18-1DB7-43F3-9D30-D2012F1E0488}"/>
    <cellStyle name="쉼표 [0] 9 2 3 2 2" xfId="1659" xr:uid="{B2E1CC18-1DB7-43F3-9D30-D2012F1E0488}"/>
    <cellStyle name="쉼표 [0] 9 2 3 2 2 2" xfId="5085" xr:uid="{B2E1CC18-1DB7-43F3-9D30-D2012F1E0488}"/>
    <cellStyle name="쉼표 [0] 9 2 3 2 2 3" xfId="3372" xr:uid="{B2E1CC18-1DB7-43F3-9D30-D2012F1E0488}"/>
    <cellStyle name="쉼표 [0] 9 2 3 2 3" xfId="4028" xr:uid="{B2E1CC18-1DB7-43F3-9D30-D2012F1E0488}"/>
    <cellStyle name="쉼표 [0] 9 2 3 2 4" xfId="2315" xr:uid="{B2E1CC18-1DB7-43F3-9D30-D2012F1E0488}"/>
    <cellStyle name="쉼표 [0] 9 2 3 3" xfId="1251" xr:uid="{B2E1CC18-1DB7-43F3-9D30-D2012F1E0488}"/>
    <cellStyle name="쉼표 [0] 9 2 3 3 2" xfId="4678" xr:uid="{B2E1CC18-1DB7-43F3-9D30-D2012F1E0488}"/>
    <cellStyle name="쉼표 [0] 9 2 3 3 3" xfId="2965" xr:uid="{B2E1CC18-1DB7-43F3-9D30-D2012F1E0488}"/>
    <cellStyle name="쉼표 [0] 9 2 3 4" xfId="1009" xr:uid="{B2E1CC18-1DB7-43F3-9D30-D2012F1E0488}"/>
    <cellStyle name="쉼표 [0] 9 2 3 4 2" xfId="4437" xr:uid="{B2E1CC18-1DB7-43F3-9D30-D2012F1E0488}"/>
    <cellStyle name="쉼표 [0] 9 2 3 4 3" xfId="2724" xr:uid="{B2E1CC18-1DB7-43F3-9D30-D2012F1E0488}"/>
    <cellStyle name="쉼표 [0] 9 2 3 5" xfId="3620" xr:uid="{B2E1CC18-1DB7-43F3-9D30-D2012F1E0488}"/>
    <cellStyle name="쉼표 [0] 9 2 3 6" xfId="1907" xr:uid="{B2E1CC18-1DB7-43F3-9D30-D2012F1E0488}"/>
    <cellStyle name="쉼표 [0] 9 2 4" xfId="517" xr:uid="{B2E1CC18-1DB7-43F3-9D30-D2012F1E0488}"/>
    <cellStyle name="쉼표 [0] 9 2 4 2" xfId="1577" xr:uid="{B2E1CC18-1DB7-43F3-9D30-D2012F1E0488}"/>
    <cellStyle name="쉼표 [0] 9 2 4 2 2" xfId="5003" xr:uid="{B2E1CC18-1DB7-43F3-9D30-D2012F1E0488}"/>
    <cellStyle name="쉼표 [0] 9 2 4 2 3" xfId="3290" xr:uid="{B2E1CC18-1DB7-43F3-9D30-D2012F1E0488}"/>
    <cellStyle name="쉼표 [0] 9 2 4 3" xfId="927" xr:uid="{B2E1CC18-1DB7-43F3-9D30-D2012F1E0488}"/>
    <cellStyle name="쉼표 [0] 9 2 4 3 2" xfId="4355" xr:uid="{B2E1CC18-1DB7-43F3-9D30-D2012F1E0488}"/>
    <cellStyle name="쉼표 [0] 9 2 4 3 3" xfId="2642" xr:uid="{B2E1CC18-1DB7-43F3-9D30-D2012F1E0488}"/>
    <cellStyle name="쉼표 [0] 9 2 4 4" xfId="3946" xr:uid="{B2E1CC18-1DB7-43F3-9D30-D2012F1E0488}"/>
    <cellStyle name="쉼표 [0] 9 2 4 5" xfId="2233" xr:uid="{B2E1CC18-1DB7-43F3-9D30-D2012F1E0488}"/>
    <cellStyle name="쉼표 [0] 9 2 5" xfId="354" xr:uid="{B2E1CC18-1DB7-43F3-9D30-D2012F1E0488}"/>
    <cellStyle name="쉼표 [0] 9 2 5 2" xfId="1414" xr:uid="{B2E1CC18-1DB7-43F3-9D30-D2012F1E0488}"/>
    <cellStyle name="쉼표 [0] 9 2 5 2 2" xfId="4841" xr:uid="{B2E1CC18-1DB7-43F3-9D30-D2012F1E0488}"/>
    <cellStyle name="쉼표 [0] 9 2 5 2 3" xfId="3128" xr:uid="{B2E1CC18-1DB7-43F3-9D30-D2012F1E0488}"/>
    <cellStyle name="쉼표 [0] 9 2 5 3" xfId="3784" xr:uid="{B2E1CC18-1DB7-43F3-9D30-D2012F1E0488}"/>
    <cellStyle name="쉼표 [0] 9 2 5 4" xfId="2071" xr:uid="{B2E1CC18-1DB7-43F3-9D30-D2012F1E0488}"/>
    <cellStyle name="쉼표 [0] 9 2 6" xfId="1172" xr:uid="{B2E1CC18-1DB7-43F3-9D30-D2012F1E0488}"/>
    <cellStyle name="쉼표 [0] 9 2 6 2" xfId="4599" xr:uid="{B2E1CC18-1DB7-43F3-9D30-D2012F1E0488}"/>
    <cellStyle name="쉼표 [0] 9 2 6 3" xfId="2886" xr:uid="{B2E1CC18-1DB7-43F3-9D30-D2012F1E0488}"/>
    <cellStyle name="쉼표 [0] 9 2 7" xfId="765" xr:uid="{B2E1CC18-1DB7-43F3-9D30-D2012F1E0488}"/>
    <cellStyle name="쉼표 [0] 9 2 7 2" xfId="4193" xr:uid="{B2E1CC18-1DB7-43F3-9D30-D2012F1E0488}"/>
    <cellStyle name="쉼표 [0] 9 2 7 3" xfId="2480" xr:uid="{B2E1CC18-1DB7-43F3-9D30-D2012F1E0488}"/>
    <cellStyle name="쉼표 [0] 9 2 8" xfId="3538" xr:uid="{B2E1CC18-1DB7-43F3-9D30-D2012F1E0488}"/>
    <cellStyle name="쉼표 [0] 9 2 9" xfId="1825" xr:uid="{B2E1CC18-1DB7-43F3-9D30-D2012F1E0488}"/>
    <cellStyle name="쉼표 [0] 9 3" xfId="234" xr:uid="{B2E1CC18-1DB7-43F3-9D30-D2012F1E0488}"/>
    <cellStyle name="쉼표 [0] 9 3 2" xfId="645" xr:uid="{B2E1CC18-1DB7-43F3-9D30-D2012F1E0488}"/>
    <cellStyle name="쉼표 [0] 9 3 2 2" xfId="1705" xr:uid="{B2E1CC18-1DB7-43F3-9D30-D2012F1E0488}"/>
    <cellStyle name="쉼표 [0] 9 3 2 2 2" xfId="5131" xr:uid="{B2E1CC18-1DB7-43F3-9D30-D2012F1E0488}"/>
    <cellStyle name="쉼표 [0] 9 3 2 2 3" xfId="3418" xr:uid="{B2E1CC18-1DB7-43F3-9D30-D2012F1E0488}"/>
    <cellStyle name="쉼표 [0] 9 3 2 3" xfId="1055" xr:uid="{B2E1CC18-1DB7-43F3-9D30-D2012F1E0488}"/>
    <cellStyle name="쉼표 [0] 9 3 2 3 2" xfId="4483" xr:uid="{B2E1CC18-1DB7-43F3-9D30-D2012F1E0488}"/>
    <cellStyle name="쉼표 [0] 9 3 2 3 3" xfId="2770" xr:uid="{B2E1CC18-1DB7-43F3-9D30-D2012F1E0488}"/>
    <cellStyle name="쉼표 [0] 9 3 2 4" xfId="4074" xr:uid="{B2E1CC18-1DB7-43F3-9D30-D2012F1E0488}"/>
    <cellStyle name="쉼표 [0] 9 3 2 5" xfId="2361" xr:uid="{B2E1CC18-1DB7-43F3-9D30-D2012F1E0488}"/>
    <cellStyle name="쉼표 [0] 9 3 3" xfId="400" xr:uid="{B2E1CC18-1DB7-43F3-9D30-D2012F1E0488}"/>
    <cellStyle name="쉼표 [0] 9 3 3 2" xfId="1460" xr:uid="{B2E1CC18-1DB7-43F3-9D30-D2012F1E0488}"/>
    <cellStyle name="쉼표 [0] 9 3 3 2 2" xfId="4887" xr:uid="{B2E1CC18-1DB7-43F3-9D30-D2012F1E0488}"/>
    <cellStyle name="쉼표 [0] 9 3 3 2 3" xfId="3174" xr:uid="{B2E1CC18-1DB7-43F3-9D30-D2012F1E0488}"/>
    <cellStyle name="쉼표 [0] 9 3 3 3" xfId="3830" xr:uid="{B2E1CC18-1DB7-43F3-9D30-D2012F1E0488}"/>
    <cellStyle name="쉼표 [0] 9 3 3 4" xfId="2117" xr:uid="{B2E1CC18-1DB7-43F3-9D30-D2012F1E0488}"/>
    <cellStyle name="쉼표 [0] 9 3 4" xfId="1296" xr:uid="{B2E1CC18-1DB7-43F3-9D30-D2012F1E0488}"/>
    <cellStyle name="쉼표 [0] 9 3 4 2" xfId="4723" xr:uid="{B2E1CC18-1DB7-43F3-9D30-D2012F1E0488}"/>
    <cellStyle name="쉼표 [0] 9 3 4 3" xfId="3010" xr:uid="{B2E1CC18-1DB7-43F3-9D30-D2012F1E0488}"/>
    <cellStyle name="쉼표 [0] 9 3 5" xfId="811" xr:uid="{B2E1CC18-1DB7-43F3-9D30-D2012F1E0488}"/>
    <cellStyle name="쉼표 [0] 9 3 5 2" xfId="4239" xr:uid="{B2E1CC18-1DB7-43F3-9D30-D2012F1E0488}"/>
    <cellStyle name="쉼표 [0] 9 3 5 3" xfId="2526" xr:uid="{B2E1CC18-1DB7-43F3-9D30-D2012F1E0488}"/>
    <cellStyle name="쉼표 [0] 9 3 6" xfId="3666" xr:uid="{B2E1CC18-1DB7-43F3-9D30-D2012F1E0488}"/>
    <cellStyle name="쉼표 [0] 9 3 7" xfId="1953" xr:uid="{B2E1CC18-1DB7-43F3-9D30-D2012F1E0488}"/>
    <cellStyle name="쉼표 [0] 9 4" xfId="152" xr:uid="{B2E1CC18-1DB7-43F3-9D30-D2012F1E0488}"/>
    <cellStyle name="쉼표 [0] 9 4 2" xfId="563" xr:uid="{B2E1CC18-1DB7-43F3-9D30-D2012F1E0488}"/>
    <cellStyle name="쉼표 [0] 9 4 2 2" xfId="1623" xr:uid="{B2E1CC18-1DB7-43F3-9D30-D2012F1E0488}"/>
    <cellStyle name="쉼표 [0] 9 4 2 2 2" xfId="5049" xr:uid="{B2E1CC18-1DB7-43F3-9D30-D2012F1E0488}"/>
    <cellStyle name="쉼표 [0] 9 4 2 2 3" xfId="3336" xr:uid="{B2E1CC18-1DB7-43F3-9D30-D2012F1E0488}"/>
    <cellStyle name="쉼표 [0] 9 4 2 3" xfId="3992" xr:uid="{B2E1CC18-1DB7-43F3-9D30-D2012F1E0488}"/>
    <cellStyle name="쉼표 [0] 9 4 2 4" xfId="2279" xr:uid="{B2E1CC18-1DB7-43F3-9D30-D2012F1E0488}"/>
    <cellStyle name="쉼표 [0] 9 4 3" xfId="1215" xr:uid="{B2E1CC18-1DB7-43F3-9D30-D2012F1E0488}"/>
    <cellStyle name="쉼표 [0] 9 4 3 2" xfId="4642" xr:uid="{B2E1CC18-1DB7-43F3-9D30-D2012F1E0488}"/>
    <cellStyle name="쉼표 [0] 9 4 3 3" xfId="2929" xr:uid="{B2E1CC18-1DB7-43F3-9D30-D2012F1E0488}"/>
    <cellStyle name="쉼표 [0] 9 4 4" xfId="973" xr:uid="{B2E1CC18-1DB7-43F3-9D30-D2012F1E0488}"/>
    <cellStyle name="쉼표 [0] 9 4 4 2" xfId="4401" xr:uid="{B2E1CC18-1DB7-43F3-9D30-D2012F1E0488}"/>
    <cellStyle name="쉼표 [0] 9 4 4 3" xfId="2688" xr:uid="{B2E1CC18-1DB7-43F3-9D30-D2012F1E0488}"/>
    <cellStyle name="쉼표 [0] 9 4 5" xfId="3584" xr:uid="{B2E1CC18-1DB7-43F3-9D30-D2012F1E0488}"/>
    <cellStyle name="쉼표 [0] 9 4 6" xfId="1871" xr:uid="{B2E1CC18-1DB7-43F3-9D30-D2012F1E0488}"/>
    <cellStyle name="쉼표 [0] 9 5" xfId="481" xr:uid="{B2E1CC18-1DB7-43F3-9D30-D2012F1E0488}"/>
    <cellStyle name="쉼표 [0] 9 5 2" xfId="1541" xr:uid="{B2E1CC18-1DB7-43F3-9D30-D2012F1E0488}"/>
    <cellStyle name="쉼표 [0] 9 5 2 2" xfId="4967" xr:uid="{B2E1CC18-1DB7-43F3-9D30-D2012F1E0488}"/>
    <cellStyle name="쉼표 [0] 9 5 2 3" xfId="3254" xr:uid="{B2E1CC18-1DB7-43F3-9D30-D2012F1E0488}"/>
    <cellStyle name="쉼표 [0] 9 5 3" xfId="891" xr:uid="{B2E1CC18-1DB7-43F3-9D30-D2012F1E0488}"/>
    <cellStyle name="쉼표 [0] 9 5 3 2" xfId="4319" xr:uid="{B2E1CC18-1DB7-43F3-9D30-D2012F1E0488}"/>
    <cellStyle name="쉼표 [0] 9 5 3 3" xfId="2606" xr:uid="{B2E1CC18-1DB7-43F3-9D30-D2012F1E0488}"/>
    <cellStyle name="쉼표 [0] 9 5 4" xfId="3910" xr:uid="{B2E1CC18-1DB7-43F3-9D30-D2012F1E0488}"/>
    <cellStyle name="쉼표 [0] 9 5 5" xfId="2197" xr:uid="{B2E1CC18-1DB7-43F3-9D30-D2012F1E0488}"/>
    <cellStyle name="쉼표 [0] 9 6" xfId="318" xr:uid="{B2E1CC18-1DB7-43F3-9D30-D2012F1E0488}"/>
    <cellStyle name="쉼표 [0] 9 6 2" xfId="1378" xr:uid="{B2E1CC18-1DB7-43F3-9D30-D2012F1E0488}"/>
    <cellStyle name="쉼표 [0] 9 6 2 2" xfId="4805" xr:uid="{B2E1CC18-1DB7-43F3-9D30-D2012F1E0488}"/>
    <cellStyle name="쉼표 [0] 9 6 2 3" xfId="3092" xr:uid="{B2E1CC18-1DB7-43F3-9D30-D2012F1E0488}"/>
    <cellStyle name="쉼표 [0] 9 6 3" xfId="3748" xr:uid="{B2E1CC18-1DB7-43F3-9D30-D2012F1E0488}"/>
    <cellStyle name="쉼표 [0] 9 6 4" xfId="2035" xr:uid="{B2E1CC18-1DB7-43F3-9D30-D2012F1E0488}"/>
    <cellStyle name="쉼표 [0] 9 7" xfId="1136" xr:uid="{B2E1CC18-1DB7-43F3-9D30-D2012F1E0488}"/>
    <cellStyle name="쉼표 [0] 9 7 2" xfId="4563" xr:uid="{B2E1CC18-1DB7-43F3-9D30-D2012F1E0488}"/>
    <cellStyle name="쉼표 [0] 9 7 3" xfId="2850" xr:uid="{B2E1CC18-1DB7-43F3-9D30-D2012F1E0488}"/>
    <cellStyle name="쉼표 [0] 9 8" xfId="729" xr:uid="{B2E1CC18-1DB7-43F3-9D30-D2012F1E0488}"/>
    <cellStyle name="쉼표 [0] 9 8 2" xfId="4157" xr:uid="{B2E1CC18-1DB7-43F3-9D30-D2012F1E0488}"/>
    <cellStyle name="쉼표 [0] 9 8 3" xfId="2444" xr:uid="{B2E1CC18-1DB7-43F3-9D30-D2012F1E0488}"/>
    <cellStyle name="쉼표 [0] 9 9" xfId="3502" xr:uid="{B2E1CC18-1DB7-43F3-9D30-D2012F1E0488}"/>
    <cellStyle name="통화 [0] 2" xfId="32" xr:uid="{19978A32-5E5F-476F-9804-A60CC169E55E}"/>
    <cellStyle name="통화 [0] 2 10" xfId="1777" xr:uid="{19978A32-5E5F-476F-9804-A60CC169E55E}"/>
    <cellStyle name="통화 [0] 2 2" xfId="91" xr:uid="{19978A32-5E5F-476F-9804-A60CC169E55E}"/>
    <cellStyle name="통화 [0] 2 2 2" xfId="258" xr:uid="{19978A32-5E5F-476F-9804-A60CC169E55E}"/>
    <cellStyle name="통화 [0] 2 2 2 2" xfId="669" xr:uid="{19978A32-5E5F-476F-9804-A60CC169E55E}"/>
    <cellStyle name="통화 [0] 2 2 2 2 2" xfId="1729" xr:uid="{19978A32-5E5F-476F-9804-A60CC169E55E}"/>
    <cellStyle name="통화 [0] 2 2 2 2 2 2" xfId="5155" xr:uid="{19978A32-5E5F-476F-9804-A60CC169E55E}"/>
    <cellStyle name="통화 [0] 2 2 2 2 2 3" xfId="3442" xr:uid="{19978A32-5E5F-476F-9804-A60CC169E55E}"/>
    <cellStyle name="통화 [0] 2 2 2 2 3" xfId="1079" xr:uid="{19978A32-5E5F-476F-9804-A60CC169E55E}"/>
    <cellStyle name="통화 [0] 2 2 2 2 3 2" xfId="4507" xr:uid="{19978A32-5E5F-476F-9804-A60CC169E55E}"/>
    <cellStyle name="통화 [0] 2 2 2 2 3 3" xfId="2794" xr:uid="{19978A32-5E5F-476F-9804-A60CC169E55E}"/>
    <cellStyle name="통화 [0] 2 2 2 2 4" xfId="4098" xr:uid="{19978A32-5E5F-476F-9804-A60CC169E55E}"/>
    <cellStyle name="통화 [0] 2 2 2 2 5" xfId="2385" xr:uid="{19978A32-5E5F-476F-9804-A60CC169E55E}"/>
    <cellStyle name="통화 [0] 2 2 2 3" xfId="424" xr:uid="{19978A32-5E5F-476F-9804-A60CC169E55E}"/>
    <cellStyle name="통화 [0] 2 2 2 3 2" xfId="1484" xr:uid="{19978A32-5E5F-476F-9804-A60CC169E55E}"/>
    <cellStyle name="통화 [0] 2 2 2 3 2 2" xfId="4911" xr:uid="{19978A32-5E5F-476F-9804-A60CC169E55E}"/>
    <cellStyle name="통화 [0] 2 2 2 3 2 3" xfId="3198" xr:uid="{19978A32-5E5F-476F-9804-A60CC169E55E}"/>
    <cellStyle name="통화 [0] 2 2 2 3 3" xfId="3854" xr:uid="{19978A32-5E5F-476F-9804-A60CC169E55E}"/>
    <cellStyle name="통화 [0] 2 2 2 3 4" xfId="2141" xr:uid="{19978A32-5E5F-476F-9804-A60CC169E55E}"/>
    <cellStyle name="통화 [0] 2 2 2 4" xfId="1320" xr:uid="{19978A32-5E5F-476F-9804-A60CC169E55E}"/>
    <cellStyle name="통화 [0] 2 2 2 4 2" xfId="4747" xr:uid="{19978A32-5E5F-476F-9804-A60CC169E55E}"/>
    <cellStyle name="통화 [0] 2 2 2 4 3" xfId="3034" xr:uid="{19978A32-5E5F-476F-9804-A60CC169E55E}"/>
    <cellStyle name="통화 [0] 2 2 2 5" xfId="835" xr:uid="{19978A32-5E5F-476F-9804-A60CC169E55E}"/>
    <cellStyle name="통화 [0] 2 2 2 5 2" xfId="4263" xr:uid="{19978A32-5E5F-476F-9804-A60CC169E55E}"/>
    <cellStyle name="통화 [0] 2 2 2 5 3" xfId="2550" xr:uid="{19978A32-5E5F-476F-9804-A60CC169E55E}"/>
    <cellStyle name="통화 [0] 2 2 2 6" xfId="3690" xr:uid="{19978A32-5E5F-476F-9804-A60CC169E55E}"/>
    <cellStyle name="통화 [0] 2 2 2 7" xfId="1977" xr:uid="{19978A32-5E5F-476F-9804-A60CC169E55E}"/>
    <cellStyle name="통화 [0] 2 2 3" xfId="176" xr:uid="{19978A32-5E5F-476F-9804-A60CC169E55E}"/>
    <cellStyle name="통화 [0] 2 2 3 2" xfId="587" xr:uid="{19978A32-5E5F-476F-9804-A60CC169E55E}"/>
    <cellStyle name="통화 [0] 2 2 3 2 2" xfId="1647" xr:uid="{19978A32-5E5F-476F-9804-A60CC169E55E}"/>
    <cellStyle name="통화 [0] 2 2 3 2 2 2" xfId="5073" xr:uid="{19978A32-5E5F-476F-9804-A60CC169E55E}"/>
    <cellStyle name="통화 [0] 2 2 3 2 2 3" xfId="3360" xr:uid="{19978A32-5E5F-476F-9804-A60CC169E55E}"/>
    <cellStyle name="통화 [0] 2 2 3 2 3" xfId="4016" xr:uid="{19978A32-5E5F-476F-9804-A60CC169E55E}"/>
    <cellStyle name="통화 [0] 2 2 3 2 4" xfId="2303" xr:uid="{19978A32-5E5F-476F-9804-A60CC169E55E}"/>
    <cellStyle name="통화 [0] 2 2 3 3" xfId="1239" xr:uid="{19978A32-5E5F-476F-9804-A60CC169E55E}"/>
    <cellStyle name="통화 [0] 2 2 3 3 2" xfId="4666" xr:uid="{19978A32-5E5F-476F-9804-A60CC169E55E}"/>
    <cellStyle name="통화 [0] 2 2 3 3 3" xfId="2953" xr:uid="{19978A32-5E5F-476F-9804-A60CC169E55E}"/>
    <cellStyle name="통화 [0] 2 2 3 4" xfId="997" xr:uid="{19978A32-5E5F-476F-9804-A60CC169E55E}"/>
    <cellStyle name="통화 [0] 2 2 3 4 2" xfId="4425" xr:uid="{19978A32-5E5F-476F-9804-A60CC169E55E}"/>
    <cellStyle name="통화 [0] 2 2 3 4 3" xfId="2712" xr:uid="{19978A32-5E5F-476F-9804-A60CC169E55E}"/>
    <cellStyle name="통화 [0] 2 2 3 5" xfId="3608" xr:uid="{19978A32-5E5F-476F-9804-A60CC169E55E}"/>
    <cellStyle name="통화 [0] 2 2 3 6" xfId="1895" xr:uid="{19978A32-5E5F-476F-9804-A60CC169E55E}"/>
    <cellStyle name="통화 [0] 2 2 4" xfId="505" xr:uid="{19978A32-5E5F-476F-9804-A60CC169E55E}"/>
    <cellStyle name="통화 [0] 2 2 4 2" xfId="1565" xr:uid="{19978A32-5E5F-476F-9804-A60CC169E55E}"/>
    <cellStyle name="통화 [0] 2 2 4 2 2" xfId="4991" xr:uid="{19978A32-5E5F-476F-9804-A60CC169E55E}"/>
    <cellStyle name="통화 [0] 2 2 4 2 3" xfId="3278" xr:uid="{19978A32-5E5F-476F-9804-A60CC169E55E}"/>
    <cellStyle name="통화 [0] 2 2 4 3" xfId="915" xr:uid="{19978A32-5E5F-476F-9804-A60CC169E55E}"/>
    <cellStyle name="통화 [0] 2 2 4 3 2" xfId="4343" xr:uid="{19978A32-5E5F-476F-9804-A60CC169E55E}"/>
    <cellStyle name="통화 [0] 2 2 4 3 3" xfId="2630" xr:uid="{19978A32-5E5F-476F-9804-A60CC169E55E}"/>
    <cellStyle name="통화 [0] 2 2 4 4" xfId="3934" xr:uid="{19978A32-5E5F-476F-9804-A60CC169E55E}"/>
    <cellStyle name="통화 [0] 2 2 4 5" xfId="2221" xr:uid="{19978A32-5E5F-476F-9804-A60CC169E55E}"/>
    <cellStyle name="통화 [0] 2 2 5" xfId="342" xr:uid="{19978A32-5E5F-476F-9804-A60CC169E55E}"/>
    <cellStyle name="통화 [0] 2 2 5 2" xfId="1402" xr:uid="{19978A32-5E5F-476F-9804-A60CC169E55E}"/>
    <cellStyle name="통화 [0] 2 2 5 2 2" xfId="4829" xr:uid="{19978A32-5E5F-476F-9804-A60CC169E55E}"/>
    <cellStyle name="통화 [0] 2 2 5 2 3" xfId="3116" xr:uid="{19978A32-5E5F-476F-9804-A60CC169E55E}"/>
    <cellStyle name="통화 [0] 2 2 5 3" xfId="3772" xr:uid="{19978A32-5E5F-476F-9804-A60CC169E55E}"/>
    <cellStyle name="통화 [0] 2 2 5 4" xfId="2059" xr:uid="{19978A32-5E5F-476F-9804-A60CC169E55E}"/>
    <cellStyle name="통화 [0] 2 2 6" xfId="1160" xr:uid="{19978A32-5E5F-476F-9804-A60CC169E55E}"/>
    <cellStyle name="통화 [0] 2 2 6 2" xfId="4587" xr:uid="{19978A32-5E5F-476F-9804-A60CC169E55E}"/>
    <cellStyle name="통화 [0] 2 2 6 3" xfId="2874" xr:uid="{19978A32-5E5F-476F-9804-A60CC169E55E}"/>
    <cellStyle name="통화 [0] 2 2 7" xfId="753" xr:uid="{19978A32-5E5F-476F-9804-A60CC169E55E}"/>
    <cellStyle name="통화 [0] 2 2 7 2" xfId="4181" xr:uid="{19978A32-5E5F-476F-9804-A60CC169E55E}"/>
    <cellStyle name="통화 [0] 2 2 7 3" xfId="2468" xr:uid="{19978A32-5E5F-476F-9804-A60CC169E55E}"/>
    <cellStyle name="통화 [0] 2 2 8" xfId="3526" xr:uid="{19978A32-5E5F-476F-9804-A60CC169E55E}"/>
    <cellStyle name="통화 [0] 2 2 9" xfId="1813" xr:uid="{19978A32-5E5F-476F-9804-A60CC169E55E}"/>
    <cellStyle name="통화 [0] 2 3" xfId="222" xr:uid="{19978A32-5E5F-476F-9804-A60CC169E55E}"/>
    <cellStyle name="통화 [0] 2 3 2" xfId="633" xr:uid="{19978A32-5E5F-476F-9804-A60CC169E55E}"/>
    <cellStyle name="통화 [0] 2 3 2 2" xfId="1693" xr:uid="{19978A32-5E5F-476F-9804-A60CC169E55E}"/>
    <cellStyle name="통화 [0] 2 3 2 2 2" xfId="5119" xr:uid="{19978A32-5E5F-476F-9804-A60CC169E55E}"/>
    <cellStyle name="통화 [0] 2 3 2 2 3" xfId="3406" xr:uid="{19978A32-5E5F-476F-9804-A60CC169E55E}"/>
    <cellStyle name="통화 [0] 2 3 2 3" xfId="1043" xr:uid="{19978A32-5E5F-476F-9804-A60CC169E55E}"/>
    <cellStyle name="통화 [0] 2 3 2 3 2" xfId="4471" xr:uid="{19978A32-5E5F-476F-9804-A60CC169E55E}"/>
    <cellStyle name="통화 [0] 2 3 2 3 3" xfId="2758" xr:uid="{19978A32-5E5F-476F-9804-A60CC169E55E}"/>
    <cellStyle name="통화 [0] 2 3 2 4" xfId="4062" xr:uid="{19978A32-5E5F-476F-9804-A60CC169E55E}"/>
    <cellStyle name="통화 [0] 2 3 2 5" xfId="2349" xr:uid="{19978A32-5E5F-476F-9804-A60CC169E55E}"/>
    <cellStyle name="통화 [0] 2 3 3" xfId="388" xr:uid="{19978A32-5E5F-476F-9804-A60CC169E55E}"/>
    <cellStyle name="통화 [0] 2 3 3 2" xfId="1448" xr:uid="{19978A32-5E5F-476F-9804-A60CC169E55E}"/>
    <cellStyle name="통화 [0] 2 3 3 2 2" xfId="4875" xr:uid="{19978A32-5E5F-476F-9804-A60CC169E55E}"/>
    <cellStyle name="통화 [0] 2 3 3 2 3" xfId="3162" xr:uid="{19978A32-5E5F-476F-9804-A60CC169E55E}"/>
    <cellStyle name="통화 [0] 2 3 3 3" xfId="3818" xr:uid="{19978A32-5E5F-476F-9804-A60CC169E55E}"/>
    <cellStyle name="통화 [0] 2 3 3 4" xfId="2105" xr:uid="{19978A32-5E5F-476F-9804-A60CC169E55E}"/>
    <cellStyle name="통화 [0] 2 3 4" xfId="1284" xr:uid="{19978A32-5E5F-476F-9804-A60CC169E55E}"/>
    <cellStyle name="통화 [0] 2 3 4 2" xfId="4711" xr:uid="{19978A32-5E5F-476F-9804-A60CC169E55E}"/>
    <cellStyle name="통화 [0] 2 3 4 3" xfId="2998" xr:uid="{19978A32-5E5F-476F-9804-A60CC169E55E}"/>
    <cellStyle name="통화 [0] 2 3 5" xfId="799" xr:uid="{19978A32-5E5F-476F-9804-A60CC169E55E}"/>
    <cellStyle name="통화 [0] 2 3 5 2" xfId="4227" xr:uid="{19978A32-5E5F-476F-9804-A60CC169E55E}"/>
    <cellStyle name="통화 [0] 2 3 5 3" xfId="2514" xr:uid="{19978A32-5E5F-476F-9804-A60CC169E55E}"/>
    <cellStyle name="통화 [0] 2 3 6" xfId="3654" xr:uid="{19978A32-5E5F-476F-9804-A60CC169E55E}"/>
    <cellStyle name="통화 [0] 2 3 7" xfId="1941" xr:uid="{19978A32-5E5F-476F-9804-A60CC169E55E}"/>
    <cellStyle name="통화 [0] 2 4" xfId="140" xr:uid="{19978A32-5E5F-476F-9804-A60CC169E55E}"/>
    <cellStyle name="통화 [0] 2 4 2" xfId="551" xr:uid="{19978A32-5E5F-476F-9804-A60CC169E55E}"/>
    <cellStyle name="통화 [0] 2 4 2 2" xfId="1611" xr:uid="{19978A32-5E5F-476F-9804-A60CC169E55E}"/>
    <cellStyle name="통화 [0] 2 4 2 2 2" xfId="5037" xr:uid="{19978A32-5E5F-476F-9804-A60CC169E55E}"/>
    <cellStyle name="통화 [0] 2 4 2 2 3" xfId="3324" xr:uid="{19978A32-5E5F-476F-9804-A60CC169E55E}"/>
    <cellStyle name="통화 [0] 2 4 2 3" xfId="3980" xr:uid="{19978A32-5E5F-476F-9804-A60CC169E55E}"/>
    <cellStyle name="통화 [0] 2 4 2 4" xfId="2267" xr:uid="{19978A32-5E5F-476F-9804-A60CC169E55E}"/>
    <cellStyle name="통화 [0] 2 4 3" xfId="1203" xr:uid="{19978A32-5E5F-476F-9804-A60CC169E55E}"/>
    <cellStyle name="통화 [0] 2 4 3 2" xfId="4630" xr:uid="{19978A32-5E5F-476F-9804-A60CC169E55E}"/>
    <cellStyle name="통화 [0] 2 4 3 3" xfId="2917" xr:uid="{19978A32-5E5F-476F-9804-A60CC169E55E}"/>
    <cellStyle name="통화 [0] 2 4 4" xfId="961" xr:uid="{19978A32-5E5F-476F-9804-A60CC169E55E}"/>
    <cellStyle name="통화 [0] 2 4 4 2" xfId="4389" xr:uid="{19978A32-5E5F-476F-9804-A60CC169E55E}"/>
    <cellStyle name="통화 [0] 2 4 4 3" xfId="2676" xr:uid="{19978A32-5E5F-476F-9804-A60CC169E55E}"/>
    <cellStyle name="통화 [0] 2 4 5" xfId="3572" xr:uid="{19978A32-5E5F-476F-9804-A60CC169E55E}"/>
    <cellStyle name="통화 [0] 2 4 6" xfId="1859" xr:uid="{19978A32-5E5F-476F-9804-A60CC169E55E}"/>
    <cellStyle name="통화 [0] 2 5" xfId="469" xr:uid="{19978A32-5E5F-476F-9804-A60CC169E55E}"/>
    <cellStyle name="통화 [0] 2 5 2" xfId="1529" xr:uid="{19978A32-5E5F-476F-9804-A60CC169E55E}"/>
    <cellStyle name="통화 [0] 2 5 2 2" xfId="4955" xr:uid="{19978A32-5E5F-476F-9804-A60CC169E55E}"/>
    <cellStyle name="통화 [0] 2 5 2 3" xfId="3242" xr:uid="{19978A32-5E5F-476F-9804-A60CC169E55E}"/>
    <cellStyle name="통화 [0] 2 5 3" xfId="879" xr:uid="{19978A32-5E5F-476F-9804-A60CC169E55E}"/>
    <cellStyle name="통화 [0] 2 5 3 2" xfId="4307" xr:uid="{19978A32-5E5F-476F-9804-A60CC169E55E}"/>
    <cellStyle name="통화 [0] 2 5 3 3" xfId="2594" xr:uid="{19978A32-5E5F-476F-9804-A60CC169E55E}"/>
    <cellStyle name="통화 [0] 2 5 4" xfId="3898" xr:uid="{19978A32-5E5F-476F-9804-A60CC169E55E}"/>
    <cellStyle name="통화 [0] 2 5 5" xfId="2185" xr:uid="{19978A32-5E5F-476F-9804-A60CC169E55E}"/>
    <cellStyle name="통화 [0] 2 6" xfId="306" xr:uid="{19978A32-5E5F-476F-9804-A60CC169E55E}"/>
    <cellStyle name="통화 [0] 2 6 2" xfId="1366" xr:uid="{19978A32-5E5F-476F-9804-A60CC169E55E}"/>
    <cellStyle name="통화 [0] 2 6 2 2" xfId="4793" xr:uid="{19978A32-5E5F-476F-9804-A60CC169E55E}"/>
    <cellStyle name="통화 [0] 2 6 2 3" xfId="3080" xr:uid="{19978A32-5E5F-476F-9804-A60CC169E55E}"/>
    <cellStyle name="통화 [0] 2 6 3" xfId="3736" xr:uid="{19978A32-5E5F-476F-9804-A60CC169E55E}"/>
    <cellStyle name="통화 [0] 2 6 4" xfId="2023" xr:uid="{19978A32-5E5F-476F-9804-A60CC169E55E}"/>
    <cellStyle name="통화 [0] 2 7" xfId="1124" xr:uid="{19978A32-5E5F-476F-9804-A60CC169E55E}"/>
    <cellStyle name="통화 [0] 2 7 2" xfId="4551" xr:uid="{19978A32-5E5F-476F-9804-A60CC169E55E}"/>
    <cellStyle name="통화 [0] 2 7 3" xfId="2838" xr:uid="{19978A32-5E5F-476F-9804-A60CC169E55E}"/>
    <cellStyle name="통화 [0] 2 8" xfId="717" xr:uid="{19978A32-5E5F-476F-9804-A60CC169E55E}"/>
    <cellStyle name="통화 [0] 2 8 2" xfId="4145" xr:uid="{19978A32-5E5F-476F-9804-A60CC169E55E}"/>
    <cellStyle name="통화 [0] 2 8 3" xfId="2432" xr:uid="{19978A32-5E5F-476F-9804-A60CC169E55E}"/>
    <cellStyle name="통화 [0] 2 9" xfId="3490" xr:uid="{19978A32-5E5F-476F-9804-A60CC169E55E}"/>
    <cellStyle name="표준" xfId="0" builtinId="0"/>
    <cellStyle name="표준 10" xfId="27" xr:uid="{116F06EE-31AB-410C-A976-3979020B8265}"/>
    <cellStyle name="표준 10 2" xfId="5193" xr:uid="{CF6C47E6-96C8-4ACD-BA4D-B2572B6882E5}"/>
    <cellStyle name="표준 10 3" xfId="64" xr:uid="{5EBDCAC8-9479-4A22-A8D7-7480AE38A42C}"/>
    <cellStyle name="표준 11" xfId="60" xr:uid="{DAFB6673-F573-49EE-8786-3F66009AF1A7}"/>
    <cellStyle name="표준 12" xfId="26" xr:uid="{316AE38A-C61A-436B-8616-BA8C67E32D9F}"/>
    <cellStyle name="표준 13" xfId="65" xr:uid="{047F6A43-D011-4273-8A1F-544EF6B61FCB}"/>
    <cellStyle name="표준 14" xfId="67" xr:uid="{B7AF8806-F2A7-4AD7-98ED-01BD2B2F972F}"/>
    <cellStyle name="표준 14 2" xfId="79" xr:uid="{10096D1D-5860-4180-A220-C8D54D6755DC}"/>
    <cellStyle name="표준 15" xfId="69" xr:uid="{117EACFB-15A7-40D5-9780-780D91D01C98}"/>
    <cellStyle name="표준 16" xfId="72" xr:uid="{A3E28B09-7E03-4D8A-8E15-123FC3466F1E}"/>
    <cellStyle name="표준 16 2" xfId="80" xr:uid="{6FC055B3-CA3A-48B3-8994-7498C66D7132}"/>
    <cellStyle name="표준 17" xfId="40" xr:uid="{F85B1B70-EBFE-456D-93BA-7B77AA6541D6}"/>
    <cellStyle name="표준 18" xfId="82" xr:uid="{2FADB5CA-D7ED-4ADB-95B6-200B34E3F63C}"/>
    <cellStyle name="표준 19" xfId="37" xr:uid="{CF10AF41-63AE-45FB-884A-EC5AD2ED0AFF}"/>
    <cellStyle name="표준 2" xfId="3" xr:uid="{00000000-0005-0000-0000-000031000000}"/>
    <cellStyle name="표준 2 2" xfId="10" xr:uid="{00000000-0005-0000-0000-00002F000000}"/>
    <cellStyle name="표준 2 3" xfId="124" xr:uid="{00000000-0005-0000-0000-000031000000}"/>
    <cellStyle name="표준 2 4" xfId="6" xr:uid="{00000000-0005-0000-0000-000030000000}"/>
    <cellStyle name="표준 20" xfId="19" xr:uid="{00000000-0005-0000-0000-000057000000}"/>
    <cellStyle name="표준 20 2" xfId="134" xr:uid="{00000000-0005-0000-0000-000057000000}"/>
    <cellStyle name="표준 20 2 2" xfId="545" xr:uid="{00000000-0005-0000-0000-000057000000}"/>
    <cellStyle name="표준 20 2 2 2" xfId="1605" xr:uid="{00000000-0005-0000-0000-000057000000}"/>
    <cellStyle name="표준 20 2 2 2 2" xfId="5031" xr:uid="{00000000-0005-0000-0000-000057000000}"/>
    <cellStyle name="표준 20 2 2 2 3" xfId="3318" xr:uid="{00000000-0005-0000-0000-000057000000}"/>
    <cellStyle name="표준 20 2 2 3" xfId="3974" xr:uid="{00000000-0005-0000-0000-000057000000}"/>
    <cellStyle name="표준 20 2 2 4" xfId="2261" xr:uid="{00000000-0005-0000-0000-000057000000}"/>
    <cellStyle name="표준 20 2 3" xfId="955" xr:uid="{00000000-0005-0000-0000-000057000000}"/>
    <cellStyle name="표준 20 2 3 2" xfId="4383" xr:uid="{00000000-0005-0000-0000-000057000000}"/>
    <cellStyle name="표준 20 2 3 3" xfId="2670" xr:uid="{00000000-0005-0000-0000-000057000000}"/>
    <cellStyle name="표준 20 2 4" xfId="3566" xr:uid="{00000000-0005-0000-0000-000057000000}"/>
    <cellStyle name="표준 20 2 5" xfId="1853" xr:uid="{00000000-0005-0000-0000-000057000000}"/>
    <cellStyle name="표준 20 3" xfId="300" xr:uid="{00000000-0005-0000-0000-000057000000}"/>
    <cellStyle name="표준 20 3 2" xfId="1360" xr:uid="{00000000-0005-0000-0000-000057000000}"/>
    <cellStyle name="표준 20 3 2 2" xfId="4787" xr:uid="{00000000-0005-0000-0000-000057000000}"/>
    <cellStyle name="표준 20 3 2 3" xfId="3074" xr:uid="{00000000-0005-0000-0000-000057000000}"/>
    <cellStyle name="표준 20 3 3" xfId="3730" xr:uid="{00000000-0005-0000-0000-000057000000}"/>
    <cellStyle name="표준 20 3 4" xfId="2017" xr:uid="{00000000-0005-0000-0000-000057000000}"/>
    <cellStyle name="표준 20 4" xfId="711" xr:uid="{00000000-0005-0000-0000-000057000000}"/>
    <cellStyle name="표준 20 4 2" xfId="4139" xr:uid="{00000000-0005-0000-0000-000057000000}"/>
    <cellStyle name="표준 20 4 3" xfId="2426" xr:uid="{00000000-0005-0000-0000-000057000000}"/>
    <cellStyle name="표준 20 5" xfId="3484" xr:uid="{00000000-0005-0000-0000-000057000000}"/>
    <cellStyle name="표준 20 6" xfId="1771" xr:uid="{00000000-0005-0000-0000-000057000000}"/>
    <cellStyle name="표준 21" xfId="120" xr:uid="{00000000-0005-0000-0000-0000A2000000}"/>
    <cellStyle name="표준 21 2" xfId="287" xr:uid="{00000000-0005-0000-0000-0000A2000000}"/>
    <cellStyle name="표준 22" xfId="122" xr:uid="{00000000-0005-0000-0000-0000A4000000}"/>
    <cellStyle name="표준 22 2" xfId="289" xr:uid="{00000000-0005-0000-0000-0000A4000000}"/>
    <cellStyle name="표준 23" xfId="36" xr:uid="{BD7C1930-171A-470F-9816-B486375E8D34}"/>
    <cellStyle name="표준 24" xfId="5" xr:uid="{00000000-0005-0000-0000-000084000000}"/>
    <cellStyle name="표준 24 2" xfId="209" xr:uid="{00000000-0005-0000-0000-000084000000}"/>
    <cellStyle name="표준 24 2 2" xfId="620" xr:uid="{00000000-0005-0000-0000-000084000000}"/>
    <cellStyle name="표준 24 2 2 2" xfId="1680" xr:uid="{00000000-0005-0000-0000-000084000000}"/>
    <cellStyle name="표준 24 2 2 2 2" xfId="5106" xr:uid="{00000000-0005-0000-0000-000084000000}"/>
    <cellStyle name="표준 24 2 2 2 3" xfId="3393" xr:uid="{00000000-0005-0000-0000-000084000000}"/>
    <cellStyle name="표준 24 2 2 3" xfId="4049" xr:uid="{00000000-0005-0000-0000-000084000000}"/>
    <cellStyle name="표준 24 2 2 4" xfId="2336" xr:uid="{00000000-0005-0000-0000-000084000000}"/>
    <cellStyle name="표준 24 2 3" xfId="1030" xr:uid="{00000000-0005-0000-0000-000084000000}"/>
    <cellStyle name="표준 24 2 3 2" xfId="4458" xr:uid="{00000000-0005-0000-0000-000084000000}"/>
    <cellStyle name="표준 24 2 3 3" xfId="2745" xr:uid="{00000000-0005-0000-0000-000084000000}"/>
    <cellStyle name="표준 24 2 4" xfId="3641" xr:uid="{00000000-0005-0000-0000-000084000000}"/>
    <cellStyle name="표준 24 2 5" xfId="1928" xr:uid="{00000000-0005-0000-0000-000084000000}"/>
    <cellStyle name="표준 24 3" xfId="375" xr:uid="{00000000-0005-0000-0000-000084000000}"/>
    <cellStyle name="표준 24 3 2" xfId="1435" xr:uid="{00000000-0005-0000-0000-000084000000}"/>
    <cellStyle name="표준 24 3 2 2" xfId="4862" xr:uid="{00000000-0005-0000-0000-000084000000}"/>
    <cellStyle name="표준 24 3 2 3" xfId="3149" xr:uid="{00000000-0005-0000-0000-000084000000}"/>
    <cellStyle name="표준 24 3 3" xfId="3805" xr:uid="{00000000-0005-0000-0000-000084000000}"/>
    <cellStyle name="표준 24 3 4" xfId="2092" xr:uid="{00000000-0005-0000-0000-000084000000}"/>
    <cellStyle name="표준 24 4" xfId="786" xr:uid="{00000000-0005-0000-0000-000084000000}"/>
    <cellStyle name="표준 24 4 2" xfId="4214" xr:uid="{00000000-0005-0000-0000-000084000000}"/>
    <cellStyle name="표준 24 4 3" xfId="2501" xr:uid="{00000000-0005-0000-0000-000084000000}"/>
    <cellStyle name="표준 24 5" xfId="3475" xr:uid="{00000000-0005-0000-0000-000084000000}"/>
    <cellStyle name="표준 24 6" xfId="1762" xr:uid="{00000000-0005-0000-0000-000084000000}"/>
    <cellStyle name="표준 25" xfId="125" xr:uid="{00000000-0005-0000-0000-00004B010000}"/>
    <cellStyle name="표준 25 2" xfId="536" xr:uid="{00000000-0005-0000-0000-00004B010000}"/>
    <cellStyle name="표준 25 2 2" xfId="1596" xr:uid="{00000000-0005-0000-0000-00004B010000}"/>
    <cellStyle name="표준 25 2 2 2" xfId="5022" xr:uid="{00000000-0005-0000-0000-00004B010000}"/>
    <cellStyle name="표준 25 2 2 3" xfId="3309" xr:uid="{00000000-0005-0000-0000-00004B010000}"/>
    <cellStyle name="표준 25 2 3" xfId="3965" xr:uid="{00000000-0005-0000-0000-00004B010000}"/>
    <cellStyle name="표준 25 2 4" xfId="2252" xr:uid="{00000000-0005-0000-0000-00004B010000}"/>
    <cellStyle name="표준 25 3" xfId="946" xr:uid="{00000000-0005-0000-0000-00004B010000}"/>
    <cellStyle name="표준 25 3 2" xfId="4374" xr:uid="{00000000-0005-0000-0000-00004B010000}"/>
    <cellStyle name="표준 25 3 3" xfId="2661" xr:uid="{00000000-0005-0000-0000-00004B010000}"/>
    <cellStyle name="표준 25 4" xfId="3557" xr:uid="{00000000-0005-0000-0000-00004B010000}"/>
    <cellStyle name="표준 25 5" xfId="1844" xr:uid="{00000000-0005-0000-0000-00004B010000}"/>
    <cellStyle name="표준 26" xfId="455" xr:uid="{00000000-0005-0000-0000-0000EB010000}"/>
    <cellStyle name="표준 26 2" xfId="1515" xr:uid="{00000000-0005-0000-0000-0000EB010000}"/>
    <cellStyle name="표준 27" xfId="291" xr:uid="{00000000-0005-0000-0000-0000E1020000}"/>
    <cellStyle name="표준 27 2" xfId="1351" xr:uid="{00000000-0005-0000-0000-0000E1020000}"/>
    <cellStyle name="표준 27 2 2" xfId="4778" xr:uid="{00000000-0005-0000-0000-0000E1020000}"/>
    <cellStyle name="표준 27 2 3" xfId="3065" xr:uid="{00000000-0005-0000-0000-0000E1020000}"/>
    <cellStyle name="표준 27 3" xfId="3721" xr:uid="{00000000-0005-0000-0000-0000E1020000}"/>
    <cellStyle name="표준 27 4" xfId="5201" xr:uid="{7AD4D58A-C653-4B0F-80A5-000A804F620A}"/>
    <cellStyle name="표준 27 5" xfId="2008" xr:uid="{00000000-0005-0000-0000-0000E1020000}"/>
    <cellStyle name="표준 28" xfId="700" xr:uid="{00000000-0005-0000-0000-0000B1020000}"/>
    <cellStyle name="표준 29" xfId="1110" xr:uid="{00000000-0005-0000-0000-000071040000}"/>
    <cellStyle name="표준 3" xfId="4" xr:uid="{00000000-0005-0000-0000-000030000000}"/>
    <cellStyle name="표준 3 2" xfId="11" xr:uid="{38563080-FB28-4F16-9A88-14E75A519A69}"/>
    <cellStyle name="표준 3 2 2" xfId="38" xr:uid="{D4830DFF-F33F-4BDC-A9AD-B1F962850C36}"/>
    <cellStyle name="표준 3 2 3" xfId="127" xr:uid="{38563080-FB28-4F16-9A88-14E75A519A69}"/>
    <cellStyle name="표준 3 2 3 2" xfId="538" xr:uid="{38563080-FB28-4F16-9A88-14E75A519A69}"/>
    <cellStyle name="표준 3 2 3 2 2" xfId="1598" xr:uid="{38563080-FB28-4F16-9A88-14E75A519A69}"/>
    <cellStyle name="표준 3 2 3 2 2 2" xfId="5024" xr:uid="{38563080-FB28-4F16-9A88-14E75A519A69}"/>
    <cellStyle name="표준 3 2 3 2 2 3" xfId="3311" xr:uid="{38563080-FB28-4F16-9A88-14E75A519A69}"/>
    <cellStyle name="표준 3 2 3 2 3" xfId="3967" xr:uid="{38563080-FB28-4F16-9A88-14E75A519A69}"/>
    <cellStyle name="표준 3 2 3 2 4" xfId="2254" xr:uid="{38563080-FB28-4F16-9A88-14E75A519A69}"/>
    <cellStyle name="표준 3 2 3 3" xfId="948" xr:uid="{38563080-FB28-4F16-9A88-14E75A519A69}"/>
    <cellStyle name="표준 3 2 3 3 2" xfId="4376" xr:uid="{38563080-FB28-4F16-9A88-14E75A519A69}"/>
    <cellStyle name="표준 3 2 3 3 3" xfId="2663" xr:uid="{38563080-FB28-4F16-9A88-14E75A519A69}"/>
    <cellStyle name="표준 3 2 3 4" xfId="3559" xr:uid="{38563080-FB28-4F16-9A88-14E75A519A69}"/>
    <cellStyle name="표준 3 2 3 5" xfId="1846" xr:uid="{38563080-FB28-4F16-9A88-14E75A519A69}"/>
    <cellStyle name="표준 3 2 4" xfId="293" xr:uid="{38563080-FB28-4F16-9A88-14E75A519A69}"/>
    <cellStyle name="표준 3 2 4 2" xfId="1353" xr:uid="{38563080-FB28-4F16-9A88-14E75A519A69}"/>
    <cellStyle name="표준 3 2 4 2 2" xfId="4780" xr:uid="{38563080-FB28-4F16-9A88-14E75A519A69}"/>
    <cellStyle name="표준 3 2 4 2 3" xfId="3067" xr:uid="{38563080-FB28-4F16-9A88-14E75A519A69}"/>
    <cellStyle name="표준 3 2 4 3" xfId="3723" xr:uid="{38563080-FB28-4F16-9A88-14E75A519A69}"/>
    <cellStyle name="표준 3 2 4 4" xfId="2010" xr:uid="{38563080-FB28-4F16-9A88-14E75A519A69}"/>
    <cellStyle name="표준 3 2 5" xfId="704" xr:uid="{38563080-FB28-4F16-9A88-14E75A519A69}"/>
    <cellStyle name="표준 3 2 5 2" xfId="4132" xr:uid="{38563080-FB28-4F16-9A88-14E75A519A69}"/>
    <cellStyle name="표준 3 2 5 3" xfId="2419" xr:uid="{38563080-FB28-4F16-9A88-14E75A519A69}"/>
    <cellStyle name="표준 3 2 6" xfId="3477" xr:uid="{38563080-FB28-4F16-9A88-14E75A519A69}"/>
    <cellStyle name="표준 3 2 7" xfId="1764" xr:uid="{38563080-FB28-4F16-9A88-14E75A519A69}"/>
    <cellStyle name="표준 3 3" xfId="23" xr:uid="{9E2E81F9-3D39-4A81-955D-F0B9ECBFF396}"/>
    <cellStyle name="표준 3 4" xfId="21" xr:uid="{00000000-0005-0000-0000-000031000000}"/>
    <cellStyle name="표준 3 5" xfId="8" xr:uid="{00000000-0005-0000-0000-000032000000}"/>
    <cellStyle name="표준 30" xfId="702" xr:uid="{00000000-0005-0000-0000-0000FD060000}"/>
    <cellStyle name="표준 30 2" xfId="4130" xr:uid="{00000000-0005-0000-0000-0000FD060000}"/>
    <cellStyle name="표준 30 3" xfId="2417" xr:uid="{00000000-0005-0000-0000-0000FD060000}"/>
    <cellStyle name="표준 31" xfId="5187" xr:uid="{FA6663B2-59BB-4887-8A00-1BAE1B78CCD8}"/>
    <cellStyle name="표준 32" xfId="5191" xr:uid="{00000000-0005-0000-0000-0000C70D0000}"/>
    <cellStyle name="표준 33" xfId="5199" xr:uid="{344814E9-7C18-4260-A195-2CFCC16013D9}"/>
    <cellStyle name="표준 34" xfId="1" xr:uid="{03BD311A-30EE-4CB3-8D92-C31DCB0AFDDE}"/>
    <cellStyle name="표준 4" xfId="17" xr:uid="{00000000-0005-0000-0000-000035000000}"/>
    <cellStyle name="표준 4 2" xfId="43" xr:uid="{A11CD1B5-9E78-4261-A47D-99E566B82A76}"/>
    <cellStyle name="표준 4 3" xfId="24" xr:uid="{29EF9AB3-3091-4F84-B591-A5C1F285C784}"/>
    <cellStyle name="표준 4 4" xfId="5197" xr:uid="{A0ED4907-017E-4C09-9026-4560E65D07C7}"/>
    <cellStyle name="표준 41" xfId="39" xr:uid="{0FB2AFCF-831E-4631-8C85-BA0BCE940A82}"/>
    <cellStyle name="표준 5" xfId="25" xr:uid="{B1B523A0-472B-4B31-B3EE-7D4463B484AE}"/>
    <cellStyle name="표준 5 2" xfId="50" xr:uid="{7A3E5429-CFFE-45CE-97BB-633C2C850D68}"/>
    <cellStyle name="표준 50" xfId="59" xr:uid="{1D16EAEA-95EE-4A1E-8BCA-B81EF9C8E482}"/>
    <cellStyle name="표준 6" xfId="28" xr:uid="{99E9C8CD-D3B9-4D6C-8E8F-994577C44EA5}"/>
    <cellStyle name="표준 6 2" xfId="51" xr:uid="{48897260-F5C4-42D0-93B3-5DF5ABBC4F07}"/>
    <cellStyle name="표준 7" xfId="33" xr:uid="{83AB8A2E-1919-42BC-BC3C-7655685FABEF}"/>
    <cellStyle name="표준 7 2" xfId="52" xr:uid="{C44868CC-77AD-44F4-A257-BBAE7730C993}"/>
    <cellStyle name="표준 8" xfId="55" xr:uid="{5DCD0F8B-64CD-4AAB-AA6A-FA208DEBB37A}"/>
    <cellStyle name="표준 9" xfId="57" xr:uid="{8B3FB7AF-D351-4407-9801-BC6D15CE4270}"/>
  </cellStyles>
  <dxfs count="4"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/>
        <right/>
        <top style="thin">
          <color theme="6"/>
        </top>
        <bottom style="thin">
          <color theme="6"/>
        </bottom>
        <vertical style="hair">
          <color theme="6" tint="0.79998168889431442"/>
        </vertical>
        <horizontal style="hair">
          <color theme="6" tint="0.79998168889431442"/>
        </horizontal>
      </border>
    </dxf>
  </dxfs>
  <tableStyles count="2" defaultTableStyle="TableStyleMedium9" defaultPivotStyle="PivotStyleLight16">
    <tableStyle name="표 스타일 1" pivot="0" count="1" xr9:uid="{A9912557-9EDD-4B83-A037-62FE9C2A4211}">
      <tableStyleElement type="wholeTable" dxfId="3"/>
    </tableStyle>
    <tableStyle name="원료 현황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426"/>
  <sheetViews>
    <sheetView tabSelected="1" topLeftCell="A4315" workbookViewId="0">
      <selection activeCell="E4608" sqref="E1:G1048576"/>
    </sheetView>
  </sheetViews>
  <sheetFormatPr defaultRowHeight="16.5"/>
  <cols>
    <col min="3" max="3" width="27.25" bestFit="1" customWidth="1"/>
    <col min="4" max="4" width="11.75" bestFit="1" customWidth="1"/>
    <col min="9" max="9" width="9.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6" t="s">
        <v>396</v>
      </c>
      <c r="B2" s="2">
        <v>1010101</v>
      </c>
      <c r="C2" s="2" t="s">
        <v>5</v>
      </c>
      <c r="D2" s="3">
        <f>VLOOKUP(B2,Sheet2!$A:$O,3,0)</f>
        <v>699</v>
      </c>
    </row>
    <row r="3" spans="1:4">
      <c r="A3" s="7" t="s">
        <v>395</v>
      </c>
      <c r="B3" s="2">
        <v>1010111</v>
      </c>
      <c r="C3" s="2" t="s">
        <v>9</v>
      </c>
      <c r="D3" s="3">
        <f>VLOOKUP(B3,Sheet2!$A:$O,3,0)</f>
        <v>18300</v>
      </c>
    </row>
    <row r="4" spans="1:4">
      <c r="A4" s="7" t="s">
        <v>395</v>
      </c>
      <c r="B4" s="2">
        <v>1010201</v>
      </c>
      <c r="C4" s="2" t="s">
        <v>11</v>
      </c>
      <c r="D4" s="3">
        <f>VLOOKUP(B4,Sheet2!$A:$O,3,0)</f>
        <v>686</v>
      </c>
    </row>
    <row r="5" spans="1:4">
      <c r="A5" s="7" t="s">
        <v>395</v>
      </c>
      <c r="B5" s="2">
        <v>1010300</v>
      </c>
      <c r="C5" s="2" t="s">
        <v>213</v>
      </c>
      <c r="D5" s="3">
        <f>VLOOKUP(B5,Sheet2!$A:$O,3,0)</f>
        <v>5392</v>
      </c>
    </row>
    <row r="6" spans="1:4">
      <c r="A6" s="7" t="s">
        <v>395</v>
      </c>
      <c r="B6" s="2">
        <v>1010301</v>
      </c>
      <c r="C6" s="2" t="s">
        <v>214</v>
      </c>
      <c r="D6" s="3">
        <f>VLOOKUP(B6,Sheet2!$A:$O,3,0)</f>
        <v>5882</v>
      </c>
    </row>
    <row r="7" spans="1:4">
      <c r="A7" s="7" t="s">
        <v>395</v>
      </c>
      <c r="B7" s="2">
        <v>1010302</v>
      </c>
      <c r="C7" s="2" t="s">
        <v>16</v>
      </c>
      <c r="D7" s="3">
        <f>VLOOKUP(B7,Sheet2!$A:$O,3,0)</f>
        <v>4216</v>
      </c>
    </row>
    <row r="8" spans="1:4">
      <c r="A8" s="7" t="s">
        <v>395</v>
      </c>
      <c r="B8" s="2">
        <v>1010303</v>
      </c>
      <c r="C8" s="2" t="s">
        <v>18</v>
      </c>
      <c r="D8" s="3">
        <f>VLOOKUP(B8,Sheet2!$A:$O,3,0)</f>
        <v>882</v>
      </c>
    </row>
    <row r="9" spans="1:4">
      <c r="A9" s="7" t="s">
        <v>395</v>
      </c>
      <c r="B9" s="2">
        <v>1010304</v>
      </c>
      <c r="C9" s="2" t="s">
        <v>215</v>
      </c>
      <c r="D9" s="3">
        <f>VLOOKUP(B9,Sheet2!$A:$O,3,0)</f>
        <v>1193</v>
      </c>
    </row>
    <row r="10" spans="1:4">
      <c r="A10" s="7" t="s">
        <v>395</v>
      </c>
      <c r="B10" s="2">
        <v>1010401</v>
      </c>
      <c r="C10" s="2" t="s">
        <v>20</v>
      </c>
      <c r="D10" s="3">
        <f>VLOOKUP(B10,Sheet2!$A:$O,3,0)</f>
        <v>3627</v>
      </c>
    </row>
    <row r="11" spans="1:4">
      <c r="A11" s="7" t="s">
        <v>395</v>
      </c>
      <c r="B11" s="2">
        <v>1010405</v>
      </c>
      <c r="C11" s="2" t="s">
        <v>22</v>
      </c>
      <c r="D11" s="3">
        <f>VLOOKUP(B11,Sheet2!$A:$O,3,0)</f>
        <v>9975</v>
      </c>
    </row>
    <row r="12" spans="1:4">
      <c r="A12" s="7" t="s">
        <v>395</v>
      </c>
      <c r="B12" s="2">
        <v>1010501</v>
      </c>
      <c r="C12" s="2" t="s">
        <v>24</v>
      </c>
      <c r="D12" s="3">
        <f>VLOOKUP(B12,Sheet2!$A:$O,3,0)</f>
        <v>980</v>
      </c>
    </row>
    <row r="13" spans="1:4">
      <c r="A13" s="7" t="s">
        <v>395</v>
      </c>
      <c r="B13" s="2">
        <v>1010502</v>
      </c>
      <c r="C13" s="2" t="s">
        <v>216</v>
      </c>
      <c r="D13" s="3">
        <f>VLOOKUP(B13,Sheet2!$A:$O,3,0)</f>
        <v>0</v>
      </c>
    </row>
    <row r="14" spans="1:4">
      <c r="A14" s="7" t="s">
        <v>395</v>
      </c>
      <c r="B14" s="2">
        <v>1010601</v>
      </c>
      <c r="C14" s="2" t="s">
        <v>26</v>
      </c>
      <c r="D14" s="3">
        <f>VLOOKUP(B14,Sheet2!$A:$O,3,0)</f>
        <v>0</v>
      </c>
    </row>
    <row r="15" spans="1:4">
      <c r="A15" s="7" t="s">
        <v>395</v>
      </c>
      <c r="B15" s="2">
        <v>1010701</v>
      </c>
      <c r="C15" s="2" t="s">
        <v>28</v>
      </c>
      <c r="D15" s="3">
        <f>VLOOKUP(B15,Sheet2!$A:$O,3,0)</f>
        <v>686</v>
      </c>
    </row>
    <row r="16" spans="1:4">
      <c r="A16" s="7" t="s">
        <v>395</v>
      </c>
      <c r="B16" s="2">
        <v>1010801</v>
      </c>
      <c r="C16" s="2" t="s">
        <v>30</v>
      </c>
      <c r="D16" s="3">
        <f>VLOOKUP(B16,Sheet2!$A:$O,3,0)</f>
        <v>7157</v>
      </c>
    </row>
    <row r="17" spans="1:4">
      <c r="A17" s="7" t="s">
        <v>395</v>
      </c>
      <c r="B17" s="2">
        <v>1010901</v>
      </c>
      <c r="C17" s="2" t="s">
        <v>32</v>
      </c>
      <c r="D17" s="3">
        <f>VLOOKUP(B17,Sheet2!$A:$O,3,0)</f>
        <v>4804</v>
      </c>
    </row>
    <row r="18" spans="1:4">
      <c r="A18" s="7" t="s">
        <v>395</v>
      </c>
      <c r="B18" s="2">
        <v>1020101</v>
      </c>
      <c r="C18" s="2" t="s">
        <v>34</v>
      </c>
      <c r="D18" s="3">
        <f>VLOOKUP(B18,Sheet2!$A:$O,3,0)</f>
        <v>15196</v>
      </c>
    </row>
    <row r="19" spans="1:4">
      <c r="A19" s="7" t="s">
        <v>395</v>
      </c>
      <c r="B19" s="2">
        <v>1020201</v>
      </c>
      <c r="C19" s="2" t="s">
        <v>217</v>
      </c>
      <c r="D19" s="3">
        <f>VLOOKUP(B19,Sheet2!$A:$O,3,0)</f>
        <v>5600</v>
      </c>
    </row>
    <row r="20" spans="1:4">
      <c r="A20" s="7" t="s">
        <v>395</v>
      </c>
      <c r="B20" s="2">
        <v>1020301</v>
      </c>
      <c r="C20" s="2" t="s">
        <v>38</v>
      </c>
      <c r="D20" s="3">
        <f>VLOOKUP(B20,Sheet2!$A:$O,3,0)</f>
        <v>2050</v>
      </c>
    </row>
    <row r="21" spans="1:4">
      <c r="A21" s="7" t="s">
        <v>395</v>
      </c>
      <c r="B21" s="2">
        <v>1020401</v>
      </c>
      <c r="C21" s="2" t="s">
        <v>40</v>
      </c>
      <c r="D21" s="3">
        <f>VLOOKUP(B21,Sheet2!$A:$O,3,0)</f>
        <v>3500</v>
      </c>
    </row>
    <row r="22" spans="1:4">
      <c r="A22" s="7" t="s">
        <v>395</v>
      </c>
      <c r="B22" s="2">
        <v>1030102</v>
      </c>
      <c r="C22" s="2" t="s">
        <v>218</v>
      </c>
      <c r="D22" s="3">
        <f>VLOOKUP(B22,Sheet2!$A:$O,3,0)</f>
        <v>0</v>
      </c>
    </row>
    <row r="23" spans="1:4">
      <c r="A23" s="7" t="s">
        <v>395</v>
      </c>
      <c r="B23" s="2">
        <v>1030201</v>
      </c>
      <c r="C23" s="2" t="s">
        <v>42</v>
      </c>
      <c r="D23" s="3">
        <f>VLOOKUP(B23,Sheet2!$A:$O,3,0)</f>
        <v>2255</v>
      </c>
    </row>
    <row r="24" spans="1:4">
      <c r="A24" s="7" t="s">
        <v>395</v>
      </c>
      <c r="B24" s="2">
        <v>1030203</v>
      </c>
      <c r="C24" s="2" t="s">
        <v>219</v>
      </c>
      <c r="D24" s="3">
        <f>VLOOKUP(B24,Sheet2!$A:$O,3,0)</f>
        <v>0</v>
      </c>
    </row>
    <row r="25" spans="1:4">
      <c r="A25" s="7" t="s">
        <v>395</v>
      </c>
      <c r="B25" s="2">
        <v>1030204</v>
      </c>
      <c r="C25" s="2" t="s">
        <v>220</v>
      </c>
      <c r="D25" s="3">
        <f>VLOOKUP(B25,Sheet2!$A:$O,3,0)</f>
        <v>0</v>
      </c>
    </row>
    <row r="26" spans="1:4">
      <c r="A26" s="7" t="s">
        <v>395</v>
      </c>
      <c r="B26" s="2">
        <v>1030205</v>
      </c>
      <c r="C26" s="2" t="s">
        <v>44</v>
      </c>
      <c r="D26" s="3">
        <f>VLOOKUP(B26,Sheet2!$A:$O,3,0)</f>
        <v>5000</v>
      </c>
    </row>
    <row r="27" spans="1:4">
      <c r="A27" s="7" t="s">
        <v>395</v>
      </c>
      <c r="B27" s="2">
        <v>1030206</v>
      </c>
      <c r="C27" s="2" t="s">
        <v>46</v>
      </c>
      <c r="D27" s="3">
        <f>VLOOKUP(B27,Sheet2!$A:$O,3,0)</f>
        <v>5400</v>
      </c>
    </row>
    <row r="28" spans="1:4">
      <c r="A28" s="7" t="s">
        <v>395</v>
      </c>
      <c r="B28" s="2">
        <v>1030207</v>
      </c>
      <c r="C28" s="2" t="s">
        <v>48</v>
      </c>
      <c r="D28" s="3">
        <f>VLOOKUP(B28,Sheet2!$A:$O,3,0)</f>
        <v>4400</v>
      </c>
    </row>
    <row r="29" spans="1:4">
      <c r="A29" s="7" t="s">
        <v>395</v>
      </c>
      <c r="B29" s="2">
        <v>1030501</v>
      </c>
      <c r="C29" s="2" t="s">
        <v>50</v>
      </c>
      <c r="D29" s="3">
        <f>VLOOKUP(B29,Sheet2!$A:$O,3,0)</f>
        <v>1078</v>
      </c>
    </row>
    <row r="30" spans="1:4">
      <c r="A30" s="7" t="s">
        <v>395</v>
      </c>
      <c r="B30" s="2">
        <v>1030601</v>
      </c>
      <c r="C30" s="2" t="s">
        <v>52</v>
      </c>
      <c r="D30" s="3">
        <f>VLOOKUP(B30,Sheet2!$A:$O,3,0)</f>
        <v>2900</v>
      </c>
    </row>
    <row r="31" spans="1:4">
      <c r="A31" s="7" t="s">
        <v>395</v>
      </c>
      <c r="B31" s="2">
        <v>1030701</v>
      </c>
      <c r="C31" s="2" t="s">
        <v>221</v>
      </c>
      <c r="D31" s="3">
        <f>VLOOKUP(B31,Sheet2!$A:$O,3,0)</f>
        <v>3000</v>
      </c>
    </row>
    <row r="32" spans="1:4">
      <c r="A32" s="7" t="s">
        <v>395</v>
      </c>
      <c r="B32" s="2">
        <v>1030705</v>
      </c>
      <c r="C32" s="2" t="s">
        <v>222</v>
      </c>
      <c r="D32" s="3">
        <f>VLOOKUP(B32,Sheet2!$A:$O,3,0)</f>
        <v>0</v>
      </c>
    </row>
    <row r="33" spans="1:4">
      <c r="A33" s="7" t="s">
        <v>395</v>
      </c>
      <c r="B33" s="2">
        <v>1030801</v>
      </c>
      <c r="C33" s="2" t="s">
        <v>54</v>
      </c>
      <c r="D33" s="3">
        <f>VLOOKUP(B33,Sheet2!$A:$O,3,0)</f>
        <v>1275</v>
      </c>
    </row>
    <row r="34" spans="1:4">
      <c r="A34" s="7" t="s">
        <v>395</v>
      </c>
      <c r="B34" s="2">
        <v>1030901</v>
      </c>
      <c r="C34" s="2" t="s">
        <v>223</v>
      </c>
      <c r="D34" s="3">
        <f>VLOOKUP(B34,Sheet2!$A:$O,3,0)</f>
        <v>0</v>
      </c>
    </row>
    <row r="35" spans="1:4">
      <c r="A35" s="7" t="s">
        <v>395</v>
      </c>
      <c r="B35" s="2">
        <v>1040201</v>
      </c>
      <c r="C35" s="2" t="s">
        <v>56</v>
      </c>
      <c r="D35" s="3">
        <f>VLOOKUP(B35,Sheet2!$A:$O,3,0)</f>
        <v>1470</v>
      </c>
    </row>
    <row r="36" spans="1:4">
      <c r="A36" s="7" t="s">
        <v>395</v>
      </c>
      <c r="B36" s="2">
        <v>1040202</v>
      </c>
      <c r="C36" s="2" t="s">
        <v>224</v>
      </c>
      <c r="D36" s="3">
        <f>VLOOKUP(B36,Sheet2!$A:$O,3,0)</f>
        <v>0</v>
      </c>
    </row>
    <row r="37" spans="1:4">
      <c r="A37" s="7" t="s">
        <v>395</v>
      </c>
      <c r="B37" s="2">
        <v>1040203</v>
      </c>
      <c r="C37" s="2" t="s">
        <v>225</v>
      </c>
      <c r="D37" s="3">
        <f>VLOOKUP(B37,Sheet2!$A:$O,3,0)</f>
        <v>0</v>
      </c>
    </row>
    <row r="38" spans="1:4">
      <c r="A38" s="7" t="s">
        <v>395</v>
      </c>
      <c r="B38" s="2">
        <v>1040204</v>
      </c>
      <c r="C38" s="2" t="s">
        <v>226</v>
      </c>
      <c r="D38" s="3">
        <f>VLOOKUP(B38,Sheet2!$A:$O,3,0)</f>
        <v>7917</v>
      </c>
    </row>
    <row r="39" spans="1:4">
      <c r="A39" s="7" t="s">
        <v>395</v>
      </c>
      <c r="B39" s="2">
        <v>1040301</v>
      </c>
      <c r="C39" s="2" t="s">
        <v>58</v>
      </c>
      <c r="D39" s="3">
        <f>VLOOKUP(B39,Sheet2!$A:$O,3,0)</f>
        <v>1771</v>
      </c>
    </row>
    <row r="40" spans="1:4">
      <c r="A40" s="7" t="s">
        <v>395</v>
      </c>
      <c r="B40" s="2">
        <v>1040401</v>
      </c>
      <c r="C40" s="2" t="s">
        <v>227</v>
      </c>
      <c r="D40" s="3">
        <f>VLOOKUP(B40,Sheet2!$A:$O,3,0)</f>
        <v>0</v>
      </c>
    </row>
    <row r="41" spans="1:4">
      <c r="A41" s="7" t="s">
        <v>395</v>
      </c>
      <c r="B41" s="2">
        <v>1050102</v>
      </c>
      <c r="C41" s="2" t="s">
        <v>60</v>
      </c>
      <c r="D41" s="3">
        <f>VLOOKUP(B41,Sheet2!$A:$O,3,0)</f>
        <v>29500</v>
      </c>
    </row>
    <row r="42" spans="1:4">
      <c r="A42" s="7" t="s">
        <v>395</v>
      </c>
      <c r="B42" s="2">
        <v>1050103</v>
      </c>
      <c r="C42" s="2" t="s">
        <v>228</v>
      </c>
      <c r="D42" s="3">
        <f>VLOOKUP(B42,Sheet2!$A:$O,3,0)</f>
        <v>11275</v>
      </c>
    </row>
    <row r="43" spans="1:4">
      <c r="A43" s="7" t="s">
        <v>395</v>
      </c>
      <c r="B43" s="2">
        <v>1050301</v>
      </c>
      <c r="C43" s="2" t="s">
        <v>62</v>
      </c>
      <c r="D43" s="3">
        <f>VLOOKUP(B43,Sheet2!$A:$O,3,0)</f>
        <v>9804</v>
      </c>
    </row>
    <row r="44" spans="1:4">
      <c r="A44" s="7" t="s">
        <v>395</v>
      </c>
      <c r="B44" s="2">
        <v>1050401</v>
      </c>
      <c r="C44" s="2" t="s">
        <v>64</v>
      </c>
      <c r="D44" s="3">
        <f>VLOOKUP(B44,Sheet2!$A:$O,3,0)</f>
        <v>8333</v>
      </c>
    </row>
    <row r="45" spans="1:4">
      <c r="A45" s="7" t="s">
        <v>395</v>
      </c>
      <c r="B45" s="2">
        <v>1050501</v>
      </c>
      <c r="C45" s="2" t="s">
        <v>66</v>
      </c>
      <c r="D45" s="3">
        <f>VLOOKUP(B45,Sheet2!$A:$O,3,0)</f>
        <v>8824</v>
      </c>
    </row>
    <row r="46" spans="1:4">
      <c r="A46" s="7" t="s">
        <v>395</v>
      </c>
      <c r="B46" s="2">
        <v>1050511</v>
      </c>
      <c r="C46" s="2" t="s">
        <v>68</v>
      </c>
      <c r="D46" s="3">
        <f>VLOOKUP(B46,Sheet2!$A:$O,3,0)</f>
        <v>18000</v>
      </c>
    </row>
    <row r="47" spans="1:4">
      <c r="A47" s="7" t="s">
        <v>395</v>
      </c>
      <c r="B47" s="2">
        <v>1050512</v>
      </c>
      <c r="C47" s="2" t="s">
        <v>229</v>
      </c>
      <c r="D47" s="3">
        <f>VLOOKUP(B47,Sheet2!$A:$O,3,0)</f>
        <v>0</v>
      </c>
    </row>
    <row r="48" spans="1:4">
      <c r="A48" s="7" t="s">
        <v>395</v>
      </c>
      <c r="B48" s="2">
        <v>1050521</v>
      </c>
      <c r="C48" s="2" t="s">
        <v>70</v>
      </c>
      <c r="D48" s="3">
        <f>VLOOKUP(B48,Sheet2!$A:$O,3,0)</f>
        <v>14706</v>
      </c>
    </row>
    <row r="49" spans="1:4">
      <c r="A49" s="7" t="s">
        <v>395</v>
      </c>
      <c r="B49" s="2">
        <v>1050531</v>
      </c>
      <c r="C49" s="2" t="s">
        <v>72</v>
      </c>
      <c r="D49" s="3">
        <f>VLOOKUP(B49,Sheet2!$A:$O,3,0)</f>
        <v>21000</v>
      </c>
    </row>
    <row r="50" spans="1:4">
      <c r="A50" s="7" t="s">
        <v>395</v>
      </c>
      <c r="B50" s="2">
        <v>1050541</v>
      </c>
      <c r="C50" s="2" t="s">
        <v>74</v>
      </c>
      <c r="D50" s="3">
        <f>VLOOKUP(B50,Sheet2!$A:$O,3,0)</f>
        <v>11000</v>
      </c>
    </row>
    <row r="51" spans="1:4">
      <c r="A51" s="7" t="s">
        <v>395</v>
      </c>
      <c r="B51" s="2">
        <v>1050551</v>
      </c>
      <c r="C51" s="2" t="s">
        <v>76</v>
      </c>
      <c r="D51" s="3">
        <f>VLOOKUP(B51,Sheet2!$A:$O,3,0)</f>
        <v>54000</v>
      </c>
    </row>
    <row r="52" spans="1:4">
      <c r="A52" s="7" t="s">
        <v>395</v>
      </c>
      <c r="B52" s="2">
        <v>1050561</v>
      </c>
      <c r="C52" s="2" t="s">
        <v>78</v>
      </c>
      <c r="D52" s="3">
        <f>VLOOKUP(B52,Sheet2!$A:$O,3,0)</f>
        <v>98000</v>
      </c>
    </row>
    <row r="53" spans="1:4">
      <c r="A53" s="7" t="s">
        <v>395</v>
      </c>
      <c r="B53" s="2">
        <v>1050571</v>
      </c>
      <c r="C53" s="2" t="s">
        <v>80</v>
      </c>
      <c r="D53" s="3">
        <f>VLOOKUP(B53,Sheet2!$A:$O,3,0)</f>
        <v>58600</v>
      </c>
    </row>
    <row r="54" spans="1:4">
      <c r="A54" s="7" t="s">
        <v>395</v>
      </c>
      <c r="B54" s="2">
        <v>1050581</v>
      </c>
      <c r="C54" s="2" t="s">
        <v>82</v>
      </c>
      <c r="D54" s="3">
        <f>VLOOKUP(B54,Sheet2!$A:$O,3,0)</f>
        <v>57000</v>
      </c>
    </row>
    <row r="55" spans="1:4">
      <c r="A55" s="7" t="s">
        <v>395</v>
      </c>
      <c r="B55" s="2">
        <v>1050591</v>
      </c>
      <c r="C55" s="2" t="s">
        <v>84</v>
      </c>
      <c r="D55" s="3">
        <f>VLOOKUP(B55,Sheet2!$A:$O,3,0)</f>
        <v>97750</v>
      </c>
    </row>
    <row r="56" spans="1:4">
      <c r="A56" s="7" t="s">
        <v>395</v>
      </c>
      <c r="B56" s="2">
        <v>1050601</v>
      </c>
      <c r="C56" s="2" t="s">
        <v>86</v>
      </c>
      <c r="D56" s="3">
        <f>VLOOKUP(B56,Sheet2!$A:$O,3,0)</f>
        <v>5900</v>
      </c>
    </row>
    <row r="57" spans="1:4">
      <c r="A57" s="7" t="s">
        <v>395</v>
      </c>
      <c r="B57" s="2">
        <v>1050701</v>
      </c>
      <c r="C57" s="2" t="s">
        <v>88</v>
      </c>
      <c r="D57" s="3">
        <f>VLOOKUP(B57,Sheet2!$A:$O,3,0)</f>
        <v>5600</v>
      </c>
    </row>
    <row r="58" spans="1:4">
      <c r="A58" s="7" t="s">
        <v>395</v>
      </c>
      <c r="B58" s="2">
        <v>1050702</v>
      </c>
      <c r="C58" s="2" t="s">
        <v>90</v>
      </c>
      <c r="D58" s="3">
        <f>VLOOKUP(B58,Sheet2!$A:$O,3,0)</f>
        <v>5600</v>
      </c>
    </row>
    <row r="59" spans="1:4">
      <c r="A59" s="7" t="s">
        <v>395</v>
      </c>
      <c r="B59" s="2">
        <v>1050711</v>
      </c>
      <c r="C59" s="2" t="s">
        <v>92</v>
      </c>
      <c r="D59" s="3">
        <f>VLOOKUP(B59,Sheet2!$A:$O,3,0)</f>
        <v>3005</v>
      </c>
    </row>
    <row r="60" spans="1:4">
      <c r="A60" s="7" t="s">
        <v>395</v>
      </c>
      <c r="B60" s="2">
        <v>1050721</v>
      </c>
      <c r="C60" s="2" t="s">
        <v>94</v>
      </c>
      <c r="D60" s="3">
        <f>VLOOKUP(B60,Sheet2!$A:$O,3,0)</f>
        <v>14300</v>
      </c>
    </row>
    <row r="61" spans="1:4">
      <c r="A61" s="7" t="s">
        <v>395</v>
      </c>
      <c r="B61" s="2">
        <v>1050801</v>
      </c>
      <c r="C61" s="2" t="s">
        <v>7</v>
      </c>
      <c r="D61" s="3">
        <f>VLOOKUP(B61,Sheet2!$A:$O,3,0)</f>
        <v>1025</v>
      </c>
    </row>
    <row r="62" spans="1:4">
      <c r="A62" s="7" t="s">
        <v>395</v>
      </c>
      <c r="B62" s="2">
        <v>1050901</v>
      </c>
      <c r="C62" s="2" t="s">
        <v>96</v>
      </c>
      <c r="D62" s="3">
        <f>VLOOKUP(B62,Sheet2!$A:$O,3,0)</f>
        <v>1441</v>
      </c>
    </row>
    <row r="63" spans="1:4">
      <c r="A63" s="7" t="s">
        <v>395</v>
      </c>
      <c r="B63" s="2">
        <v>1060101</v>
      </c>
      <c r="C63" s="2" t="s">
        <v>98</v>
      </c>
      <c r="D63" s="3">
        <f>VLOOKUP(B63,Sheet2!$A:$O,3,0)</f>
        <v>2250</v>
      </c>
    </row>
    <row r="64" spans="1:4">
      <c r="A64" s="7" t="s">
        <v>395</v>
      </c>
      <c r="B64" s="2">
        <v>1060401</v>
      </c>
      <c r="C64" s="2" t="s">
        <v>100</v>
      </c>
      <c r="D64" s="3">
        <f>VLOOKUP(B64,Sheet2!$A:$O,3,0)</f>
        <v>71000</v>
      </c>
    </row>
    <row r="65" spans="1:4">
      <c r="A65" s="7" t="s">
        <v>395</v>
      </c>
      <c r="B65" s="2">
        <v>1060412</v>
      </c>
      <c r="C65" s="2" t="s">
        <v>230</v>
      </c>
      <c r="D65" s="3">
        <f>VLOOKUP(B65,Sheet2!$A:$O,3,0)</f>
        <v>33000</v>
      </c>
    </row>
    <row r="66" spans="1:4">
      <c r="A66" s="7" t="s">
        <v>395</v>
      </c>
      <c r="B66" s="2">
        <v>1060421</v>
      </c>
      <c r="C66" s="2" t="s">
        <v>104</v>
      </c>
      <c r="D66" s="3">
        <f>VLOOKUP(B66,Sheet2!$A:$O,3,0)</f>
        <v>76000</v>
      </c>
    </row>
    <row r="67" spans="1:4">
      <c r="A67" s="7" t="s">
        <v>395</v>
      </c>
      <c r="B67" s="2">
        <v>1060441</v>
      </c>
      <c r="C67" s="2" t="s">
        <v>106</v>
      </c>
      <c r="D67" s="3">
        <f>VLOOKUP(B67,Sheet2!$A:$O,3,0)</f>
        <v>4500</v>
      </c>
    </row>
    <row r="68" spans="1:4">
      <c r="A68" s="7" t="s">
        <v>395</v>
      </c>
      <c r="B68" s="2">
        <v>1060451</v>
      </c>
      <c r="C68" s="2" t="s">
        <v>108</v>
      </c>
      <c r="D68" s="3">
        <f>VLOOKUP(B68,Sheet2!$A:$O,3,0)</f>
        <v>0</v>
      </c>
    </row>
    <row r="69" spans="1:4">
      <c r="A69" s="7" t="s">
        <v>395</v>
      </c>
      <c r="B69" s="2">
        <v>1070101</v>
      </c>
      <c r="C69" s="2" t="s">
        <v>110</v>
      </c>
      <c r="D69" s="3">
        <f>VLOOKUP(B69,Sheet2!$A:$O,3,0)</f>
        <v>4000</v>
      </c>
    </row>
    <row r="70" spans="1:4">
      <c r="A70" s="7" t="s">
        <v>395</v>
      </c>
      <c r="B70" s="2">
        <v>1070301</v>
      </c>
      <c r="C70" s="2" t="s">
        <v>112</v>
      </c>
      <c r="D70" s="3">
        <f>VLOOKUP(B70,Sheet2!$A:$O,3,0)</f>
        <v>35000</v>
      </c>
    </row>
    <row r="71" spans="1:4">
      <c r="A71" s="7" t="s">
        <v>395</v>
      </c>
      <c r="B71" s="2">
        <v>1070401</v>
      </c>
      <c r="C71" s="2" t="s">
        <v>114</v>
      </c>
      <c r="D71" s="3">
        <f>VLOOKUP(B71,Sheet2!$A:$O,3,0)</f>
        <v>11800</v>
      </c>
    </row>
    <row r="72" spans="1:4">
      <c r="A72" s="7" t="s">
        <v>395</v>
      </c>
      <c r="B72" s="2">
        <v>1070501</v>
      </c>
      <c r="C72" s="2" t="s">
        <v>231</v>
      </c>
      <c r="D72" s="3">
        <f>VLOOKUP(B72,Sheet2!$A:$O,3,0)</f>
        <v>5500</v>
      </c>
    </row>
    <row r="73" spans="1:4">
      <c r="A73" s="7" t="s">
        <v>395</v>
      </c>
      <c r="B73" s="2">
        <v>1070701</v>
      </c>
      <c r="C73" s="2" t="s">
        <v>118</v>
      </c>
      <c r="D73" s="3">
        <f>VLOOKUP(B73,Sheet2!$A:$O,3,0)</f>
        <v>36000</v>
      </c>
    </row>
    <row r="74" spans="1:4">
      <c r="A74" s="7" t="s">
        <v>395</v>
      </c>
      <c r="B74" s="2">
        <v>1070801</v>
      </c>
      <c r="C74" s="2" t="s">
        <v>232</v>
      </c>
      <c r="D74" s="3">
        <f>VLOOKUP(B74,Sheet2!$A:$O,3,0)</f>
        <v>35000</v>
      </c>
    </row>
    <row r="75" spans="1:4">
      <c r="A75" s="7" t="s">
        <v>395</v>
      </c>
      <c r="B75" s="2">
        <v>1080101</v>
      </c>
      <c r="C75" s="2" t="s">
        <v>120</v>
      </c>
      <c r="D75" s="3">
        <f>VLOOKUP(B75,Sheet2!$A:$O,3,0)</f>
        <v>10700</v>
      </c>
    </row>
    <row r="76" spans="1:4">
      <c r="A76" s="7" t="s">
        <v>395</v>
      </c>
      <c r="B76" s="2">
        <v>1080201</v>
      </c>
      <c r="C76" s="2" t="s">
        <v>122</v>
      </c>
      <c r="D76" s="3">
        <f>VLOOKUP(B76,Sheet2!$A:$O,3,0)</f>
        <v>614</v>
      </c>
    </row>
    <row r="77" spans="1:4">
      <c r="A77" s="7" t="s">
        <v>395</v>
      </c>
      <c r="B77" s="2">
        <v>1080301</v>
      </c>
      <c r="C77" s="2" t="s">
        <v>124</v>
      </c>
      <c r="D77" s="3">
        <f>VLOOKUP(B77,Sheet2!$A:$O,3,0)</f>
        <v>1550</v>
      </c>
    </row>
    <row r="78" spans="1:4">
      <c r="A78" s="7" t="s">
        <v>395</v>
      </c>
      <c r="B78" s="2">
        <v>1080401</v>
      </c>
      <c r="C78" s="2" t="s">
        <v>233</v>
      </c>
      <c r="D78" s="3">
        <f>VLOOKUP(B78,Sheet2!$A:$O,3,0)</f>
        <v>3400</v>
      </c>
    </row>
    <row r="79" spans="1:4">
      <c r="A79" s="7" t="s">
        <v>395</v>
      </c>
      <c r="B79" s="2">
        <v>1080411</v>
      </c>
      <c r="C79" s="2" t="s">
        <v>128</v>
      </c>
      <c r="D79" s="3">
        <f>VLOOKUP(B79,Sheet2!$A:$O,3,0)</f>
        <v>3400</v>
      </c>
    </row>
    <row r="80" spans="1:4">
      <c r="A80" s="7" t="s">
        <v>395</v>
      </c>
      <c r="B80" s="2">
        <v>1080501</v>
      </c>
      <c r="C80" s="2" t="s">
        <v>130</v>
      </c>
      <c r="D80" s="3">
        <f>VLOOKUP(B80,Sheet2!$A:$O,3,0)</f>
        <v>3800</v>
      </c>
    </row>
    <row r="81" spans="1:4">
      <c r="A81" s="7" t="s">
        <v>395</v>
      </c>
      <c r="B81" s="2">
        <v>1080602</v>
      </c>
      <c r="C81" s="2" t="s">
        <v>234</v>
      </c>
      <c r="D81" s="3">
        <f>VLOOKUP(B81,Sheet2!$A:$O,3,0)</f>
        <v>37600</v>
      </c>
    </row>
    <row r="82" spans="1:4">
      <c r="A82" s="7" t="s">
        <v>395</v>
      </c>
      <c r="B82" s="2">
        <v>1080604</v>
      </c>
      <c r="C82" s="2" t="s">
        <v>235</v>
      </c>
      <c r="D82" s="3">
        <f>VLOOKUP(B82,Sheet2!$A:$O,3,0)</f>
        <v>0</v>
      </c>
    </row>
    <row r="83" spans="1:4">
      <c r="A83" s="7" t="s">
        <v>395</v>
      </c>
      <c r="B83" s="2">
        <v>1080702</v>
      </c>
      <c r="C83" s="2" t="s">
        <v>236</v>
      </c>
      <c r="D83" s="3">
        <f>VLOOKUP(B83,Sheet2!$A:$O,3,0)</f>
        <v>42500</v>
      </c>
    </row>
    <row r="84" spans="1:4">
      <c r="A84" s="7" t="s">
        <v>395</v>
      </c>
      <c r="B84" s="2">
        <v>1080704</v>
      </c>
      <c r="C84" s="2" t="s">
        <v>237</v>
      </c>
      <c r="D84" s="3">
        <f>VLOOKUP(B84,Sheet2!$A:$O,3,0)</f>
        <v>0</v>
      </c>
    </row>
    <row r="85" spans="1:4">
      <c r="A85" s="7" t="s">
        <v>395</v>
      </c>
      <c r="B85" s="2">
        <v>1090104</v>
      </c>
      <c r="C85" s="2" t="s">
        <v>136</v>
      </c>
      <c r="D85" s="3">
        <f>VLOOKUP(B85,Sheet2!$A:$O,3,0)</f>
        <v>40000</v>
      </c>
    </row>
    <row r="86" spans="1:4">
      <c r="A86" s="7" t="s">
        <v>395</v>
      </c>
      <c r="B86" s="2">
        <v>1090112</v>
      </c>
      <c r="C86" s="2" t="s">
        <v>138</v>
      </c>
      <c r="D86" s="3">
        <f>VLOOKUP(B86,Sheet2!$A:$O,3,0)</f>
        <v>35000</v>
      </c>
    </row>
    <row r="87" spans="1:4">
      <c r="A87" s="7" t="s">
        <v>395</v>
      </c>
      <c r="B87" s="2">
        <v>1090201</v>
      </c>
      <c r="C87" s="2" t="s">
        <v>140</v>
      </c>
      <c r="D87" s="3">
        <f>VLOOKUP(B87,Sheet2!$A:$O,3,0)</f>
        <v>15800</v>
      </c>
    </row>
    <row r="88" spans="1:4">
      <c r="A88" s="7" t="s">
        <v>395</v>
      </c>
      <c r="B88" s="2">
        <v>1090202</v>
      </c>
      <c r="C88" s="2" t="s">
        <v>142</v>
      </c>
      <c r="D88" s="3">
        <f>VLOOKUP(B88,Sheet2!$A:$O,3,0)</f>
        <v>98000</v>
      </c>
    </row>
    <row r="89" spans="1:4">
      <c r="A89" s="7" t="s">
        <v>395</v>
      </c>
      <c r="B89" s="2">
        <v>1090203</v>
      </c>
      <c r="C89" s="2" t="s">
        <v>144</v>
      </c>
      <c r="D89" s="3">
        <f>VLOOKUP(B89,Sheet2!$A:$O,3,0)</f>
        <v>23000</v>
      </c>
    </row>
    <row r="90" spans="1:4">
      <c r="A90" s="7" t="s">
        <v>395</v>
      </c>
      <c r="B90" s="2">
        <v>1090211</v>
      </c>
      <c r="C90" s="2" t="s">
        <v>146</v>
      </c>
      <c r="D90" s="3">
        <f>VLOOKUP(B90,Sheet2!$A:$O,3,0)</f>
        <v>69000</v>
      </c>
    </row>
    <row r="91" spans="1:4">
      <c r="A91" s="7" t="s">
        <v>395</v>
      </c>
      <c r="B91" s="2">
        <v>1090301</v>
      </c>
      <c r="C91" s="2" t="s">
        <v>238</v>
      </c>
      <c r="D91" s="3">
        <f>VLOOKUP(B91,Sheet2!$A:$O,3,0)</f>
        <v>32000</v>
      </c>
    </row>
    <row r="92" spans="1:4">
      <c r="A92" s="7" t="s">
        <v>395</v>
      </c>
      <c r="B92" s="2">
        <v>1090311</v>
      </c>
      <c r="C92" s="2" t="s">
        <v>150</v>
      </c>
      <c r="D92" s="3">
        <f>VLOOKUP(B92,Sheet2!$A:$O,3,0)</f>
        <v>37000</v>
      </c>
    </row>
    <row r="93" spans="1:4">
      <c r="A93" s="7" t="s">
        <v>395</v>
      </c>
      <c r="B93" s="2">
        <v>1090321</v>
      </c>
      <c r="C93" s="2" t="s">
        <v>152</v>
      </c>
      <c r="D93" s="3">
        <f>VLOOKUP(B93,Sheet2!$A:$O,3,0)</f>
        <v>69000</v>
      </c>
    </row>
    <row r="94" spans="1:4">
      <c r="A94" s="7" t="s">
        <v>395</v>
      </c>
      <c r="B94" s="2">
        <v>1090401</v>
      </c>
      <c r="C94" s="2" t="s">
        <v>154</v>
      </c>
      <c r="D94" s="3">
        <f>VLOOKUP(B94,Sheet2!$A:$O,3,0)</f>
        <v>8300</v>
      </c>
    </row>
    <row r="95" spans="1:4">
      <c r="A95" s="7" t="s">
        <v>395</v>
      </c>
      <c r="B95" s="2">
        <v>1090411</v>
      </c>
      <c r="C95" s="2" t="s">
        <v>156</v>
      </c>
      <c r="D95" s="3">
        <f>VLOOKUP(B95,Sheet2!$A:$O,3,0)</f>
        <v>39000</v>
      </c>
    </row>
    <row r="96" spans="1:4">
      <c r="A96" s="7" t="s">
        <v>395</v>
      </c>
      <c r="B96" s="2">
        <v>1090421</v>
      </c>
      <c r="C96" s="2" t="s">
        <v>158</v>
      </c>
      <c r="D96" s="3">
        <f>VLOOKUP(B96,Sheet2!$A:$O,3,0)</f>
        <v>36000</v>
      </c>
    </row>
    <row r="97" spans="1:4">
      <c r="A97" s="7" t="s">
        <v>395</v>
      </c>
      <c r="B97" s="2">
        <v>1090551</v>
      </c>
      <c r="C97" s="2" t="s">
        <v>239</v>
      </c>
      <c r="D97" s="3">
        <f>VLOOKUP(B97,Sheet2!$A:$O,3,0)</f>
        <v>4900</v>
      </c>
    </row>
    <row r="98" spans="1:4">
      <c r="A98" s="7" t="s">
        <v>395</v>
      </c>
      <c r="B98" s="2">
        <v>1090602</v>
      </c>
      <c r="C98" s="2" t="s">
        <v>162</v>
      </c>
      <c r="D98" s="3">
        <f>VLOOKUP(B98,Sheet2!$A:$O,3,0)</f>
        <v>5130</v>
      </c>
    </row>
    <row r="99" spans="1:4">
      <c r="A99" s="7" t="s">
        <v>395</v>
      </c>
      <c r="B99" s="2">
        <v>1090611</v>
      </c>
      <c r="C99" s="2" t="s">
        <v>164</v>
      </c>
      <c r="D99" s="3">
        <f>VLOOKUP(B99,Sheet2!$A:$O,3,0)</f>
        <v>4300</v>
      </c>
    </row>
    <row r="100" spans="1:4">
      <c r="A100" s="7" t="s">
        <v>395</v>
      </c>
      <c r="B100" s="2">
        <v>1090701</v>
      </c>
      <c r="C100" s="2" t="s">
        <v>166</v>
      </c>
      <c r="D100" s="3">
        <f>VLOOKUP(B100,Sheet2!$A:$O,3,0)</f>
        <v>21000</v>
      </c>
    </row>
    <row r="101" spans="1:4">
      <c r="A101" s="7" t="s">
        <v>395</v>
      </c>
      <c r="B101" s="2">
        <v>1090901</v>
      </c>
      <c r="C101" s="2" t="s">
        <v>168</v>
      </c>
      <c r="D101" s="3">
        <f>VLOOKUP(B101,Sheet2!$A:$O,3,0)</f>
        <v>4300</v>
      </c>
    </row>
    <row r="102" spans="1:4">
      <c r="A102" s="7" t="s">
        <v>395</v>
      </c>
      <c r="B102" s="2">
        <v>1091001</v>
      </c>
      <c r="C102" s="2" t="s">
        <v>170</v>
      </c>
      <c r="D102" s="3">
        <f>VLOOKUP(B102,Sheet2!$A:$O,3,0)</f>
        <v>6500</v>
      </c>
    </row>
    <row r="103" spans="1:4">
      <c r="A103" s="7" t="s">
        <v>395</v>
      </c>
      <c r="B103" s="2">
        <v>1091002</v>
      </c>
      <c r="C103" s="2" t="s">
        <v>172</v>
      </c>
      <c r="D103" s="3">
        <f>VLOOKUP(B103,Sheet2!$A:$O,3,0)</f>
        <v>5216</v>
      </c>
    </row>
    <row r="104" spans="1:4">
      <c r="A104" s="7" t="s">
        <v>395</v>
      </c>
      <c r="B104" s="2">
        <v>1091003</v>
      </c>
      <c r="C104" s="2" t="s">
        <v>174</v>
      </c>
      <c r="D104" s="3">
        <f>VLOOKUP(B104,Sheet2!$A:$O,3,0)</f>
        <v>8535</v>
      </c>
    </row>
    <row r="105" spans="1:4">
      <c r="A105" s="7" t="s">
        <v>395</v>
      </c>
      <c r="B105" s="2">
        <v>1091004</v>
      </c>
      <c r="C105" s="2" t="s">
        <v>240</v>
      </c>
      <c r="D105" s="3">
        <f>VLOOKUP(B105,Sheet2!$A:$O,3,0)</f>
        <v>0</v>
      </c>
    </row>
    <row r="106" spans="1:4">
      <c r="A106" s="7" t="s">
        <v>395</v>
      </c>
      <c r="B106" s="2">
        <v>1091005</v>
      </c>
      <c r="C106" s="2" t="s">
        <v>241</v>
      </c>
      <c r="D106" s="3">
        <f>VLOOKUP(B106,Sheet2!$A:$O,3,0)</f>
        <v>0</v>
      </c>
    </row>
    <row r="107" spans="1:4">
      <c r="A107" s="7" t="s">
        <v>395</v>
      </c>
      <c r="B107" s="2">
        <v>1091006</v>
      </c>
      <c r="C107" s="2" t="s">
        <v>242</v>
      </c>
      <c r="D107" s="3">
        <f>VLOOKUP(B107,Sheet2!$A:$O,3,0)</f>
        <v>0</v>
      </c>
    </row>
    <row r="108" spans="1:4">
      <c r="A108" s="7" t="s">
        <v>395</v>
      </c>
      <c r="B108" s="2">
        <v>1091007</v>
      </c>
      <c r="C108" s="2" t="s">
        <v>243</v>
      </c>
      <c r="D108" s="3">
        <f>VLOOKUP(B108,Sheet2!$A:$O,3,0)</f>
        <v>2640</v>
      </c>
    </row>
    <row r="109" spans="1:4">
      <c r="A109" s="7" t="s">
        <v>395</v>
      </c>
      <c r="B109" s="2">
        <v>1091008</v>
      </c>
      <c r="C109" s="2" t="s">
        <v>176</v>
      </c>
      <c r="D109" s="3">
        <f>VLOOKUP(B109,Sheet2!$A:$O,3,0)</f>
        <v>0</v>
      </c>
    </row>
    <row r="110" spans="1:4">
      <c r="A110" s="7" t="s">
        <v>395</v>
      </c>
      <c r="B110" s="2">
        <v>1091009</v>
      </c>
      <c r="C110" s="2" t="s">
        <v>178</v>
      </c>
      <c r="D110" s="3">
        <f>VLOOKUP(B110,Sheet2!$A:$O,3,0)</f>
        <v>0</v>
      </c>
    </row>
    <row r="111" spans="1:4">
      <c r="A111" s="7" t="s">
        <v>395</v>
      </c>
      <c r="B111" s="2">
        <v>1091010</v>
      </c>
      <c r="C111" s="2" t="s">
        <v>180</v>
      </c>
      <c r="D111" s="3">
        <f>VLOOKUP(B111,Sheet2!$A:$O,3,0)</f>
        <v>27000</v>
      </c>
    </row>
    <row r="112" spans="1:4">
      <c r="A112" s="7" t="s">
        <v>395</v>
      </c>
      <c r="B112" s="2">
        <v>1091011</v>
      </c>
      <c r="C112" s="2" t="s">
        <v>182</v>
      </c>
      <c r="D112" s="3">
        <f>VLOOKUP(B112,Sheet2!$A:$O,3,0)</f>
        <v>33000</v>
      </c>
    </row>
    <row r="113" spans="1:4">
      <c r="A113" s="7" t="s">
        <v>395</v>
      </c>
      <c r="B113" s="2">
        <v>1091012</v>
      </c>
      <c r="C113" s="2" t="s">
        <v>184</v>
      </c>
      <c r="D113" s="3">
        <f>VLOOKUP(B113,Sheet2!$A:$O,3,0)</f>
        <v>47000</v>
      </c>
    </row>
    <row r="114" spans="1:4">
      <c r="A114" s="7" t="s">
        <v>395</v>
      </c>
      <c r="B114" s="2">
        <v>1091013</v>
      </c>
      <c r="C114" s="2" t="s">
        <v>186</v>
      </c>
      <c r="D114" s="3">
        <f>VLOOKUP(B114,Sheet2!$A:$O,3,0)</f>
        <v>33000</v>
      </c>
    </row>
    <row r="115" spans="1:4">
      <c r="A115" s="7" t="s">
        <v>395</v>
      </c>
      <c r="B115" s="2">
        <v>1091014</v>
      </c>
      <c r="C115" s="2" t="s">
        <v>244</v>
      </c>
      <c r="D115" s="3">
        <f>VLOOKUP(B115,Sheet2!$A:$O,3,0)</f>
        <v>6961</v>
      </c>
    </row>
    <row r="116" spans="1:4">
      <c r="A116" s="7" t="s">
        <v>395</v>
      </c>
      <c r="B116" s="2">
        <v>1091015</v>
      </c>
      <c r="C116" s="2" t="s">
        <v>245</v>
      </c>
      <c r="D116" s="3">
        <f>VLOOKUP(B116,Sheet2!$A:$O,3,0)</f>
        <v>25490</v>
      </c>
    </row>
    <row r="117" spans="1:4">
      <c r="A117" s="7" t="s">
        <v>395</v>
      </c>
      <c r="B117" s="2">
        <v>1091016</v>
      </c>
      <c r="C117" s="2" t="s">
        <v>246</v>
      </c>
      <c r="D117" s="3">
        <f>VLOOKUP(B117,Sheet2!$A:$O,3,0)</f>
        <v>50187</v>
      </c>
    </row>
    <row r="118" spans="1:4">
      <c r="A118" s="7" t="s">
        <v>395</v>
      </c>
      <c r="B118" s="2">
        <v>1091017</v>
      </c>
      <c r="C118" s="2" t="s">
        <v>247</v>
      </c>
      <c r="D118" s="3">
        <f>VLOOKUP(B118,Sheet2!$A:$O,3,0)</f>
        <v>0</v>
      </c>
    </row>
    <row r="119" spans="1:4">
      <c r="A119" s="7" t="s">
        <v>395</v>
      </c>
      <c r="B119" s="2">
        <v>1091018</v>
      </c>
      <c r="C119" s="2" t="s">
        <v>248</v>
      </c>
      <c r="D119" s="3">
        <f>VLOOKUP(B119,Sheet2!$A:$O,3,0)</f>
        <v>0</v>
      </c>
    </row>
    <row r="120" spans="1:4">
      <c r="A120" s="7" t="s">
        <v>395</v>
      </c>
      <c r="B120" s="2">
        <v>1091019</v>
      </c>
      <c r="C120" s="2" t="s">
        <v>249</v>
      </c>
      <c r="D120" s="3">
        <f>VLOOKUP(B120,Sheet2!$A:$O,3,0)</f>
        <v>53387</v>
      </c>
    </row>
    <row r="121" spans="1:4">
      <c r="A121" s="7" t="s">
        <v>395</v>
      </c>
      <c r="B121" s="2">
        <v>1091020</v>
      </c>
      <c r="C121" s="2" t="s">
        <v>250</v>
      </c>
      <c r="D121" s="3">
        <f>VLOOKUP(B121,Sheet2!$A:$O,3,0)</f>
        <v>62745</v>
      </c>
    </row>
    <row r="122" spans="1:4">
      <c r="A122" s="7" t="s">
        <v>395</v>
      </c>
      <c r="B122" s="2">
        <v>1091021</v>
      </c>
      <c r="C122" s="2" t="s">
        <v>251</v>
      </c>
      <c r="D122" s="3">
        <f>VLOOKUP(B122,Sheet2!$A:$O,3,0)</f>
        <v>53922</v>
      </c>
    </row>
    <row r="123" spans="1:4">
      <c r="A123" s="7" t="s">
        <v>395</v>
      </c>
      <c r="B123" s="2">
        <v>1091022</v>
      </c>
      <c r="C123" s="2" t="s">
        <v>252</v>
      </c>
      <c r="D123" s="3">
        <f>VLOOKUP(B123,Sheet2!$A:$O,3,0)</f>
        <v>3235</v>
      </c>
    </row>
    <row r="124" spans="1:4">
      <c r="A124" s="7" t="s">
        <v>395</v>
      </c>
      <c r="B124" s="2">
        <v>1091023</v>
      </c>
      <c r="C124" s="2" t="s">
        <v>253</v>
      </c>
      <c r="D124" s="3">
        <f>VLOOKUP(B124,Sheet2!$A:$O,3,0)</f>
        <v>4412</v>
      </c>
    </row>
    <row r="125" spans="1:4">
      <c r="A125" s="7" t="s">
        <v>395</v>
      </c>
      <c r="B125" s="2">
        <v>1091024</v>
      </c>
      <c r="C125" s="2" t="s">
        <v>254</v>
      </c>
      <c r="D125" s="3">
        <f>VLOOKUP(B125,Sheet2!$A:$O,3,0)</f>
        <v>3922</v>
      </c>
    </row>
    <row r="126" spans="1:4">
      <c r="A126" s="7" t="s">
        <v>395</v>
      </c>
      <c r="B126" s="2">
        <v>1091025</v>
      </c>
      <c r="C126" s="2" t="s">
        <v>255</v>
      </c>
      <c r="D126" s="3">
        <f>VLOOKUP(B126,Sheet2!$A:$O,3,0)</f>
        <v>7843</v>
      </c>
    </row>
    <row r="127" spans="1:4">
      <c r="A127" s="7" t="s">
        <v>395</v>
      </c>
      <c r="B127" s="2">
        <v>1091026</v>
      </c>
      <c r="C127" s="2" t="s">
        <v>256</v>
      </c>
      <c r="D127" s="3">
        <f>VLOOKUP(B127,Sheet2!$A:$O,3,0)</f>
        <v>30196</v>
      </c>
    </row>
    <row r="128" spans="1:4">
      <c r="A128" s="7" t="s">
        <v>395</v>
      </c>
      <c r="B128" s="2">
        <v>1600101</v>
      </c>
      <c r="C128" s="2" t="s">
        <v>188</v>
      </c>
      <c r="D128" s="3">
        <f>VLOOKUP(B128,Sheet2!$A:$O,3,0)</f>
        <v>2206</v>
      </c>
    </row>
    <row r="129" spans="1:4">
      <c r="A129" s="7" t="s">
        <v>395</v>
      </c>
      <c r="B129" s="2">
        <v>1600102</v>
      </c>
      <c r="C129" s="2" t="s">
        <v>257</v>
      </c>
      <c r="D129" s="3">
        <f>VLOOKUP(B129,Sheet2!$A:$O,3,0)</f>
        <v>34314</v>
      </c>
    </row>
    <row r="130" spans="1:4">
      <c r="A130" s="7" t="s">
        <v>395</v>
      </c>
      <c r="B130" s="2">
        <v>1600103</v>
      </c>
      <c r="C130" s="2" t="s">
        <v>258</v>
      </c>
      <c r="D130" s="3">
        <f>VLOOKUP(B130,Sheet2!$A:$O,3,0)</f>
        <v>19800</v>
      </c>
    </row>
    <row r="131" spans="1:4">
      <c r="A131" s="7" t="s">
        <v>395</v>
      </c>
      <c r="B131" s="2">
        <v>1600104</v>
      </c>
      <c r="C131" s="2" t="s">
        <v>259</v>
      </c>
      <c r="D131" s="3">
        <f>VLOOKUP(B131,Sheet2!$A:$O,3,0)</f>
        <v>52500</v>
      </c>
    </row>
    <row r="132" spans="1:4">
      <c r="A132" s="7" t="s">
        <v>395</v>
      </c>
      <c r="B132" s="2">
        <v>1600105</v>
      </c>
      <c r="C132" s="2" t="s">
        <v>260</v>
      </c>
      <c r="D132" s="3">
        <f>VLOOKUP(B132,Sheet2!$A:$O,3,0)</f>
        <v>73000</v>
      </c>
    </row>
    <row r="133" spans="1:4">
      <c r="A133" s="7" t="s">
        <v>395</v>
      </c>
      <c r="B133" s="2">
        <v>1600106</v>
      </c>
      <c r="C133" s="2" t="s">
        <v>261</v>
      </c>
      <c r="D133" s="3">
        <f>VLOOKUP(B133,Sheet2!$A:$O,3,0)</f>
        <v>66667</v>
      </c>
    </row>
    <row r="134" spans="1:4">
      <c r="A134" s="7" t="s">
        <v>395</v>
      </c>
      <c r="B134" s="2">
        <v>1600107</v>
      </c>
      <c r="C134" s="2" t="s">
        <v>262</v>
      </c>
      <c r="D134" s="3">
        <f>VLOOKUP(B134,Sheet2!$A:$O,3,0)</f>
        <v>67647</v>
      </c>
    </row>
    <row r="135" spans="1:4">
      <c r="A135" s="7" t="s">
        <v>395</v>
      </c>
      <c r="B135" s="2">
        <v>1600108</v>
      </c>
      <c r="C135" s="2" t="s">
        <v>263</v>
      </c>
      <c r="D135" s="3">
        <f>VLOOKUP(B135,Sheet2!$A:$O,3,0)</f>
        <v>67647</v>
      </c>
    </row>
    <row r="136" spans="1:4">
      <c r="A136" s="7" t="s">
        <v>395</v>
      </c>
      <c r="B136" s="2">
        <v>1600109</v>
      </c>
      <c r="C136" s="2" t="s">
        <v>264</v>
      </c>
      <c r="D136" s="3">
        <f>VLOOKUP(B136,Sheet2!$A:$O,3,0)</f>
        <v>3529</v>
      </c>
    </row>
    <row r="137" spans="1:4">
      <c r="A137" s="7" t="s">
        <v>395</v>
      </c>
      <c r="B137" s="2">
        <v>1600110</v>
      </c>
      <c r="C137" s="2" t="s">
        <v>265</v>
      </c>
      <c r="D137" s="3">
        <f>VLOOKUP(B137,Sheet2!$A:$O,3,0)</f>
        <v>7917</v>
      </c>
    </row>
    <row r="138" spans="1:4">
      <c r="A138" s="7" t="s">
        <v>395</v>
      </c>
      <c r="B138" s="2">
        <v>1600111</v>
      </c>
      <c r="C138" s="2" t="s">
        <v>266</v>
      </c>
      <c r="D138" s="3">
        <f>VLOOKUP(B138,Sheet2!$A:$O,3,0)</f>
        <v>2266</v>
      </c>
    </row>
    <row r="139" spans="1:4">
      <c r="A139" s="7" t="s">
        <v>395</v>
      </c>
      <c r="B139" s="2">
        <v>1600112</v>
      </c>
      <c r="C139" s="2" t="s">
        <v>190</v>
      </c>
      <c r="D139" s="3">
        <f>VLOOKUP(B139,Sheet2!$A:$O,3,0)</f>
        <v>4800</v>
      </c>
    </row>
    <row r="140" spans="1:4">
      <c r="A140" s="7" t="s">
        <v>395</v>
      </c>
      <c r="B140" s="2">
        <v>1600113</v>
      </c>
      <c r="C140" s="2" t="s">
        <v>267</v>
      </c>
      <c r="D140" s="3">
        <f>VLOOKUP(B140,Sheet2!$A:$O,3,0)</f>
        <v>0</v>
      </c>
    </row>
    <row r="141" spans="1:4">
      <c r="A141" s="7" t="s">
        <v>395</v>
      </c>
      <c r="B141" s="2">
        <v>1600114</v>
      </c>
      <c r="C141" s="2" t="s">
        <v>268</v>
      </c>
      <c r="D141" s="3">
        <f>VLOOKUP(B141,Sheet2!$A:$O,3,0)</f>
        <v>9930</v>
      </c>
    </row>
    <row r="142" spans="1:4">
      <c r="A142" s="7" t="s">
        <v>395</v>
      </c>
      <c r="B142" s="2">
        <v>1700001</v>
      </c>
      <c r="C142" s="2" t="s">
        <v>269</v>
      </c>
      <c r="D142" s="3">
        <f>VLOOKUP(B142,Sheet2!$A:$O,3,0)</f>
        <v>3922</v>
      </c>
    </row>
    <row r="143" spans="1:4">
      <c r="A143" s="7" t="s">
        <v>395</v>
      </c>
      <c r="B143" s="2">
        <v>1700002</v>
      </c>
      <c r="C143" s="2" t="s">
        <v>270</v>
      </c>
      <c r="D143" s="3">
        <f>VLOOKUP(B143,Sheet2!$A:$O,3,0)</f>
        <v>3726</v>
      </c>
    </row>
    <row r="144" spans="1:4">
      <c r="A144" s="7" t="s">
        <v>395</v>
      </c>
      <c r="B144" s="2">
        <v>1700003</v>
      </c>
      <c r="C144" s="2" t="s">
        <v>271</v>
      </c>
      <c r="D144" s="3">
        <f>VLOOKUP(B144,Sheet2!$A:$O,3,0)</f>
        <v>4412</v>
      </c>
    </row>
    <row r="145" spans="1:4">
      <c r="A145" s="7" t="s">
        <v>395</v>
      </c>
      <c r="B145" s="2">
        <v>1700004</v>
      </c>
      <c r="C145" s="2" t="s">
        <v>272</v>
      </c>
      <c r="D145" s="3">
        <f>VLOOKUP(B145,Sheet2!$A:$O,3,0)</f>
        <v>13137</v>
      </c>
    </row>
    <row r="146" spans="1:4">
      <c r="A146" s="7" t="s">
        <v>395</v>
      </c>
      <c r="B146" s="2">
        <v>1700005</v>
      </c>
      <c r="C146" s="2" t="s">
        <v>192</v>
      </c>
      <c r="D146" s="3">
        <f>VLOOKUP(B146,Sheet2!$A:$O,3,0)</f>
        <v>1667</v>
      </c>
    </row>
    <row r="147" spans="1:4">
      <c r="A147" s="7" t="s">
        <v>395</v>
      </c>
      <c r="B147" s="2">
        <v>1700006</v>
      </c>
      <c r="C147" s="2" t="s">
        <v>273</v>
      </c>
      <c r="D147" s="3">
        <f>VLOOKUP(B147,Sheet2!$A:$O,3,0)</f>
        <v>6000</v>
      </c>
    </row>
    <row r="148" spans="1:4">
      <c r="A148" s="7" t="s">
        <v>395</v>
      </c>
      <c r="B148" s="2">
        <v>1700007</v>
      </c>
      <c r="C148" s="2" t="s">
        <v>274</v>
      </c>
      <c r="D148" s="3">
        <f>VLOOKUP(B148,Sheet2!$A:$O,3,0)</f>
        <v>0</v>
      </c>
    </row>
    <row r="149" spans="1:4">
      <c r="A149" s="7" t="s">
        <v>395</v>
      </c>
      <c r="B149" s="2">
        <v>1700008</v>
      </c>
      <c r="C149" s="2" t="s">
        <v>275</v>
      </c>
      <c r="D149" s="3">
        <f>VLOOKUP(B149,Sheet2!$A:$O,3,0)</f>
        <v>0</v>
      </c>
    </row>
    <row r="150" spans="1:4">
      <c r="A150" s="7" t="s">
        <v>395</v>
      </c>
      <c r="B150" s="2">
        <v>1700009</v>
      </c>
      <c r="C150" s="2" t="s">
        <v>276</v>
      </c>
      <c r="D150" s="3">
        <f>VLOOKUP(B150,Sheet2!$A:$O,3,0)</f>
        <v>0</v>
      </c>
    </row>
    <row r="151" spans="1:4">
      <c r="A151" s="7" t="s">
        <v>395</v>
      </c>
      <c r="B151" s="2">
        <v>1700010</v>
      </c>
      <c r="C151" s="2" t="s">
        <v>277</v>
      </c>
      <c r="D151" s="3">
        <f>VLOOKUP(B151,Sheet2!$A:$O,3,0)</f>
        <v>4530</v>
      </c>
    </row>
    <row r="152" spans="1:4">
      <c r="A152" s="7" t="s">
        <v>395</v>
      </c>
      <c r="B152" s="2">
        <v>1700011</v>
      </c>
      <c r="C152" s="2" t="s">
        <v>278</v>
      </c>
      <c r="D152" s="3">
        <f>VLOOKUP(B152,Sheet2!$A:$O,3,0)</f>
        <v>0</v>
      </c>
    </row>
    <row r="153" spans="1:4">
      <c r="A153" s="7" t="s">
        <v>395</v>
      </c>
      <c r="B153" s="2">
        <v>1700012</v>
      </c>
      <c r="C153" s="2" t="s">
        <v>279</v>
      </c>
      <c r="D153" s="3">
        <f>VLOOKUP(B153,Sheet2!$A:$O,3,0)</f>
        <v>12255</v>
      </c>
    </row>
    <row r="154" spans="1:4">
      <c r="A154" s="7" t="s">
        <v>395</v>
      </c>
      <c r="B154" s="2">
        <v>1700013</v>
      </c>
      <c r="C154" s="2" t="s">
        <v>280</v>
      </c>
      <c r="D154" s="3">
        <f>VLOOKUP(B154,Sheet2!$A:$O,3,0)</f>
        <v>657</v>
      </c>
    </row>
    <row r="155" spans="1:4">
      <c r="A155" s="7" t="s">
        <v>395</v>
      </c>
      <c r="B155" s="2">
        <v>1700014</v>
      </c>
      <c r="C155" s="2" t="s">
        <v>194</v>
      </c>
      <c r="D155" s="3">
        <f>VLOOKUP(B155,Sheet2!$A:$O,3,0)</f>
        <v>2255</v>
      </c>
    </row>
    <row r="156" spans="1:4">
      <c r="A156" s="7" t="s">
        <v>395</v>
      </c>
      <c r="B156" s="2">
        <v>1700015</v>
      </c>
      <c r="C156" s="2" t="s">
        <v>281</v>
      </c>
      <c r="D156" s="3">
        <f>VLOOKUP(B156,Sheet2!$A:$O,3,0)</f>
        <v>2300</v>
      </c>
    </row>
    <row r="157" spans="1:4">
      <c r="A157" s="7" t="s">
        <v>395</v>
      </c>
      <c r="B157" s="2">
        <v>1700016</v>
      </c>
      <c r="C157" s="2" t="s">
        <v>282</v>
      </c>
      <c r="D157" s="3">
        <f>VLOOKUP(B157,Sheet2!$A:$O,3,0)</f>
        <v>5177</v>
      </c>
    </row>
    <row r="158" spans="1:4">
      <c r="A158" s="7" t="s">
        <v>395</v>
      </c>
      <c r="B158" s="2">
        <v>1700017</v>
      </c>
      <c r="C158" s="2" t="s">
        <v>283</v>
      </c>
      <c r="D158" s="3">
        <f>VLOOKUP(B158,Sheet2!$A:$O,3,0)</f>
        <v>10530</v>
      </c>
    </row>
    <row r="159" spans="1:4">
      <c r="A159" s="7" t="s">
        <v>395</v>
      </c>
      <c r="B159" s="2">
        <v>1700018</v>
      </c>
      <c r="C159" s="2" t="s">
        <v>284</v>
      </c>
      <c r="D159" s="3">
        <f>VLOOKUP(B159,Sheet2!$A:$O,3,0)</f>
        <v>4439</v>
      </c>
    </row>
    <row r="160" spans="1:4">
      <c r="A160" s="7" t="s">
        <v>395</v>
      </c>
      <c r="B160" s="2">
        <v>1700019</v>
      </c>
      <c r="C160" s="2" t="s">
        <v>285</v>
      </c>
      <c r="D160" s="3">
        <f>VLOOKUP(B160,Sheet2!$A:$O,3,0)</f>
        <v>0</v>
      </c>
    </row>
    <row r="161" spans="1:4">
      <c r="A161" s="7" t="s">
        <v>395</v>
      </c>
      <c r="B161" s="2">
        <v>1700020</v>
      </c>
      <c r="C161" s="2" t="s">
        <v>286</v>
      </c>
      <c r="D161" s="3">
        <f>VLOOKUP(B161,Sheet2!$A:$O,3,0)</f>
        <v>50211</v>
      </c>
    </row>
    <row r="162" spans="1:4">
      <c r="A162" s="7" t="s">
        <v>395</v>
      </c>
      <c r="B162" s="2">
        <v>1700021</v>
      </c>
      <c r="C162" s="2" t="s">
        <v>287</v>
      </c>
      <c r="D162" s="3">
        <f>VLOOKUP(B162,Sheet2!$A:$O,3,0)</f>
        <v>73804</v>
      </c>
    </row>
    <row r="163" spans="1:4">
      <c r="A163" s="7" t="s">
        <v>395</v>
      </c>
      <c r="B163" s="2">
        <v>1700022</v>
      </c>
      <c r="C163" s="2" t="s">
        <v>288</v>
      </c>
      <c r="D163" s="3">
        <f>VLOOKUP(B163,Sheet2!$A:$O,3,0)</f>
        <v>26628</v>
      </c>
    </row>
    <row r="164" spans="1:4">
      <c r="A164" s="7" t="s">
        <v>395</v>
      </c>
      <c r="B164" s="2">
        <v>1700023</v>
      </c>
      <c r="C164" s="2" t="s">
        <v>289</v>
      </c>
      <c r="D164" s="3">
        <f>VLOOKUP(B164,Sheet2!$A:$O,3,0)</f>
        <v>4824</v>
      </c>
    </row>
    <row r="165" spans="1:4">
      <c r="A165" s="7" t="s">
        <v>395</v>
      </c>
      <c r="B165" s="2">
        <v>1700024</v>
      </c>
      <c r="C165" s="2" t="s">
        <v>290</v>
      </c>
      <c r="D165" s="3">
        <f>VLOOKUP(B165,Sheet2!$A:$O,3,0)</f>
        <v>0</v>
      </c>
    </row>
    <row r="166" spans="1:4">
      <c r="A166" s="7" t="s">
        <v>395</v>
      </c>
      <c r="B166" s="2">
        <v>1700025</v>
      </c>
      <c r="C166" s="2" t="s">
        <v>291</v>
      </c>
      <c r="D166" s="3">
        <f>VLOOKUP(B166,Sheet2!$A:$O,3,0)</f>
        <v>0</v>
      </c>
    </row>
    <row r="167" spans="1:4">
      <c r="A167" s="7" t="s">
        <v>395</v>
      </c>
      <c r="B167" s="2">
        <v>1700026</v>
      </c>
      <c r="C167" s="2" t="s">
        <v>292</v>
      </c>
      <c r="D167" s="3">
        <f>VLOOKUP(B167,Sheet2!$A:$O,3,0)</f>
        <v>3725</v>
      </c>
    </row>
    <row r="168" spans="1:4">
      <c r="A168" s="7" t="s">
        <v>395</v>
      </c>
      <c r="B168" s="2">
        <v>1700027</v>
      </c>
      <c r="C168" s="2" t="s">
        <v>293</v>
      </c>
      <c r="D168" s="3">
        <f>VLOOKUP(B168,Sheet2!$A:$O,3,0)</f>
        <v>4902</v>
      </c>
    </row>
    <row r="169" spans="1:4">
      <c r="A169" s="7" t="s">
        <v>395</v>
      </c>
      <c r="B169" s="2">
        <v>1700028</v>
      </c>
      <c r="C169" s="2" t="s">
        <v>294</v>
      </c>
      <c r="D169" s="3">
        <f>VLOOKUP(B169,Sheet2!$A:$O,3,0)</f>
        <v>9500</v>
      </c>
    </row>
    <row r="170" spans="1:4">
      <c r="A170" s="7" t="s">
        <v>395</v>
      </c>
      <c r="B170" s="2">
        <v>1700029</v>
      </c>
      <c r="C170" s="2" t="s">
        <v>295</v>
      </c>
      <c r="D170" s="3">
        <f>VLOOKUP(B170,Sheet2!$A:$O,3,0)</f>
        <v>10670</v>
      </c>
    </row>
    <row r="171" spans="1:4">
      <c r="A171" s="7" t="s">
        <v>395</v>
      </c>
      <c r="B171" s="2">
        <v>1700030</v>
      </c>
      <c r="C171" s="2" t="s">
        <v>296</v>
      </c>
      <c r="D171" s="3">
        <f>VLOOKUP(B171,Sheet2!$A:$O,3,0)</f>
        <v>12720</v>
      </c>
    </row>
    <row r="172" spans="1:4">
      <c r="A172" s="7" t="s">
        <v>395</v>
      </c>
      <c r="B172" s="2">
        <v>1700031</v>
      </c>
      <c r="C172" s="2" t="s">
        <v>196</v>
      </c>
      <c r="D172" s="3">
        <f>VLOOKUP(B172,Sheet2!$A:$O,3,0)</f>
        <v>1961</v>
      </c>
    </row>
    <row r="173" spans="1:4">
      <c r="A173" s="7" t="s">
        <v>395</v>
      </c>
      <c r="B173" s="2">
        <v>1700032</v>
      </c>
      <c r="C173" s="2" t="s">
        <v>297</v>
      </c>
      <c r="D173" s="3">
        <f>VLOOKUP(B173,Sheet2!$A:$O,3,0)</f>
        <v>0</v>
      </c>
    </row>
    <row r="174" spans="1:4">
      <c r="A174" s="7" t="s">
        <v>395</v>
      </c>
      <c r="B174" s="2">
        <v>1700033</v>
      </c>
      <c r="C174" s="2" t="s">
        <v>298</v>
      </c>
      <c r="D174" s="3">
        <f>VLOOKUP(B174,Sheet2!$A:$O,3,0)</f>
        <v>0</v>
      </c>
    </row>
    <row r="175" spans="1:4">
      <c r="A175" s="7" t="s">
        <v>395</v>
      </c>
      <c r="B175" s="2">
        <v>1700034</v>
      </c>
      <c r="C175" s="2" t="s">
        <v>299</v>
      </c>
      <c r="D175" s="3">
        <f>VLOOKUP(B175,Sheet2!$A:$O,3,0)</f>
        <v>15125</v>
      </c>
    </row>
    <row r="176" spans="1:4">
      <c r="A176" s="7" t="s">
        <v>395</v>
      </c>
      <c r="B176" s="2">
        <v>1700035</v>
      </c>
      <c r="C176" s="2" t="s">
        <v>300</v>
      </c>
      <c r="D176" s="3">
        <f>VLOOKUP(B176,Sheet2!$A:$O,3,0)</f>
        <v>34000</v>
      </c>
    </row>
    <row r="177" spans="1:4">
      <c r="A177" s="7" t="s">
        <v>395</v>
      </c>
      <c r="B177" s="2">
        <v>1700036</v>
      </c>
      <c r="C177" s="2" t="s">
        <v>301</v>
      </c>
      <c r="D177" s="3">
        <f>VLOOKUP(B177,Sheet2!$A:$O,3,0)</f>
        <v>4000</v>
      </c>
    </row>
    <row r="178" spans="1:4">
      <c r="A178" s="7" t="s">
        <v>395</v>
      </c>
      <c r="B178" s="2">
        <v>1700037</v>
      </c>
      <c r="C178" s="2" t="s">
        <v>302</v>
      </c>
      <c r="D178" s="3">
        <f>VLOOKUP(B178,Sheet2!$A:$O,3,0)</f>
        <v>7200</v>
      </c>
    </row>
    <row r="179" spans="1:4">
      <c r="A179" s="7" t="s">
        <v>395</v>
      </c>
      <c r="B179" s="2">
        <v>1700038</v>
      </c>
      <c r="C179" s="2" t="s">
        <v>303</v>
      </c>
      <c r="D179" s="3">
        <f>VLOOKUP(B179,Sheet2!$A:$O,3,0)</f>
        <v>2441</v>
      </c>
    </row>
    <row r="180" spans="1:4">
      <c r="A180" s="7" t="s">
        <v>395</v>
      </c>
      <c r="B180" s="2">
        <v>1700039</v>
      </c>
      <c r="C180" s="2" t="s">
        <v>304</v>
      </c>
      <c r="D180" s="3">
        <f>VLOOKUP(B180,Sheet2!$A:$O,3,0)</f>
        <v>2000</v>
      </c>
    </row>
    <row r="181" spans="1:4">
      <c r="A181" s="7" t="s">
        <v>395</v>
      </c>
      <c r="B181" s="2">
        <v>1700040</v>
      </c>
      <c r="C181" s="2" t="s">
        <v>305</v>
      </c>
      <c r="D181" s="3">
        <f>VLOOKUP(B181,Sheet2!$A:$O,3,0)</f>
        <v>1967</v>
      </c>
    </row>
    <row r="182" spans="1:4">
      <c r="A182" s="7" t="s">
        <v>395</v>
      </c>
      <c r="B182" s="2">
        <v>1700041</v>
      </c>
      <c r="C182" s="2" t="s">
        <v>306</v>
      </c>
      <c r="D182" s="3">
        <f>VLOOKUP(B182,Sheet2!$A:$O,3,0)</f>
        <v>3000</v>
      </c>
    </row>
    <row r="183" spans="1:4">
      <c r="A183" s="7" t="s">
        <v>395</v>
      </c>
      <c r="B183" s="2">
        <v>1700042</v>
      </c>
      <c r="C183" s="2" t="s">
        <v>307</v>
      </c>
      <c r="D183" s="3">
        <f>VLOOKUP(B183,Sheet2!$A:$O,3,0)</f>
        <v>3163</v>
      </c>
    </row>
    <row r="184" spans="1:4">
      <c r="A184" s="7" t="s">
        <v>395</v>
      </c>
      <c r="B184" s="2">
        <v>1700043</v>
      </c>
      <c r="C184" s="2" t="s">
        <v>308</v>
      </c>
      <c r="D184" s="3">
        <f>VLOOKUP(B184,Sheet2!$A:$O,3,0)</f>
        <v>4931</v>
      </c>
    </row>
    <row r="185" spans="1:4">
      <c r="A185" s="7" t="s">
        <v>395</v>
      </c>
      <c r="B185" s="2">
        <v>1700044</v>
      </c>
      <c r="C185" s="2" t="s">
        <v>309</v>
      </c>
      <c r="D185" s="3">
        <f>VLOOKUP(B185,Sheet2!$A:$O,3,0)</f>
        <v>7000</v>
      </c>
    </row>
    <row r="186" spans="1:4">
      <c r="A186" s="7" t="s">
        <v>395</v>
      </c>
      <c r="B186" s="2">
        <v>1700045</v>
      </c>
      <c r="C186" s="2" t="s">
        <v>310</v>
      </c>
      <c r="D186" s="3">
        <f>VLOOKUP(B186,Sheet2!$A:$O,3,0)</f>
        <v>4382</v>
      </c>
    </row>
    <row r="187" spans="1:4">
      <c r="A187" s="7" t="s">
        <v>395</v>
      </c>
      <c r="B187" s="2">
        <v>1700046</v>
      </c>
      <c r="C187" s="2" t="s">
        <v>311</v>
      </c>
      <c r="D187" s="3">
        <f>VLOOKUP(B187,Sheet2!$A:$O,3,0)</f>
        <v>6176</v>
      </c>
    </row>
    <row r="188" spans="1:4">
      <c r="A188" s="7" t="s">
        <v>395</v>
      </c>
      <c r="B188" s="2">
        <v>1700047</v>
      </c>
      <c r="C188" s="2" t="s">
        <v>312</v>
      </c>
      <c r="D188" s="3">
        <f>VLOOKUP(B188,Sheet2!$A:$O,3,0)</f>
        <v>25000</v>
      </c>
    </row>
    <row r="189" spans="1:4">
      <c r="A189" s="7" t="s">
        <v>395</v>
      </c>
      <c r="B189" s="2">
        <v>1700048</v>
      </c>
      <c r="C189" s="2" t="s">
        <v>313</v>
      </c>
      <c r="D189" s="3">
        <f>VLOOKUP(B189,Sheet2!$A:$O,3,0)</f>
        <v>13330</v>
      </c>
    </row>
    <row r="190" spans="1:4">
      <c r="A190" s="7" t="s">
        <v>395</v>
      </c>
      <c r="B190" s="2">
        <v>1700049</v>
      </c>
      <c r="C190" s="2" t="s">
        <v>314</v>
      </c>
      <c r="D190" s="3">
        <f>VLOOKUP(B190,Sheet2!$A:$O,3,0)</f>
        <v>5785</v>
      </c>
    </row>
    <row r="191" spans="1:4">
      <c r="A191" s="7" t="s">
        <v>395</v>
      </c>
      <c r="B191" s="2">
        <v>1700050</v>
      </c>
      <c r="C191" s="2" t="s">
        <v>315</v>
      </c>
      <c r="D191" s="3">
        <f>VLOOKUP(B191,Sheet2!$A:$O,3,0)</f>
        <v>39000</v>
      </c>
    </row>
    <row r="192" spans="1:4">
      <c r="A192" s="7" t="s">
        <v>395</v>
      </c>
      <c r="B192" s="2">
        <v>1700051</v>
      </c>
      <c r="C192" s="2" t="s">
        <v>316</v>
      </c>
      <c r="D192" s="3">
        <f>VLOOKUP(B192,Sheet2!$A:$O,3,0)</f>
        <v>11500</v>
      </c>
    </row>
    <row r="193" spans="1:4">
      <c r="A193" s="7" t="s">
        <v>395</v>
      </c>
      <c r="B193" s="2">
        <v>1700052</v>
      </c>
      <c r="C193" s="2" t="s">
        <v>317</v>
      </c>
      <c r="D193" s="3">
        <f>VLOOKUP(B193,Sheet2!$A:$O,3,0)</f>
        <v>3444</v>
      </c>
    </row>
    <row r="194" spans="1:4">
      <c r="A194" s="7" t="s">
        <v>395</v>
      </c>
      <c r="B194" s="2">
        <v>1700053</v>
      </c>
      <c r="C194" s="2" t="s">
        <v>318</v>
      </c>
      <c r="D194" s="3">
        <f>VLOOKUP(B194,Sheet2!$A:$O,3,0)</f>
        <v>15530</v>
      </c>
    </row>
    <row r="195" spans="1:4">
      <c r="A195" s="7" t="s">
        <v>395</v>
      </c>
      <c r="B195" s="2">
        <v>1700054</v>
      </c>
      <c r="C195" s="2" t="s">
        <v>319</v>
      </c>
      <c r="D195" s="3">
        <f>VLOOKUP(B195,Sheet2!$A:$O,3,0)</f>
        <v>11670</v>
      </c>
    </row>
    <row r="196" spans="1:4">
      <c r="A196" s="7" t="s">
        <v>395</v>
      </c>
      <c r="B196" s="2">
        <v>1700055</v>
      </c>
      <c r="C196" s="2" t="s">
        <v>320</v>
      </c>
      <c r="D196" s="3">
        <f>VLOOKUP(B196,Sheet2!$A:$O,3,0)</f>
        <v>11940</v>
      </c>
    </row>
    <row r="197" spans="1:4">
      <c r="A197" s="7" t="s">
        <v>395</v>
      </c>
      <c r="B197" s="2">
        <v>1700056</v>
      </c>
      <c r="C197" s="2" t="s">
        <v>321</v>
      </c>
      <c r="D197" s="3">
        <f>VLOOKUP(B197,Sheet2!$A:$O,3,0)</f>
        <v>6123</v>
      </c>
    </row>
    <row r="198" spans="1:4">
      <c r="A198" s="7" t="s">
        <v>395</v>
      </c>
      <c r="B198" s="2">
        <v>1700057</v>
      </c>
      <c r="C198" s="2" t="s">
        <v>322</v>
      </c>
      <c r="D198" s="3">
        <f>VLOOKUP(B198,Sheet2!$A:$O,3,0)</f>
        <v>2098</v>
      </c>
    </row>
    <row r="199" spans="1:4">
      <c r="A199" s="7" t="s">
        <v>395</v>
      </c>
      <c r="B199" s="2">
        <v>1700058</v>
      </c>
      <c r="C199" s="2" t="s">
        <v>323</v>
      </c>
      <c r="D199" s="3">
        <f>VLOOKUP(B199,Sheet2!$A:$O,3,0)</f>
        <v>5800</v>
      </c>
    </row>
    <row r="200" spans="1:4">
      <c r="A200" s="7" t="s">
        <v>395</v>
      </c>
      <c r="B200" s="2">
        <v>1700059</v>
      </c>
      <c r="C200" s="2" t="s">
        <v>324</v>
      </c>
      <c r="D200" s="3">
        <f>VLOOKUP(B200,Sheet2!$A:$O,3,0)</f>
        <v>27667</v>
      </c>
    </row>
    <row r="201" spans="1:4">
      <c r="A201" s="7" t="s">
        <v>395</v>
      </c>
      <c r="B201" s="2">
        <v>1700060</v>
      </c>
      <c r="C201" s="2" t="s">
        <v>325</v>
      </c>
      <c r="D201" s="3">
        <f>VLOOKUP(B201,Sheet2!$A:$O,3,0)</f>
        <v>8245</v>
      </c>
    </row>
    <row r="202" spans="1:4">
      <c r="A202" s="7" t="s">
        <v>395</v>
      </c>
      <c r="B202" s="2">
        <v>1700061</v>
      </c>
      <c r="C202" s="2" t="s">
        <v>326</v>
      </c>
      <c r="D202" s="3">
        <f>VLOOKUP(B202,Sheet2!$A:$O,3,0)</f>
        <v>8920</v>
      </c>
    </row>
    <row r="203" spans="1:4">
      <c r="A203" s="7" t="s">
        <v>395</v>
      </c>
      <c r="B203" s="2">
        <v>1700062</v>
      </c>
      <c r="C203" s="2" t="s">
        <v>327</v>
      </c>
      <c r="D203" s="3">
        <f>VLOOKUP(B203,Sheet2!$A:$O,3,0)</f>
        <v>10520</v>
      </c>
    </row>
    <row r="204" spans="1:4">
      <c r="A204" s="7" t="s">
        <v>395</v>
      </c>
      <c r="B204" s="2">
        <v>1700063</v>
      </c>
      <c r="C204" s="2" t="s">
        <v>328</v>
      </c>
      <c r="D204" s="3">
        <f>VLOOKUP(B204,Sheet2!$A:$O,3,0)</f>
        <v>10550</v>
      </c>
    </row>
    <row r="205" spans="1:4">
      <c r="A205" s="7" t="s">
        <v>395</v>
      </c>
      <c r="B205" s="2">
        <v>1700064</v>
      </c>
      <c r="C205" s="2" t="s">
        <v>329</v>
      </c>
      <c r="D205" s="3">
        <f>VLOOKUP(B205,Sheet2!$A:$O,3,0)</f>
        <v>11060</v>
      </c>
    </row>
    <row r="206" spans="1:4">
      <c r="A206" s="7" t="s">
        <v>395</v>
      </c>
      <c r="B206" s="2">
        <v>1700065</v>
      </c>
      <c r="C206" s="2" t="s">
        <v>330</v>
      </c>
      <c r="D206" s="3">
        <f>VLOOKUP(B206,Sheet2!$A:$O,3,0)</f>
        <v>12760</v>
      </c>
    </row>
    <row r="207" spans="1:4">
      <c r="A207" s="7" t="s">
        <v>395</v>
      </c>
      <c r="B207" s="2">
        <v>1700066</v>
      </c>
      <c r="C207" s="2" t="s">
        <v>331</v>
      </c>
      <c r="D207" s="3">
        <f>VLOOKUP(B207,Sheet2!$A:$O,3,0)</f>
        <v>13200</v>
      </c>
    </row>
    <row r="208" spans="1:4">
      <c r="A208" s="7" t="s">
        <v>395</v>
      </c>
      <c r="B208" s="2">
        <v>1700067</v>
      </c>
      <c r="C208" s="2" t="s">
        <v>332</v>
      </c>
      <c r="D208" s="3">
        <f>VLOOKUP(B208,Sheet2!$A:$O,3,0)</f>
        <v>10720</v>
      </c>
    </row>
    <row r="209" spans="1:4">
      <c r="A209" s="7" t="s">
        <v>395</v>
      </c>
      <c r="B209" s="2">
        <v>1700068</v>
      </c>
      <c r="C209" s="2" t="s">
        <v>333</v>
      </c>
      <c r="D209" s="3">
        <f>VLOOKUP(B209,Sheet2!$A:$O,3,0)</f>
        <v>12720</v>
      </c>
    </row>
    <row r="210" spans="1:4">
      <c r="A210" s="7" t="s">
        <v>395</v>
      </c>
      <c r="B210" s="2">
        <v>1700069</v>
      </c>
      <c r="C210" s="2" t="s">
        <v>334</v>
      </c>
      <c r="D210" s="3">
        <f>VLOOKUP(B210,Sheet2!$A:$O,3,0)</f>
        <v>14000</v>
      </c>
    </row>
    <row r="211" spans="1:4">
      <c r="A211" s="7" t="s">
        <v>395</v>
      </c>
      <c r="B211" s="2">
        <v>1700070</v>
      </c>
      <c r="C211" s="2" t="s">
        <v>335</v>
      </c>
      <c r="D211" s="3">
        <f>VLOOKUP(B211,Sheet2!$A:$O,3,0)</f>
        <v>1618</v>
      </c>
    </row>
    <row r="212" spans="1:4">
      <c r="A212" s="7" t="s">
        <v>395</v>
      </c>
      <c r="B212" s="2">
        <v>1700071</v>
      </c>
      <c r="C212" s="2" t="s">
        <v>336</v>
      </c>
      <c r="D212" s="3">
        <f>VLOOKUP(B212,Sheet2!$A:$O,3,0)</f>
        <v>12190</v>
      </c>
    </row>
    <row r="213" spans="1:4">
      <c r="A213" s="7" t="s">
        <v>395</v>
      </c>
      <c r="B213" s="2">
        <v>1700072</v>
      </c>
      <c r="C213" s="2" t="s">
        <v>337</v>
      </c>
      <c r="D213" s="3">
        <f>VLOOKUP(B213,Sheet2!$A:$O,3,0)</f>
        <v>10180</v>
      </c>
    </row>
    <row r="214" spans="1:4">
      <c r="A214" s="7" t="s">
        <v>395</v>
      </c>
      <c r="B214" s="2">
        <v>1700073</v>
      </c>
      <c r="C214" s="2" t="s">
        <v>338</v>
      </c>
      <c r="D214" s="3">
        <f>VLOOKUP(B214,Sheet2!$A:$O,3,0)</f>
        <v>9020</v>
      </c>
    </row>
    <row r="215" spans="1:4">
      <c r="A215" s="7" t="s">
        <v>395</v>
      </c>
      <c r="B215" s="2">
        <v>1700076</v>
      </c>
      <c r="C215" s="2" t="s">
        <v>339</v>
      </c>
      <c r="D215" s="3">
        <f>VLOOKUP(B215,Sheet2!$A:$O,3,0)</f>
        <v>2907</v>
      </c>
    </row>
    <row r="216" spans="1:4">
      <c r="A216" s="7" t="s">
        <v>395</v>
      </c>
      <c r="B216" s="2">
        <v>1700077</v>
      </c>
      <c r="C216" s="2" t="s">
        <v>340</v>
      </c>
      <c r="D216" s="3">
        <f>VLOOKUP(B216,Sheet2!$A:$O,3,0)</f>
        <v>2708</v>
      </c>
    </row>
    <row r="217" spans="1:4">
      <c r="A217" s="7" t="s">
        <v>395</v>
      </c>
      <c r="B217" s="2">
        <v>1700078</v>
      </c>
      <c r="C217" s="2" t="s">
        <v>341</v>
      </c>
      <c r="D217" s="3">
        <f>VLOOKUP(B217,Sheet2!$A:$O,3,0)</f>
        <v>4735</v>
      </c>
    </row>
    <row r="218" spans="1:4">
      <c r="A218" s="7" t="s">
        <v>395</v>
      </c>
      <c r="B218" s="2">
        <v>1700080</v>
      </c>
      <c r="C218" s="2" t="s">
        <v>342</v>
      </c>
      <c r="D218" s="3">
        <f>VLOOKUP(B218,Sheet2!$A:$O,3,0)</f>
        <v>3529</v>
      </c>
    </row>
    <row r="219" spans="1:4">
      <c r="A219" s="7" t="s">
        <v>395</v>
      </c>
      <c r="B219" s="2">
        <v>1700083</v>
      </c>
      <c r="C219" s="2" t="s">
        <v>343</v>
      </c>
      <c r="D219" s="3">
        <f>VLOOKUP(B219,Sheet2!$A:$O,3,0)</f>
        <v>4435</v>
      </c>
    </row>
    <row r="220" spans="1:4">
      <c r="A220" s="7" t="s">
        <v>395</v>
      </c>
      <c r="B220" s="2">
        <v>1700084</v>
      </c>
      <c r="C220" s="2" t="s">
        <v>344</v>
      </c>
      <c r="D220" s="3">
        <f>VLOOKUP(B220,Sheet2!$A:$O,3,0)</f>
        <v>11092</v>
      </c>
    </row>
    <row r="221" spans="1:4">
      <c r="A221" s="7" t="s">
        <v>395</v>
      </c>
      <c r="B221" s="2">
        <v>1700085</v>
      </c>
      <c r="C221" s="2" t="s">
        <v>345</v>
      </c>
      <c r="D221" s="3">
        <f>VLOOKUP(B221,Sheet2!$A:$O,3,0)</f>
        <v>8460</v>
      </c>
    </row>
    <row r="222" spans="1:4">
      <c r="A222" s="7" t="s">
        <v>395</v>
      </c>
      <c r="B222" s="2">
        <v>1700086</v>
      </c>
      <c r="C222" s="2" t="s">
        <v>346</v>
      </c>
      <c r="D222" s="3">
        <f>VLOOKUP(B222,Sheet2!$A:$O,3,0)</f>
        <v>2657</v>
      </c>
    </row>
    <row r="223" spans="1:4">
      <c r="A223" s="7" t="s">
        <v>395</v>
      </c>
      <c r="B223" s="2">
        <v>1700087</v>
      </c>
      <c r="C223" s="2" t="s">
        <v>347</v>
      </c>
      <c r="D223" s="3">
        <f>VLOOKUP(B223,Sheet2!$A:$O,3,0)</f>
        <v>4660</v>
      </c>
    </row>
    <row r="224" spans="1:4">
      <c r="A224" s="7" t="s">
        <v>395</v>
      </c>
      <c r="B224" s="2">
        <v>1700088</v>
      </c>
      <c r="C224" s="2" t="s">
        <v>348</v>
      </c>
      <c r="D224" s="3">
        <f>VLOOKUP(B224,Sheet2!$A:$O,3,0)</f>
        <v>15500</v>
      </c>
    </row>
    <row r="225" spans="1:4">
      <c r="A225" s="7" t="s">
        <v>395</v>
      </c>
      <c r="B225" s="2">
        <v>1700089</v>
      </c>
      <c r="C225" s="2" t="s">
        <v>349</v>
      </c>
      <c r="D225" s="3">
        <f>VLOOKUP(B225,Sheet2!$A:$O,3,0)</f>
        <v>18500</v>
      </c>
    </row>
    <row r="226" spans="1:4">
      <c r="A226" s="7" t="s">
        <v>395</v>
      </c>
      <c r="B226" s="2">
        <v>1700090</v>
      </c>
      <c r="C226" s="2" t="s">
        <v>350</v>
      </c>
      <c r="D226" s="3">
        <f>VLOOKUP(B226,Sheet2!$A:$O,3,0)</f>
        <v>28088</v>
      </c>
    </row>
    <row r="227" spans="1:4">
      <c r="A227" s="7" t="s">
        <v>395</v>
      </c>
      <c r="B227" s="2">
        <v>1700091</v>
      </c>
      <c r="C227" s="2" t="s">
        <v>351</v>
      </c>
      <c r="D227" s="3">
        <f>VLOOKUP(B227,Sheet2!$A:$O,3,0)</f>
        <v>16745</v>
      </c>
    </row>
    <row r="228" spans="1:4">
      <c r="A228" s="7" t="s">
        <v>395</v>
      </c>
      <c r="B228" s="2">
        <v>1700092</v>
      </c>
      <c r="C228" s="2" t="s">
        <v>352</v>
      </c>
      <c r="D228" s="3">
        <f>VLOOKUP(B228,Sheet2!$A:$O,3,0)</f>
        <v>2343</v>
      </c>
    </row>
    <row r="229" spans="1:4">
      <c r="A229" s="7" t="s">
        <v>395</v>
      </c>
      <c r="B229" s="2">
        <v>1700093</v>
      </c>
      <c r="C229" s="2" t="s">
        <v>353</v>
      </c>
      <c r="D229" s="3">
        <f>VLOOKUP(B229,Sheet2!$A:$O,3,0)</f>
        <v>21470</v>
      </c>
    </row>
    <row r="230" spans="1:4">
      <c r="A230" s="7" t="s">
        <v>395</v>
      </c>
      <c r="B230" s="2">
        <v>1700094</v>
      </c>
      <c r="C230" s="2" t="s">
        <v>354</v>
      </c>
      <c r="D230" s="3">
        <f>VLOOKUP(B230,Sheet2!$A:$O,3,0)</f>
        <v>13529</v>
      </c>
    </row>
    <row r="231" spans="1:4">
      <c r="A231" s="7" t="s">
        <v>395</v>
      </c>
      <c r="B231" s="2">
        <v>1700095</v>
      </c>
      <c r="C231" s="2" t="s">
        <v>355</v>
      </c>
      <c r="D231" s="3">
        <f>VLOOKUP(B231,Sheet2!$A:$O,3,0)</f>
        <v>4500</v>
      </c>
    </row>
    <row r="232" spans="1:4">
      <c r="A232" s="7" t="s">
        <v>395</v>
      </c>
      <c r="B232" s="2">
        <v>1700096</v>
      </c>
      <c r="C232" s="2" t="s">
        <v>356</v>
      </c>
      <c r="D232" s="3">
        <f>VLOOKUP(B232,Sheet2!$A:$O,3,0)</f>
        <v>24510</v>
      </c>
    </row>
    <row r="233" spans="1:4">
      <c r="A233" s="7" t="s">
        <v>395</v>
      </c>
      <c r="B233" s="2">
        <v>1700097</v>
      </c>
      <c r="C233" s="2" t="s">
        <v>357</v>
      </c>
      <c r="D233" s="3">
        <f>VLOOKUP(B233,Sheet2!$A:$O,3,0)</f>
        <v>19608</v>
      </c>
    </row>
    <row r="234" spans="1:4">
      <c r="A234" s="7" t="s">
        <v>395</v>
      </c>
      <c r="B234" s="2">
        <v>1700098</v>
      </c>
      <c r="C234" s="2" t="s">
        <v>358</v>
      </c>
      <c r="D234" s="3">
        <f>VLOOKUP(B234,Sheet2!$A:$O,3,0)</f>
        <v>19608</v>
      </c>
    </row>
    <row r="235" spans="1:4">
      <c r="A235" s="7" t="s">
        <v>395</v>
      </c>
      <c r="B235" s="2">
        <v>1700099</v>
      </c>
      <c r="C235" s="2" t="s">
        <v>359</v>
      </c>
      <c r="D235" s="3">
        <f>VLOOKUP(B235,Sheet2!$A:$O,3,0)</f>
        <v>9000</v>
      </c>
    </row>
    <row r="236" spans="1:4">
      <c r="A236" s="7" t="s">
        <v>395</v>
      </c>
      <c r="B236" s="2">
        <v>1700100</v>
      </c>
      <c r="C236" s="2" t="s">
        <v>360</v>
      </c>
      <c r="D236" s="3">
        <f>VLOOKUP(B236,Sheet2!$A:$O,3,0)</f>
        <v>2280</v>
      </c>
    </row>
    <row r="237" spans="1:4">
      <c r="A237" s="7" t="s">
        <v>395</v>
      </c>
      <c r="B237" s="2">
        <v>1700101</v>
      </c>
      <c r="C237" s="2" t="s">
        <v>361</v>
      </c>
      <c r="D237" s="3">
        <f>VLOOKUP(B237,Sheet2!$A:$O,3,0)</f>
        <v>7451</v>
      </c>
    </row>
    <row r="238" spans="1:4">
      <c r="A238" s="7" t="s">
        <v>395</v>
      </c>
      <c r="B238" s="2">
        <v>1700102</v>
      </c>
      <c r="C238" s="2" t="s">
        <v>362</v>
      </c>
      <c r="D238" s="3">
        <f>VLOOKUP(B238,Sheet2!$A:$O,3,0)</f>
        <v>40197</v>
      </c>
    </row>
    <row r="239" spans="1:4">
      <c r="A239" s="7" t="s">
        <v>395</v>
      </c>
      <c r="B239" s="2">
        <v>1700103</v>
      </c>
      <c r="C239" s="2" t="s">
        <v>363</v>
      </c>
      <c r="D239" s="3">
        <f>VLOOKUP(B239,Sheet2!$A:$O,3,0)</f>
        <v>9000</v>
      </c>
    </row>
    <row r="240" spans="1:4">
      <c r="A240" s="7" t="s">
        <v>395</v>
      </c>
      <c r="B240" s="2">
        <v>1700104</v>
      </c>
      <c r="C240" s="2" t="s">
        <v>364</v>
      </c>
      <c r="D240" s="3">
        <f>VLOOKUP(B240,Sheet2!$A:$O,3,0)</f>
        <v>36380</v>
      </c>
    </row>
    <row r="241" spans="1:4">
      <c r="A241" s="7" t="s">
        <v>395</v>
      </c>
      <c r="B241" s="2">
        <v>1700105</v>
      </c>
      <c r="C241" s="2" t="s">
        <v>365</v>
      </c>
      <c r="D241" s="3">
        <f>VLOOKUP(B241,Sheet2!$A:$O,3,0)</f>
        <v>10588</v>
      </c>
    </row>
    <row r="242" spans="1:4">
      <c r="A242" s="7" t="s">
        <v>395</v>
      </c>
      <c r="B242" s="2">
        <v>1700106</v>
      </c>
      <c r="C242" s="2" t="s">
        <v>366</v>
      </c>
      <c r="D242" s="3">
        <f>VLOOKUP(B242,Sheet2!$A:$O,3,0)</f>
        <v>14020</v>
      </c>
    </row>
    <row r="243" spans="1:4">
      <c r="A243" s="7" t="s">
        <v>395</v>
      </c>
      <c r="B243" s="2">
        <v>1700107</v>
      </c>
      <c r="C243" s="2" t="s">
        <v>367</v>
      </c>
      <c r="D243" s="3">
        <f>VLOOKUP(B243,Sheet2!$A:$O,3,0)</f>
        <v>9020</v>
      </c>
    </row>
    <row r="244" spans="1:4">
      <c r="A244" s="7" t="s">
        <v>395</v>
      </c>
      <c r="B244" s="2">
        <v>1800002</v>
      </c>
      <c r="C244" s="2" t="s">
        <v>368</v>
      </c>
      <c r="D244" s="3">
        <f>VLOOKUP(B244,Sheet2!$A:$O,3,0)</f>
        <v>9520</v>
      </c>
    </row>
    <row r="245" spans="1:4">
      <c r="A245" s="7" t="s">
        <v>395</v>
      </c>
      <c r="B245" s="2">
        <v>1800004</v>
      </c>
      <c r="C245" s="2" t="s">
        <v>369</v>
      </c>
      <c r="D245" s="3">
        <f>VLOOKUP(B245,Sheet2!$A:$O,3,0)</f>
        <v>0</v>
      </c>
    </row>
    <row r="246" spans="1:4">
      <c r="A246" s="7" t="s">
        <v>395</v>
      </c>
      <c r="B246" s="2">
        <v>1800005</v>
      </c>
      <c r="C246" s="2" t="s">
        <v>370</v>
      </c>
      <c r="D246" s="3">
        <f>VLOOKUP(B246,Sheet2!$A:$O,3,0)</f>
        <v>0</v>
      </c>
    </row>
    <row r="247" spans="1:4">
      <c r="A247" s="7" t="s">
        <v>395</v>
      </c>
      <c r="B247" s="2">
        <v>1800006</v>
      </c>
      <c r="C247" s="2" t="s">
        <v>371</v>
      </c>
      <c r="D247" s="3">
        <f>VLOOKUP(B247,Sheet2!$A:$O,3,0)</f>
        <v>0</v>
      </c>
    </row>
    <row r="248" spans="1:4">
      <c r="A248" s="7" t="s">
        <v>395</v>
      </c>
      <c r="B248" s="2">
        <v>1800007</v>
      </c>
      <c r="C248" s="2" t="s">
        <v>372</v>
      </c>
      <c r="D248" s="3">
        <f>VLOOKUP(B248,Sheet2!$A:$O,3,0)</f>
        <v>10000</v>
      </c>
    </row>
    <row r="249" spans="1:4">
      <c r="A249" s="7" t="s">
        <v>395</v>
      </c>
      <c r="B249" s="2">
        <v>1800008</v>
      </c>
      <c r="C249" s="2" t="s">
        <v>373</v>
      </c>
      <c r="D249" s="3">
        <f>VLOOKUP(B249,Sheet2!$A:$O,3,0)</f>
        <v>10110</v>
      </c>
    </row>
    <row r="250" spans="1:4">
      <c r="A250" s="7" t="s">
        <v>395</v>
      </c>
      <c r="B250" s="2">
        <v>1800009</v>
      </c>
      <c r="C250" s="2" t="s">
        <v>374</v>
      </c>
      <c r="D250" s="3">
        <f>VLOOKUP(B250,Sheet2!$A:$O,3,0)</f>
        <v>11800</v>
      </c>
    </row>
    <row r="251" spans="1:4">
      <c r="A251" s="7" t="s">
        <v>395</v>
      </c>
      <c r="B251" s="2">
        <v>1800010</v>
      </c>
      <c r="C251" s="2" t="s">
        <v>375</v>
      </c>
      <c r="D251" s="3">
        <f>VLOOKUP(B251,Sheet2!$A:$O,3,0)</f>
        <v>5784</v>
      </c>
    </row>
    <row r="252" spans="1:4">
      <c r="A252" s="7" t="s">
        <v>395</v>
      </c>
      <c r="B252" s="2">
        <v>1800011</v>
      </c>
      <c r="C252" s="2" t="s">
        <v>376</v>
      </c>
      <c r="D252" s="3">
        <f>VLOOKUP(B252,Sheet2!$A:$O,3,0)</f>
        <v>9363</v>
      </c>
    </row>
    <row r="253" spans="1:4">
      <c r="A253" s="7" t="s">
        <v>395</v>
      </c>
      <c r="B253" s="2">
        <v>1800012</v>
      </c>
      <c r="C253" s="2" t="s">
        <v>377</v>
      </c>
      <c r="D253" s="3">
        <f>VLOOKUP(B253,Sheet2!$A:$O,3,0)</f>
        <v>5725</v>
      </c>
    </row>
    <row r="254" spans="1:4">
      <c r="A254" s="7" t="s">
        <v>395</v>
      </c>
      <c r="B254" s="2">
        <v>1800013</v>
      </c>
      <c r="C254" s="2" t="s">
        <v>378</v>
      </c>
      <c r="D254" s="3">
        <f>VLOOKUP(B254,Sheet2!$A:$O,3,0)</f>
        <v>49100</v>
      </c>
    </row>
    <row r="255" spans="1:4">
      <c r="A255" s="7" t="s">
        <v>395</v>
      </c>
      <c r="B255" s="2">
        <v>1800014</v>
      </c>
      <c r="C255" s="2" t="s">
        <v>379</v>
      </c>
      <c r="D255" s="3">
        <f>VLOOKUP(B255,Sheet2!$A:$O,3,0)</f>
        <v>70000</v>
      </c>
    </row>
    <row r="256" spans="1:4">
      <c r="A256" s="7" t="s">
        <v>395</v>
      </c>
      <c r="B256" s="2">
        <v>1800015</v>
      </c>
      <c r="C256" s="2" t="s">
        <v>380</v>
      </c>
      <c r="D256" s="3">
        <f>VLOOKUP(B256,Sheet2!$A:$O,3,0)</f>
        <v>66700</v>
      </c>
    </row>
    <row r="257" spans="1:4">
      <c r="A257" s="7" t="s">
        <v>395</v>
      </c>
      <c r="B257" s="2">
        <v>1900013</v>
      </c>
      <c r="C257" s="2" t="s">
        <v>381</v>
      </c>
      <c r="D257" s="3">
        <f>VLOOKUP(B257,Sheet2!$A:$O,3,0)</f>
        <v>0</v>
      </c>
    </row>
    <row r="258" spans="1:4">
      <c r="A258" s="7" t="s">
        <v>395</v>
      </c>
      <c r="B258" s="2">
        <v>1900018</v>
      </c>
      <c r="C258" s="2" t="s">
        <v>382</v>
      </c>
      <c r="D258" s="3">
        <f>VLOOKUP(B258,Sheet2!$A:$O,3,0)</f>
        <v>0</v>
      </c>
    </row>
    <row r="259" spans="1:4">
      <c r="A259" s="7" t="s">
        <v>397</v>
      </c>
      <c r="B259" s="2">
        <v>1010101</v>
      </c>
      <c r="C259" s="2" t="s">
        <v>5</v>
      </c>
      <c r="D259" s="3">
        <f>VLOOKUP(B259,Sheet2!$A:$O,4,0)</f>
        <v>698</v>
      </c>
    </row>
    <row r="260" spans="1:4">
      <c r="A260" s="7" t="s">
        <v>397</v>
      </c>
      <c r="B260" s="2">
        <v>1010111</v>
      </c>
      <c r="C260" s="2" t="s">
        <v>9</v>
      </c>
      <c r="D260" s="3">
        <f>VLOOKUP(B260,Sheet2!$A:$O,4,0)</f>
        <v>18300</v>
      </c>
    </row>
    <row r="261" spans="1:4">
      <c r="A261" s="7" t="s">
        <v>397</v>
      </c>
      <c r="B261" s="2">
        <v>1010201</v>
      </c>
      <c r="C261" s="2" t="s">
        <v>11</v>
      </c>
      <c r="D261" s="3">
        <f>VLOOKUP(B261,Sheet2!$A:$O,4,0)</f>
        <v>882</v>
      </c>
    </row>
    <row r="262" spans="1:4">
      <c r="A262" s="7" t="s">
        <v>397</v>
      </c>
      <c r="B262" s="2">
        <v>1010300</v>
      </c>
      <c r="C262" s="2" t="s">
        <v>213</v>
      </c>
      <c r="D262" s="3">
        <f>VLOOKUP(B262,Sheet2!$A:$O,4,0)</f>
        <v>5490</v>
      </c>
    </row>
    <row r="263" spans="1:4">
      <c r="A263" s="7" t="s">
        <v>397</v>
      </c>
      <c r="B263" s="2">
        <v>1010301</v>
      </c>
      <c r="C263" s="2" t="s">
        <v>214</v>
      </c>
      <c r="D263" s="3">
        <f>VLOOKUP(B263,Sheet2!$A:$O,4,0)</f>
        <v>5882</v>
      </c>
    </row>
    <row r="264" spans="1:4">
      <c r="A264" s="7" t="s">
        <v>397</v>
      </c>
      <c r="B264" s="2">
        <v>1010302</v>
      </c>
      <c r="C264" s="2" t="s">
        <v>16</v>
      </c>
      <c r="D264" s="3">
        <f>VLOOKUP(B264,Sheet2!$A:$O,4,0)</f>
        <v>4216</v>
      </c>
    </row>
    <row r="265" spans="1:4">
      <c r="A265" s="7" t="s">
        <v>397</v>
      </c>
      <c r="B265" s="2">
        <v>1010303</v>
      </c>
      <c r="C265" s="2" t="s">
        <v>18</v>
      </c>
      <c r="D265" s="3">
        <f>VLOOKUP(B265,Sheet2!$A:$O,4,0)</f>
        <v>882</v>
      </c>
    </row>
    <row r="266" spans="1:4">
      <c r="A266" s="7" t="s">
        <v>397</v>
      </c>
      <c r="B266" s="2">
        <v>1010304</v>
      </c>
      <c r="C266" s="2" t="s">
        <v>215</v>
      </c>
      <c r="D266" s="3">
        <f>VLOOKUP(B266,Sheet2!$A:$O,4,0)</f>
        <v>1226</v>
      </c>
    </row>
    <row r="267" spans="1:4">
      <c r="A267" s="7" t="s">
        <v>397</v>
      </c>
      <c r="B267" s="2">
        <v>1010401</v>
      </c>
      <c r="C267" s="2" t="s">
        <v>20</v>
      </c>
      <c r="D267" s="3">
        <f>VLOOKUP(B267,Sheet2!$A:$O,4,0)</f>
        <v>3627</v>
      </c>
    </row>
    <row r="268" spans="1:4">
      <c r="A268" s="7" t="s">
        <v>397</v>
      </c>
      <c r="B268" s="2">
        <v>1010405</v>
      </c>
      <c r="C268" s="2" t="s">
        <v>22</v>
      </c>
      <c r="D268" s="3">
        <f>VLOOKUP(B268,Sheet2!$A:$O,4,0)</f>
        <v>9975</v>
      </c>
    </row>
    <row r="269" spans="1:4">
      <c r="A269" s="7" t="s">
        <v>397</v>
      </c>
      <c r="B269" s="2">
        <v>1010501</v>
      </c>
      <c r="C269" s="2" t="s">
        <v>24</v>
      </c>
      <c r="D269" s="3">
        <f>VLOOKUP(B269,Sheet2!$A:$O,4,0)</f>
        <v>980</v>
      </c>
    </row>
    <row r="270" spans="1:4">
      <c r="A270" s="7" t="s">
        <v>397</v>
      </c>
      <c r="B270" s="2">
        <v>1010502</v>
      </c>
      <c r="C270" s="2" t="s">
        <v>216</v>
      </c>
      <c r="D270" s="3">
        <f>VLOOKUP(B270,Sheet2!$A:$O,4,0)</f>
        <v>0</v>
      </c>
    </row>
    <row r="271" spans="1:4">
      <c r="A271" s="7" t="s">
        <v>397</v>
      </c>
      <c r="B271" s="2">
        <v>1010601</v>
      </c>
      <c r="C271" s="2" t="s">
        <v>26</v>
      </c>
      <c r="D271" s="3">
        <f>VLOOKUP(B271,Sheet2!$A:$O,4,0)</f>
        <v>0</v>
      </c>
    </row>
    <row r="272" spans="1:4">
      <c r="A272" s="7" t="s">
        <v>397</v>
      </c>
      <c r="B272" s="2">
        <v>1010701</v>
      </c>
      <c r="C272" s="2" t="s">
        <v>28</v>
      </c>
      <c r="D272" s="3">
        <f>VLOOKUP(B272,Sheet2!$A:$O,4,0)</f>
        <v>686</v>
      </c>
    </row>
    <row r="273" spans="1:4">
      <c r="A273" s="7" t="s">
        <v>397</v>
      </c>
      <c r="B273" s="2">
        <v>1010801</v>
      </c>
      <c r="C273" s="2" t="s">
        <v>30</v>
      </c>
      <c r="D273" s="3">
        <f>VLOOKUP(B273,Sheet2!$A:$O,4,0)</f>
        <v>7157</v>
      </c>
    </row>
    <row r="274" spans="1:4">
      <c r="A274" s="7" t="s">
        <v>397</v>
      </c>
      <c r="B274" s="2">
        <v>1010901</v>
      </c>
      <c r="C274" s="2" t="s">
        <v>32</v>
      </c>
      <c r="D274" s="3">
        <f>VLOOKUP(B274,Sheet2!$A:$O,4,0)</f>
        <v>4804</v>
      </c>
    </row>
    <row r="275" spans="1:4">
      <c r="A275" s="7" t="s">
        <v>397</v>
      </c>
      <c r="B275" s="2">
        <v>1020101</v>
      </c>
      <c r="C275" s="2" t="s">
        <v>34</v>
      </c>
      <c r="D275" s="3">
        <f>VLOOKUP(B275,Sheet2!$A:$O,4,0)</f>
        <v>15196</v>
      </c>
    </row>
    <row r="276" spans="1:4">
      <c r="A276" s="7" t="s">
        <v>397</v>
      </c>
      <c r="B276" s="2">
        <v>1020201</v>
      </c>
      <c r="C276" s="2" t="s">
        <v>217</v>
      </c>
      <c r="D276" s="3">
        <f>VLOOKUP(B276,Sheet2!$A:$O,4,0)</f>
        <v>5600</v>
      </c>
    </row>
    <row r="277" spans="1:4">
      <c r="A277" s="7" t="s">
        <v>397</v>
      </c>
      <c r="B277" s="2">
        <v>1020301</v>
      </c>
      <c r="C277" s="2" t="s">
        <v>38</v>
      </c>
      <c r="D277" s="3">
        <f>VLOOKUP(B277,Sheet2!$A:$O,4,0)</f>
        <v>2100</v>
      </c>
    </row>
    <row r="278" spans="1:4">
      <c r="A278" s="7" t="s">
        <v>397</v>
      </c>
      <c r="B278" s="2">
        <v>1020401</v>
      </c>
      <c r="C278" s="2" t="s">
        <v>40</v>
      </c>
      <c r="D278" s="3">
        <f>VLOOKUP(B278,Sheet2!$A:$O,4,0)</f>
        <v>3750</v>
      </c>
    </row>
    <row r="279" spans="1:4">
      <c r="A279" s="7" t="s">
        <v>397</v>
      </c>
      <c r="B279" s="2">
        <v>1030102</v>
      </c>
      <c r="C279" s="2" t="s">
        <v>218</v>
      </c>
      <c r="D279" s="3">
        <f>VLOOKUP(B279,Sheet2!$A:$O,4,0)</f>
        <v>0</v>
      </c>
    </row>
    <row r="280" spans="1:4">
      <c r="A280" s="7" t="s">
        <v>397</v>
      </c>
      <c r="B280" s="2">
        <v>1030201</v>
      </c>
      <c r="C280" s="2" t="s">
        <v>42</v>
      </c>
      <c r="D280" s="3">
        <f>VLOOKUP(B280,Sheet2!$A:$O,4,0)</f>
        <v>2255</v>
      </c>
    </row>
    <row r="281" spans="1:4">
      <c r="A281" s="7" t="s">
        <v>397</v>
      </c>
      <c r="B281" s="2">
        <v>1030203</v>
      </c>
      <c r="C281" s="2" t="s">
        <v>219</v>
      </c>
      <c r="D281" s="3">
        <f>VLOOKUP(B281,Sheet2!$A:$O,4,0)</f>
        <v>0</v>
      </c>
    </row>
    <row r="282" spans="1:4">
      <c r="A282" s="7" t="s">
        <v>397</v>
      </c>
      <c r="B282" s="2">
        <v>1030204</v>
      </c>
      <c r="C282" s="2" t="s">
        <v>220</v>
      </c>
      <c r="D282" s="3">
        <f>VLOOKUP(B282,Sheet2!$A:$O,4,0)</f>
        <v>0</v>
      </c>
    </row>
    <row r="283" spans="1:4">
      <c r="A283" s="7" t="s">
        <v>397</v>
      </c>
      <c r="B283" s="2">
        <v>1030205</v>
      </c>
      <c r="C283" s="2" t="s">
        <v>44</v>
      </c>
      <c r="D283" s="3">
        <f>VLOOKUP(B283,Sheet2!$A:$O,4,0)</f>
        <v>5000</v>
      </c>
    </row>
    <row r="284" spans="1:4">
      <c r="A284" s="7" t="s">
        <v>397</v>
      </c>
      <c r="B284" s="2">
        <v>1030206</v>
      </c>
      <c r="C284" s="2" t="s">
        <v>46</v>
      </c>
      <c r="D284" s="3">
        <f>VLOOKUP(B284,Sheet2!$A:$O,4,0)</f>
        <v>5400</v>
      </c>
    </row>
    <row r="285" spans="1:4">
      <c r="A285" s="7" t="s">
        <v>397</v>
      </c>
      <c r="B285" s="2">
        <v>1030207</v>
      </c>
      <c r="C285" s="2" t="s">
        <v>48</v>
      </c>
      <c r="D285" s="3">
        <f>VLOOKUP(B285,Sheet2!$A:$O,4,0)</f>
        <v>4400</v>
      </c>
    </row>
    <row r="286" spans="1:4">
      <c r="A286" s="7" t="s">
        <v>397</v>
      </c>
      <c r="B286" s="2">
        <v>1030501</v>
      </c>
      <c r="C286" s="2" t="s">
        <v>50</v>
      </c>
      <c r="D286" s="3">
        <f>VLOOKUP(B286,Sheet2!$A:$O,4,0)</f>
        <v>1078</v>
      </c>
    </row>
    <row r="287" spans="1:4">
      <c r="A287" s="7" t="s">
        <v>397</v>
      </c>
      <c r="B287" s="2">
        <v>1030601</v>
      </c>
      <c r="C287" s="2" t="s">
        <v>52</v>
      </c>
      <c r="D287" s="3">
        <f>VLOOKUP(B287,Sheet2!$A:$O,4,0)</f>
        <v>3000</v>
      </c>
    </row>
    <row r="288" spans="1:4">
      <c r="A288" s="7" t="s">
        <v>397</v>
      </c>
      <c r="B288" s="2">
        <v>1030701</v>
      </c>
      <c r="C288" s="2" t="s">
        <v>221</v>
      </c>
      <c r="D288" s="3">
        <f>VLOOKUP(B288,Sheet2!$A:$O,4,0)</f>
        <v>3000</v>
      </c>
    </row>
    <row r="289" spans="1:4">
      <c r="A289" s="7" t="s">
        <v>397</v>
      </c>
      <c r="B289" s="2">
        <v>1030705</v>
      </c>
      <c r="C289" s="2" t="s">
        <v>222</v>
      </c>
      <c r="D289" s="3">
        <f>VLOOKUP(B289,Sheet2!$A:$O,4,0)</f>
        <v>0</v>
      </c>
    </row>
    <row r="290" spans="1:4">
      <c r="A290" s="7" t="s">
        <v>397</v>
      </c>
      <c r="B290" s="2">
        <v>1030801</v>
      </c>
      <c r="C290" s="2" t="s">
        <v>54</v>
      </c>
      <c r="D290" s="3">
        <f>VLOOKUP(B290,Sheet2!$A:$O,4,0)</f>
        <v>1275</v>
      </c>
    </row>
    <row r="291" spans="1:4">
      <c r="A291" s="7" t="s">
        <v>397</v>
      </c>
      <c r="B291" s="2">
        <v>1030901</v>
      </c>
      <c r="C291" s="2" t="s">
        <v>223</v>
      </c>
      <c r="D291" s="3">
        <f>VLOOKUP(B291,Sheet2!$A:$O,4,0)</f>
        <v>0</v>
      </c>
    </row>
    <row r="292" spans="1:4">
      <c r="A292" s="7" t="s">
        <v>397</v>
      </c>
      <c r="B292" s="2">
        <v>1040201</v>
      </c>
      <c r="C292" s="2" t="s">
        <v>56</v>
      </c>
      <c r="D292" s="3">
        <f>VLOOKUP(B292,Sheet2!$A:$O,4,0)</f>
        <v>1472</v>
      </c>
    </row>
    <row r="293" spans="1:4">
      <c r="A293" s="7" t="s">
        <v>397</v>
      </c>
      <c r="B293" s="2">
        <v>1040202</v>
      </c>
      <c r="C293" s="2" t="s">
        <v>224</v>
      </c>
      <c r="D293" s="3">
        <f>VLOOKUP(B293,Sheet2!$A:$O,4,0)</f>
        <v>0</v>
      </c>
    </row>
    <row r="294" spans="1:4">
      <c r="A294" s="7" t="s">
        <v>397</v>
      </c>
      <c r="B294" s="2">
        <v>1040203</v>
      </c>
      <c r="C294" s="2" t="s">
        <v>225</v>
      </c>
      <c r="D294" s="3">
        <f>VLOOKUP(B294,Sheet2!$A:$O,4,0)</f>
        <v>0</v>
      </c>
    </row>
    <row r="295" spans="1:4">
      <c r="A295" s="7" t="s">
        <v>397</v>
      </c>
      <c r="B295" s="2">
        <v>1040204</v>
      </c>
      <c r="C295" s="2" t="s">
        <v>226</v>
      </c>
      <c r="D295" s="3">
        <f>VLOOKUP(B295,Sheet2!$A:$O,4,0)</f>
        <v>7917</v>
      </c>
    </row>
    <row r="296" spans="1:4">
      <c r="A296" s="7" t="s">
        <v>397</v>
      </c>
      <c r="B296" s="2">
        <v>1040301</v>
      </c>
      <c r="C296" s="2" t="s">
        <v>58</v>
      </c>
      <c r="D296" s="3">
        <f>VLOOKUP(B296,Sheet2!$A:$O,4,0)</f>
        <v>1700</v>
      </c>
    </row>
    <row r="297" spans="1:4">
      <c r="A297" s="7" t="s">
        <v>397</v>
      </c>
      <c r="B297" s="2">
        <v>1040401</v>
      </c>
      <c r="C297" s="2" t="s">
        <v>227</v>
      </c>
      <c r="D297" s="3">
        <f>VLOOKUP(B297,Sheet2!$A:$O,4,0)</f>
        <v>0</v>
      </c>
    </row>
    <row r="298" spans="1:4">
      <c r="A298" s="7" t="s">
        <v>397</v>
      </c>
      <c r="B298" s="2">
        <v>1050102</v>
      </c>
      <c r="C298" s="2" t="s">
        <v>60</v>
      </c>
      <c r="D298" s="3">
        <f>VLOOKUP(B298,Sheet2!$A:$O,4,0)</f>
        <v>29500</v>
      </c>
    </row>
    <row r="299" spans="1:4">
      <c r="A299" s="7" t="s">
        <v>397</v>
      </c>
      <c r="B299" s="2">
        <v>1050103</v>
      </c>
      <c r="C299" s="2" t="s">
        <v>228</v>
      </c>
      <c r="D299" s="3">
        <f>VLOOKUP(B299,Sheet2!$A:$O,4,0)</f>
        <v>11275</v>
      </c>
    </row>
    <row r="300" spans="1:4">
      <c r="A300" s="7" t="s">
        <v>397</v>
      </c>
      <c r="B300" s="2">
        <v>1050301</v>
      </c>
      <c r="C300" s="2" t="s">
        <v>62</v>
      </c>
      <c r="D300" s="3">
        <f>VLOOKUP(B300,Sheet2!$A:$O,4,0)</f>
        <v>9804</v>
      </c>
    </row>
    <row r="301" spans="1:4">
      <c r="A301" s="7" t="s">
        <v>397</v>
      </c>
      <c r="B301" s="2">
        <v>1050401</v>
      </c>
      <c r="C301" s="2" t="s">
        <v>64</v>
      </c>
      <c r="D301" s="3">
        <f>VLOOKUP(B301,Sheet2!$A:$O,4,0)</f>
        <v>8333</v>
      </c>
    </row>
    <row r="302" spans="1:4">
      <c r="A302" s="7" t="s">
        <v>397</v>
      </c>
      <c r="B302" s="2">
        <v>1050501</v>
      </c>
      <c r="C302" s="2" t="s">
        <v>66</v>
      </c>
      <c r="D302" s="3">
        <f>VLOOKUP(B302,Sheet2!$A:$O,4,0)</f>
        <v>8824</v>
      </c>
    </row>
    <row r="303" spans="1:4">
      <c r="A303" s="7" t="s">
        <v>397</v>
      </c>
      <c r="B303" s="2">
        <v>1050511</v>
      </c>
      <c r="C303" s="2" t="s">
        <v>68</v>
      </c>
      <c r="D303" s="3">
        <f>VLOOKUP(B303,Sheet2!$A:$O,4,0)</f>
        <v>18000</v>
      </c>
    </row>
    <row r="304" spans="1:4">
      <c r="A304" s="7" t="s">
        <v>397</v>
      </c>
      <c r="B304" s="2">
        <v>1050512</v>
      </c>
      <c r="C304" s="2" t="s">
        <v>229</v>
      </c>
      <c r="D304" s="3">
        <f>VLOOKUP(B304,Sheet2!$A:$O,4,0)</f>
        <v>0</v>
      </c>
    </row>
    <row r="305" spans="1:4">
      <c r="A305" s="7" t="s">
        <v>397</v>
      </c>
      <c r="B305" s="2">
        <v>1050521</v>
      </c>
      <c r="C305" s="2" t="s">
        <v>70</v>
      </c>
      <c r="D305" s="3">
        <f>VLOOKUP(B305,Sheet2!$A:$O,4,0)</f>
        <v>14706</v>
      </c>
    </row>
    <row r="306" spans="1:4">
      <c r="A306" s="7" t="s">
        <v>397</v>
      </c>
      <c r="B306" s="2">
        <v>1050531</v>
      </c>
      <c r="C306" s="2" t="s">
        <v>72</v>
      </c>
      <c r="D306" s="3">
        <f>VLOOKUP(B306,Sheet2!$A:$O,4,0)</f>
        <v>21000</v>
      </c>
    </row>
    <row r="307" spans="1:4">
      <c r="A307" s="7" t="s">
        <v>397</v>
      </c>
      <c r="B307" s="2">
        <v>1050541</v>
      </c>
      <c r="C307" s="2" t="s">
        <v>74</v>
      </c>
      <c r="D307" s="3">
        <f>VLOOKUP(B307,Sheet2!$A:$O,4,0)</f>
        <v>11000</v>
      </c>
    </row>
    <row r="308" spans="1:4">
      <c r="A308" s="7" t="s">
        <v>397</v>
      </c>
      <c r="B308" s="2">
        <v>1050551</v>
      </c>
      <c r="C308" s="2" t="s">
        <v>76</v>
      </c>
      <c r="D308" s="3">
        <f>VLOOKUP(B308,Sheet2!$A:$O,4,0)</f>
        <v>54000</v>
      </c>
    </row>
    <row r="309" spans="1:4">
      <c r="A309" s="7" t="s">
        <v>397</v>
      </c>
      <c r="B309" s="2">
        <v>1050561</v>
      </c>
      <c r="C309" s="2" t="s">
        <v>78</v>
      </c>
      <c r="D309" s="3">
        <f>VLOOKUP(B309,Sheet2!$A:$O,4,0)</f>
        <v>98000</v>
      </c>
    </row>
    <row r="310" spans="1:4">
      <c r="A310" s="7" t="s">
        <v>397</v>
      </c>
      <c r="B310" s="2">
        <v>1050571</v>
      </c>
      <c r="C310" s="2" t="s">
        <v>80</v>
      </c>
      <c r="D310" s="3">
        <f>VLOOKUP(B310,Sheet2!$A:$O,4,0)</f>
        <v>58600</v>
      </c>
    </row>
    <row r="311" spans="1:4">
      <c r="A311" s="7" t="s">
        <v>397</v>
      </c>
      <c r="B311" s="2">
        <v>1050581</v>
      </c>
      <c r="C311" s="2" t="s">
        <v>82</v>
      </c>
      <c r="D311" s="3">
        <f>VLOOKUP(B311,Sheet2!$A:$O,4,0)</f>
        <v>57000</v>
      </c>
    </row>
    <row r="312" spans="1:4">
      <c r="A312" s="7" t="s">
        <v>397</v>
      </c>
      <c r="B312" s="2">
        <v>1050591</v>
      </c>
      <c r="C312" s="2" t="s">
        <v>84</v>
      </c>
      <c r="D312" s="3">
        <f>VLOOKUP(B312,Sheet2!$A:$O,4,0)</f>
        <v>97750</v>
      </c>
    </row>
    <row r="313" spans="1:4">
      <c r="A313" s="7" t="s">
        <v>397</v>
      </c>
      <c r="B313" s="2">
        <v>1050601</v>
      </c>
      <c r="C313" s="2" t="s">
        <v>86</v>
      </c>
      <c r="D313" s="3">
        <f>VLOOKUP(B313,Sheet2!$A:$O,4,0)</f>
        <v>5900</v>
      </c>
    </row>
    <row r="314" spans="1:4">
      <c r="A314" s="7" t="s">
        <v>397</v>
      </c>
      <c r="B314" s="2">
        <v>1050701</v>
      </c>
      <c r="C314" s="2" t="s">
        <v>88</v>
      </c>
      <c r="D314" s="3">
        <f>VLOOKUP(B314,Sheet2!$A:$O,4,0)</f>
        <v>5600</v>
      </c>
    </row>
    <row r="315" spans="1:4">
      <c r="A315" s="7" t="s">
        <v>397</v>
      </c>
      <c r="B315" s="2">
        <v>1050702</v>
      </c>
      <c r="C315" s="2" t="s">
        <v>90</v>
      </c>
      <c r="D315" s="3">
        <f>VLOOKUP(B315,Sheet2!$A:$O,4,0)</f>
        <v>5600</v>
      </c>
    </row>
    <row r="316" spans="1:4">
      <c r="A316" s="7" t="s">
        <v>397</v>
      </c>
      <c r="B316" s="2">
        <v>1050711</v>
      </c>
      <c r="C316" s="2" t="s">
        <v>92</v>
      </c>
      <c r="D316" s="3">
        <f>VLOOKUP(B316,Sheet2!$A:$O,4,0)</f>
        <v>2946</v>
      </c>
    </row>
    <row r="317" spans="1:4">
      <c r="A317" s="7" t="s">
        <v>397</v>
      </c>
      <c r="B317" s="2">
        <v>1050721</v>
      </c>
      <c r="C317" s="2" t="s">
        <v>94</v>
      </c>
      <c r="D317" s="3">
        <f>VLOOKUP(B317,Sheet2!$A:$O,4,0)</f>
        <v>14300</v>
      </c>
    </row>
    <row r="318" spans="1:4">
      <c r="A318" s="7" t="s">
        <v>397</v>
      </c>
      <c r="B318" s="2">
        <v>1050801</v>
      </c>
      <c r="C318" s="2" t="s">
        <v>7</v>
      </c>
      <c r="D318" s="3">
        <f>VLOOKUP(B318,Sheet2!$A:$O,4,0)</f>
        <v>1062</v>
      </c>
    </row>
    <row r="319" spans="1:4">
      <c r="A319" s="7" t="s">
        <v>397</v>
      </c>
      <c r="B319" s="2">
        <v>1050901</v>
      </c>
      <c r="C319" s="2" t="s">
        <v>96</v>
      </c>
      <c r="D319" s="3">
        <f>VLOOKUP(B319,Sheet2!$A:$O,4,0)</f>
        <v>1539</v>
      </c>
    </row>
    <row r="320" spans="1:4">
      <c r="A320" s="7" t="s">
        <v>397</v>
      </c>
      <c r="B320" s="2">
        <v>1060101</v>
      </c>
      <c r="C320" s="2" t="s">
        <v>98</v>
      </c>
      <c r="D320" s="3">
        <f>VLOOKUP(B320,Sheet2!$A:$O,4,0)</f>
        <v>2250</v>
      </c>
    </row>
    <row r="321" spans="1:4">
      <c r="A321" s="7" t="s">
        <v>397</v>
      </c>
      <c r="B321" s="2">
        <v>1060401</v>
      </c>
      <c r="C321" s="2" t="s">
        <v>100</v>
      </c>
      <c r="D321" s="3">
        <f>VLOOKUP(B321,Sheet2!$A:$O,4,0)</f>
        <v>71000</v>
      </c>
    </row>
    <row r="322" spans="1:4">
      <c r="A322" s="7" t="s">
        <v>397</v>
      </c>
      <c r="B322" s="2">
        <v>1060412</v>
      </c>
      <c r="C322" s="2" t="s">
        <v>230</v>
      </c>
      <c r="D322" s="3">
        <f>VLOOKUP(B322,Sheet2!$A:$O,4,0)</f>
        <v>33000</v>
      </c>
    </row>
    <row r="323" spans="1:4">
      <c r="A323" s="7" t="s">
        <v>397</v>
      </c>
      <c r="B323" s="2">
        <v>1060421</v>
      </c>
      <c r="C323" s="2" t="s">
        <v>104</v>
      </c>
      <c r="D323" s="3">
        <f>VLOOKUP(B323,Sheet2!$A:$O,4,0)</f>
        <v>76000</v>
      </c>
    </row>
    <row r="324" spans="1:4">
      <c r="A324" s="7" t="s">
        <v>397</v>
      </c>
      <c r="B324" s="2">
        <v>1060441</v>
      </c>
      <c r="C324" s="2" t="s">
        <v>106</v>
      </c>
      <c r="D324" s="3">
        <f>VLOOKUP(B324,Sheet2!$A:$O,4,0)</f>
        <v>4500</v>
      </c>
    </row>
    <row r="325" spans="1:4">
      <c r="A325" s="7" t="s">
        <v>397</v>
      </c>
      <c r="B325" s="2">
        <v>1060451</v>
      </c>
      <c r="C325" s="2" t="s">
        <v>108</v>
      </c>
      <c r="D325" s="3">
        <f>VLOOKUP(B325,Sheet2!$A:$O,4,0)</f>
        <v>0</v>
      </c>
    </row>
    <row r="326" spans="1:4">
      <c r="A326" s="7" t="s">
        <v>397</v>
      </c>
      <c r="B326" s="2">
        <v>1070101</v>
      </c>
      <c r="C326" s="2" t="s">
        <v>110</v>
      </c>
      <c r="D326" s="3">
        <f>VLOOKUP(B326,Sheet2!$A:$O,4,0)</f>
        <v>4000</v>
      </c>
    </row>
    <row r="327" spans="1:4">
      <c r="A327" s="7" t="s">
        <v>397</v>
      </c>
      <c r="B327" s="2">
        <v>1070301</v>
      </c>
      <c r="C327" s="2" t="s">
        <v>112</v>
      </c>
      <c r="D327" s="3">
        <f>VLOOKUP(B327,Sheet2!$A:$O,4,0)</f>
        <v>35000</v>
      </c>
    </row>
    <row r="328" spans="1:4">
      <c r="A328" s="7" t="s">
        <v>397</v>
      </c>
      <c r="B328" s="2">
        <v>1070401</v>
      </c>
      <c r="C328" s="2" t="s">
        <v>114</v>
      </c>
      <c r="D328" s="3">
        <f>VLOOKUP(B328,Sheet2!$A:$O,4,0)</f>
        <v>12000</v>
      </c>
    </row>
    <row r="329" spans="1:4">
      <c r="A329" s="7" t="s">
        <v>397</v>
      </c>
      <c r="B329" s="2">
        <v>1070501</v>
      </c>
      <c r="C329" s="2" t="s">
        <v>231</v>
      </c>
      <c r="D329" s="3">
        <f>VLOOKUP(B329,Sheet2!$A:$O,4,0)</f>
        <v>5500</v>
      </c>
    </row>
    <row r="330" spans="1:4">
      <c r="A330" s="7" t="s">
        <v>397</v>
      </c>
      <c r="B330" s="2">
        <v>1070701</v>
      </c>
      <c r="C330" s="2" t="s">
        <v>118</v>
      </c>
      <c r="D330" s="3">
        <f>VLOOKUP(B330,Sheet2!$A:$O,4,0)</f>
        <v>36000</v>
      </c>
    </row>
    <row r="331" spans="1:4">
      <c r="A331" s="7" t="s">
        <v>397</v>
      </c>
      <c r="B331" s="2">
        <v>1070801</v>
      </c>
      <c r="C331" s="2" t="s">
        <v>232</v>
      </c>
      <c r="D331" s="3">
        <f>VLOOKUP(B331,Sheet2!$A:$O,4,0)</f>
        <v>35000</v>
      </c>
    </row>
    <row r="332" spans="1:4">
      <c r="A332" s="7" t="s">
        <v>397</v>
      </c>
      <c r="B332" s="2">
        <v>1080101</v>
      </c>
      <c r="C332" s="2" t="s">
        <v>120</v>
      </c>
      <c r="D332" s="3">
        <f>VLOOKUP(B332,Sheet2!$A:$O,4,0)</f>
        <v>11000</v>
      </c>
    </row>
    <row r="333" spans="1:4">
      <c r="A333" s="7" t="s">
        <v>397</v>
      </c>
      <c r="B333" s="2">
        <v>1080201</v>
      </c>
      <c r="C333" s="2" t="s">
        <v>122</v>
      </c>
      <c r="D333" s="3">
        <f>VLOOKUP(B333,Sheet2!$A:$O,4,0)</f>
        <v>614</v>
      </c>
    </row>
    <row r="334" spans="1:4">
      <c r="A334" s="7" t="s">
        <v>397</v>
      </c>
      <c r="B334" s="2">
        <v>1080301</v>
      </c>
      <c r="C334" s="2" t="s">
        <v>124</v>
      </c>
      <c r="D334" s="3">
        <f>VLOOKUP(B334,Sheet2!$A:$O,4,0)</f>
        <v>1550</v>
      </c>
    </row>
    <row r="335" spans="1:4">
      <c r="A335" s="7" t="s">
        <v>397</v>
      </c>
      <c r="B335" s="2">
        <v>1080401</v>
      </c>
      <c r="C335" s="2" t="s">
        <v>233</v>
      </c>
      <c r="D335" s="3">
        <f>VLOOKUP(B335,Sheet2!$A:$O,4,0)</f>
        <v>3300</v>
      </c>
    </row>
    <row r="336" spans="1:4">
      <c r="A336" s="7" t="s">
        <v>397</v>
      </c>
      <c r="B336" s="2">
        <v>1080411</v>
      </c>
      <c r="C336" s="2" t="s">
        <v>128</v>
      </c>
      <c r="D336" s="3">
        <f>VLOOKUP(B336,Sheet2!$A:$O,4,0)</f>
        <v>3300</v>
      </c>
    </row>
    <row r="337" spans="1:4">
      <c r="A337" s="7" t="s">
        <v>397</v>
      </c>
      <c r="B337" s="2">
        <v>1080501</v>
      </c>
      <c r="C337" s="2" t="s">
        <v>130</v>
      </c>
      <c r="D337" s="3">
        <f>VLOOKUP(B337,Sheet2!$A:$O,4,0)</f>
        <v>3800</v>
      </c>
    </row>
    <row r="338" spans="1:4">
      <c r="A338" s="7" t="s">
        <v>397</v>
      </c>
      <c r="B338" s="2">
        <v>1080602</v>
      </c>
      <c r="C338" s="2" t="s">
        <v>234</v>
      </c>
      <c r="D338" s="3">
        <f>VLOOKUP(B338,Sheet2!$A:$O,4,0)</f>
        <v>37600</v>
      </c>
    </row>
    <row r="339" spans="1:4">
      <c r="A339" s="7" t="s">
        <v>397</v>
      </c>
      <c r="B339" s="2">
        <v>1080604</v>
      </c>
      <c r="C339" s="2" t="s">
        <v>235</v>
      </c>
      <c r="D339" s="3">
        <f>VLOOKUP(B339,Sheet2!$A:$O,4,0)</f>
        <v>0</v>
      </c>
    </row>
    <row r="340" spans="1:4">
      <c r="A340" s="7" t="s">
        <v>397</v>
      </c>
      <c r="B340" s="2">
        <v>1080702</v>
      </c>
      <c r="C340" s="2" t="s">
        <v>236</v>
      </c>
      <c r="D340" s="3">
        <f>VLOOKUP(B340,Sheet2!$A:$O,4,0)</f>
        <v>42500</v>
      </c>
    </row>
    <row r="341" spans="1:4">
      <c r="A341" s="7" t="s">
        <v>397</v>
      </c>
      <c r="B341" s="2">
        <v>1080704</v>
      </c>
      <c r="C341" s="2" t="s">
        <v>237</v>
      </c>
      <c r="D341" s="3">
        <f>VLOOKUP(B341,Sheet2!$A:$O,4,0)</f>
        <v>0</v>
      </c>
    </row>
    <row r="342" spans="1:4">
      <c r="A342" s="7" t="s">
        <v>397</v>
      </c>
      <c r="B342" s="2">
        <v>1090104</v>
      </c>
      <c r="C342" s="2" t="s">
        <v>136</v>
      </c>
      <c r="D342" s="3">
        <f>VLOOKUP(B342,Sheet2!$A:$O,4,0)</f>
        <v>40000</v>
      </c>
    </row>
    <row r="343" spans="1:4">
      <c r="A343" s="7" t="s">
        <v>397</v>
      </c>
      <c r="B343" s="2">
        <v>1090112</v>
      </c>
      <c r="C343" s="2" t="s">
        <v>138</v>
      </c>
      <c r="D343" s="3">
        <f>VLOOKUP(B343,Sheet2!$A:$O,4,0)</f>
        <v>35000</v>
      </c>
    </row>
    <row r="344" spans="1:4">
      <c r="A344" s="7" t="s">
        <v>397</v>
      </c>
      <c r="B344" s="2">
        <v>1090201</v>
      </c>
      <c r="C344" s="2" t="s">
        <v>140</v>
      </c>
      <c r="D344" s="3">
        <f>VLOOKUP(B344,Sheet2!$A:$O,4,0)</f>
        <v>15800</v>
      </c>
    </row>
    <row r="345" spans="1:4">
      <c r="A345" s="7" t="s">
        <v>397</v>
      </c>
      <c r="B345" s="2">
        <v>1090202</v>
      </c>
      <c r="C345" s="2" t="s">
        <v>142</v>
      </c>
      <c r="D345" s="3">
        <f>VLOOKUP(B345,Sheet2!$A:$O,4,0)</f>
        <v>98000</v>
      </c>
    </row>
    <row r="346" spans="1:4">
      <c r="A346" s="7" t="s">
        <v>397</v>
      </c>
      <c r="B346" s="2">
        <v>1090203</v>
      </c>
      <c r="C346" s="2" t="s">
        <v>144</v>
      </c>
      <c r="D346" s="3">
        <f>VLOOKUP(B346,Sheet2!$A:$O,4,0)</f>
        <v>23000</v>
      </c>
    </row>
    <row r="347" spans="1:4">
      <c r="A347" s="7" t="s">
        <v>397</v>
      </c>
      <c r="B347" s="2">
        <v>1090211</v>
      </c>
      <c r="C347" s="2" t="s">
        <v>146</v>
      </c>
      <c r="D347" s="3">
        <f>VLOOKUP(B347,Sheet2!$A:$O,4,0)</f>
        <v>69000</v>
      </c>
    </row>
    <row r="348" spans="1:4">
      <c r="A348" s="7" t="s">
        <v>397</v>
      </c>
      <c r="B348" s="2">
        <v>1090301</v>
      </c>
      <c r="C348" s="2" t="s">
        <v>238</v>
      </c>
      <c r="D348" s="3">
        <f>VLOOKUP(B348,Sheet2!$A:$O,4,0)</f>
        <v>32000</v>
      </c>
    </row>
    <row r="349" spans="1:4">
      <c r="A349" s="7" t="s">
        <v>397</v>
      </c>
      <c r="B349" s="2">
        <v>1090311</v>
      </c>
      <c r="C349" s="2" t="s">
        <v>150</v>
      </c>
      <c r="D349" s="3">
        <f>VLOOKUP(B349,Sheet2!$A:$O,4,0)</f>
        <v>37000</v>
      </c>
    </row>
    <row r="350" spans="1:4">
      <c r="A350" s="7" t="s">
        <v>397</v>
      </c>
      <c r="B350" s="2">
        <v>1090321</v>
      </c>
      <c r="C350" s="2" t="s">
        <v>152</v>
      </c>
      <c r="D350" s="3">
        <f>VLOOKUP(B350,Sheet2!$A:$O,4,0)</f>
        <v>75000</v>
      </c>
    </row>
    <row r="351" spans="1:4">
      <c r="A351" s="7" t="s">
        <v>397</v>
      </c>
      <c r="B351" s="2">
        <v>1090401</v>
      </c>
      <c r="C351" s="2" t="s">
        <v>154</v>
      </c>
      <c r="D351" s="3">
        <f>VLOOKUP(B351,Sheet2!$A:$O,4,0)</f>
        <v>8300</v>
      </c>
    </row>
    <row r="352" spans="1:4">
      <c r="A352" s="7" t="s">
        <v>397</v>
      </c>
      <c r="B352" s="2">
        <v>1090411</v>
      </c>
      <c r="C352" s="2" t="s">
        <v>156</v>
      </c>
      <c r="D352" s="3">
        <f>VLOOKUP(B352,Sheet2!$A:$O,4,0)</f>
        <v>39000</v>
      </c>
    </row>
    <row r="353" spans="1:4">
      <c r="A353" s="7" t="s">
        <v>397</v>
      </c>
      <c r="B353" s="2">
        <v>1090421</v>
      </c>
      <c r="C353" s="2" t="s">
        <v>158</v>
      </c>
      <c r="D353" s="3">
        <f>VLOOKUP(B353,Sheet2!$A:$O,4,0)</f>
        <v>36000</v>
      </c>
    </row>
    <row r="354" spans="1:4">
      <c r="A354" s="7" t="s">
        <v>397</v>
      </c>
      <c r="B354" s="2">
        <v>1090551</v>
      </c>
      <c r="C354" s="2" t="s">
        <v>239</v>
      </c>
      <c r="D354" s="3">
        <f>VLOOKUP(B354,Sheet2!$A:$O,4,0)</f>
        <v>4900</v>
      </c>
    </row>
    <row r="355" spans="1:4">
      <c r="A355" s="7" t="s">
        <v>397</v>
      </c>
      <c r="B355" s="2">
        <v>1090602</v>
      </c>
      <c r="C355" s="2" t="s">
        <v>162</v>
      </c>
      <c r="D355" s="3">
        <f>VLOOKUP(B355,Sheet2!$A:$O,4,0)</f>
        <v>5130</v>
      </c>
    </row>
    <row r="356" spans="1:4">
      <c r="A356" s="7" t="s">
        <v>397</v>
      </c>
      <c r="B356" s="2">
        <v>1090611</v>
      </c>
      <c r="C356" s="2" t="s">
        <v>164</v>
      </c>
      <c r="D356" s="3">
        <f>VLOOKUP(B356,Sheet2!$A:$O,4,0)</f>
        <v>4203</v>
      </c>
    </row>
    <row r="357" spans="1:4">
      <c r="A357" s="7" t="s">
        <v>397</v>
      </c>
      <c r="B357" s="2">
        <v>1090701</v>
      </c>
      <c r="C357" s="2" t="s">
        <v>166</v>
      </c>
      <c r="D357" s="3">
        <f>VLOOKUP(B357,Sheet2!$A:$O,4,0)</f>
        <v>21000</v>
      </c>
    </row>
    <row r="358" spans="1:4">
      <c r="A358" s="7" t="s">
        <v>397</v>
      </c>
      <c r="B358" s="2">
        <v>1090901</v>
      </c>
      <c r="C358" s="2" t="s">
        <v>168</v>
      </c>
      <c r="D358" s="3">
        <f>VLOOKUP(B358,Sheet2!$A:$O,4,0)</f>
        <v>4300</v>
      </c>
    </row>
    <row r="359" spans="1:4">
      <c r="A359" s="7" t="s">
        <v>397</v>
      </c>
      <c r="B359" s="2">
        <v>1091001</v>
      </c>
      <c r="C359" s="2" t="s">
        <v>170</v>
      </c>
      <c r="D359" s="3">
        <f>VLOOKUP(B359,Sheet2!$A:$O,4,0)</f>
        <v>6500</v>
      </c>
    </row>
    <row r="360" spans="1:4">
      <c r="A360" s="7" t="s">
        <v>397</v>
      </c>
      <c r="B360" s="2">
        <v>1091002</v>
      </c>
      <c r="C360" s="2" t="s">
        <v>172</v>
      </c>
      <c r="D360" s="3">
        <f>VLOOKUP(B360,Sheet2!$A:$O,4,0)</f>
        <v>5216</v>
      </c>
    </row>
    <row r="361" spans="1:4">
      <c r="A361" s="7" t="s">
        <v>397</v>
      </c>
      <c r="B361" s="2">
        <v>1091003</v>
      </c>
      <c r="C361" s="2" t="s">
        <v>174</v>
      </c>
      <c r="D361" s="3">
        <f>VLOOKUP(B361,Sheet2!$A:$O,4,0)</f>
        <v>6373</v>
      </c>
    </row>
    <row r="362" spans="1:4">
      <c r="A362" s="7" t="s">
        <v>397</v>
      </c>
      <c r="B362" s="2">
        <v>1091004</v>
      </c>
      <c r="C362" s="2" t="s">
        <v>240</v>
      </c>
      <c r="D362" s="3">
        <f>VLOOKUP(B362,Sheet2!$A:$O,4,0)</f>
        <v>0</v>
      </c>
    </row>
    <row r="363" spans="1:4">
      <c r="A363" s="7" t="s">
        <v>397</v>
      </c>
      <c r="B363" s="2">
        <v>1091005</v>
      </c>
      <c r="C363" s="2" t="s">
        <v>241</v>
      </c>
      <c r="D363" s="3">
        <f>VLOOKUP(B363,Sheet2!$A:$O,4,0)</f>
        <v>0</v>
      </c>
    </row>
    <row r="364" spans="1:4">
      <c r="A364" s="7" t="s">
        <v>397</v>
      </c>
      <c r="B364" s="2">
        <v>1091006</v>
      </c>
      <c r="C364" s="2" t="s">
        <v>242</v>
      </c>
      <c r="D364" s="3">
        <f>VLOOKUP(B364,Sheet2!$A:$O,4,0)</f>
        <v>0</v>
      </c>
    </row>
    <row r="365" spans="1:4">
      <c r="A365" s="7" t="s">
        <v>397</v>
      </c>
      <c r="B365" s="2">
        <v>1091007</v>
      </c>
      <c r="C365" s="2" t="s">
        <v>243</v>
      </c>
      <c r="D365" s="3">
        <f>VLOOKUP(B365,Sheet2!$A:$O,4,0)</f>
        <v>2640</v>
      </c>
    </row>
    <row r="366" spans="1:4">
      <c r="A366" s="7" t="s">
        <v>397</v>
      </c>
      <c r="B366" s="2">
        <v>1091008</v>
      </c>
      <c r="C366" s="2" t="s">
        <v>176</v>
      </c>
      <c r="D366" s="3">
        <f>VLOOKUP(B366,Sheet2!$A:$O,4,0)</f>
        <v>0</v>
      </c>
    </row>
    <row r="367" spans="1:4">
      <c r="A367" s="7" t="s">
        <v>397</v>
      </c>
      <c r="B367" s="2">
        <v>1091009</v>
      </c>
      <c r="C367" s="2" t="s">
        <v>178</v>
      </c>
      <c r="D367" s="3">
        <f>VLOOKUP(B367,Sheet2!$A:$O,4,0)</f>
        <v>0</v>
      </c>
    </row>
    <row r="368" spans="1:4">
      <c r="A368" s="7" t="s">
        <v>397</v>
      </c>
      <c r="B368" s="2">
        <v>1091010</v>
      </c>
      <c r="C368" s="2" t="s">
        <v>180</v>
      </c>
      <c r="D368" s="3">
        <f>VLOOKUP(B368,Sheet2!$A:$O,4,0)</f>
        <v>27000</v>
      </c>
    </row>
    <row r="369" spans="1:4">
      <c r="A369" s="7" t="s">
        <v>397</v>
      </c>
      <c r="B369" s="2">
        <v>1091011</v>
      </c>
      <c r="C369" s="2" t="s">
        <v>182</v>
      </c>
      <c r="D369" s="3">
        <f>VLOOKUP(B369,Sheet2!$A:$O,4,0)</f>
        <v>33000</v>
      </c>
    </row>
    <row r="370" spans="1:4">
      <c r="A370" s="7" t="s">
        <v>397</v>
      </c>
      <c r="B370" s="2">
        <v>1091012</v>
      </c>
      <c r="C370" s="2" t="s">
        <v>184</v>
      </c>
      <c r="D370" s="3">
        <f>VLOOKUP(B370,Sheet2!$A:$O,4,0)</f>
        <v>47000</v>
      </c>
    </row>
    <row r="371" spans="1:4">
      <c r="A371" s="7" t="s">
        <v>397</v>
      </c>
      <c r="B371" s="2">
        <v>1091013</v>
      </c>
      <c r="C371" s="2" t="s">
        <v>186</v>
      </c>
      <c r="D371" s="3">
        <f>VLOOKUP(B371,Sheet2!$A:$O,4,0)</f>
        <v>33000</v>
      </c>
    </row>
    <row r="372" spans="1:4">
      <c r="A372" s="7" t="s">
        <v>397</v>
      </c>
      <c r="B372" s="2">
        <v>1091014</v>
      </c>
      <c r="C372" s="2" t="s">
        <v>244</v>
      </c>
      <c r="D372" s="3">
        <f>VLOOKUP(B372,Sheet2!$A:$O,4,0)</f>
        <v>6961</v>
      </c>
    </row>
    <row r="373" spans="1:4">
      <c r="A373" s="7" t="s">
        <v>397</v>
      </c>
      <c r="B373" s="2">
        <v>1091015</v>
      </c>
      <c r="C373" s="2" t="s">
        <v>245</v>
      </c>
      <c r="D373" s="3">
        <f>VLOOKUP(B373,Sheet2!$A:$O,4,0)</f>
        <v>25490</v>
      </c>
    </row>
    <row r="374" spans="1:4">
      <c r="A374" s="7" t="s">
        <v>397</v>
      </c>
      <c r="B374" s="2">
        <v>1091016</v>
      </c>
      <c r="C374" s="2" t="s">
        <v>246</v>
      </c>
      <c r="D374" s="3">
        <f>VLOOKUP(B374,Sheet2!$A:$O,4,0)</f>
        <v>50187</v>
      </c>
    </row>
    <row r="375" spans="1:4">
      <c r="A375" s="7" t="s">
        <v>397</v>
      </c>
      <c r="B375" s="2">
        <v>1091017</v>
      </c>
      <c r="C375" s="2" t="s">
        <v>247</v>
      </c>
      <c r="D375" s="3">
        <f>VLOOKUP(B375,Sheet2!$A:$O,4,0)</f>
        <v>0</v>
      </c>
    </row>
    <row r="376" spans="1:4">
      <c r="A376" s="7" t="s">
        <v>397</v>
      </c>
      <c r="B376" s="2">
        <v>1091018</v>
      </c>
      <c r="C376" s="2" t="s">
        <v>248</v>
      </c>
      <c r="D376" s="3">
        <f>VLOOKUP(B376,Sheet2!$A:$O,4,0)</f>
        <v>0</v>
      </c>
    </row>
    <row r="377" spans="1:4">
      <c r="A377" s="7" t="s">
        <v>397</v>
      </c>
      <c r="B377" s="2">
        <v>1091019</v>
      </c>
      <c r="C377" s="2" t="s">
        <v>249</v>
      </c>
      <c r="D377" s="3">
        <f>VLOOKUP(B377,Sheet2!$A:$O,4,0)</f>
        <v>53387</v>
      </c>
    </row>
    <row r="378" spans="1:4">
      <c r="A378" s="7" t="s">
        <v>397</v>
      </c>
      <c r="B378" s="2">
        <v>1091020</v>
      </c>
      <c r="C378" s="2" t="s">
        <v>250</v>
      </c>
      <c r="D378" s="3">
        <f>VLOOKUP(B378,Sheet2!$A:$O,4,0)</f>
        <v>62745</v>
      </c>
    </row>
    <row r="379" spans="1:4">
      <c r="A379" s="7" t="s">
        <v>397</v>
      </c>
      <c r="B379" s="2">
        <v>1091021</v>
      </c>
      <c r="C379" s="2" t="s">
        <v>251</v>
      </c>
      <c r="D379" s="3">
        <f>VLOOKUP(B379,Sheet2!$A:$O,4,0)</f>
        <v>53922</v>
      </c>
    </row>
    <row r="380" spans="1:4">
      <c r="A380" s="7" t="s">
        <v>397</v>
      </c>
      <c r="B380" s="2">
        <v>1091022</v>
      </c>
      <c r="C380" s="2" t="s">
        <v>252</v>
      </c>
      <c r="D380" s="3">
        <f>VLOOKUP(B380,Sheet2!$A:$O,4,0)</f>
        <v>3235</v>
      </c>
    </row>
    <row r="381" spans="1:4">
      <c r="A381" s="7" t="s">
        <v>397</v>
      </c>
      <c r="B381" s="2">
        <v>1091023</v>
      </c>
      <c r="C381" s="2" t="s">
        <v>253</v>
      </c>
      <c r="D381" s="3">
        <f>VLOOKUP(B381,Sheet2!$A:$O,4,0)</f>
        <v>4412</v>
      </c>
    </row>
    <row r="382" spans="1:4">
      <c r="A382" s="7" t="s">
        <v>397</v>
      </c>
      <c r="B382" s="2">
        <v>1091024</v>
      </c>
      <c r="C382" s="2" t="s">
        <v>254</v>
      </c>
      <c r="D382" s="3">
        <f>VLOOKUP(B382,Sheet2!$A:$O,4,0)</f>
        <v>3922</v>
      </c>
    </row>
    <row r="383" spans="1:4">
      <c r="A383" s="7" t="s">
        <v>397</v>
      </c>
      <c r="B383" s="2">
        <v>1091025</v>
      </c>
      <c r="C383" s="2" t="s">
        <v>255</v>
      </c>
      <c r="D383" s="3">
        <f>VLOOKUP(B383,Sheet2!$A:$O,4,0)</f>
        <v>7843</v>
      </c>
    </row>
    <row r="384" spans="1:4">
      <c r="A384" s="7" t="s">
        <v>397</v>
      </c>
      <c r="B384" s="2">
        <v>1091026</v>
      </c>
      <c r="C384" s="2" t="s">
        <v>256</v>
      </c>
      <c r="D384" s="3">
        <f>VLOOKUP(B384,Sheet2!$A:$O,4,0)</f>
        <v>30196</v>
      </c>
    </row>
    <row r="385" spans="1:4">
      <c r="A385" s="7" t="s">
        <v>397</v>
      </c>
      <c r="B385" s="2">
        <v>1600101</v>
      </c>
      <c r="C385" s="2" t="s">
        <v>188</v>
      </c>
      <c r="D385" s="3">
        <f>VLOOKUP(B385,Sheet2!$A:$O,4,0)</f>
        <v>2206</v>
      </c>
    </row>
    <row r="386" spans="1:4">
      <c r="A386" s="7" t="s">
        <v>397</v>
      </c>
      <c r="B386" s="2">
        <v>1600102</v>
      </c>
      <c r="C386" s="2" t="s">
        <v>257</v>
      </c>
      <c r="D386" s="3">
        <f>VLOOKUP(B386,Sheet2!$A:$O,4,0)</f>
        <v>34314</v>
      </c>
    </row>
    <row r="387" spans="1:4">
      <c r="A387" s="7" t="s">
        <v>397</v>
      </c>
      <c r="B387" s="2">
        <v>1600103</v>
      </c>
      <c r="C387" s="2" t="s">
        <v>258</v>
      </c>
      <c r="D387" s="3">
        <f>VLOOKUP(B387,Sheet2!$A:$O,4,0)</f>
        <v>19800</v>
      </c>
    </row>
    <row r="388" spans="1:4">
      <c r="A388" s="7" t="s">
        <v>397</v>
      </c>
      <c r="B388" s="2">
        <v>1600104</v>
      </c>
      <c r="C388" s="2" t="s">
        <v>259</v>
      </c>
      <c r="D388" s="3">
        <f>VLOOKUP(B388,Sheet2!$A:$O,4,0)</f>
        <v>51000</v>
      </c>
    </row>
    <row r="389" spans="1:4">
      <c r="A389" s="7" t="s">
        <v>397</v>
      </c>
      <c r="B389" s="2">
        <v>1600105</v>
      </c>
      <c r="C389" s="2" t="s">
        <v>260</v>
      </c>
      <c r="D389" s="3">
        <f>VLOOKUP(B389,Sheet2!$A:$O,4,0)</f>
        <v>73000</v>
      </c>
    </row>
    <row r="390" spans="1:4">
      <c r="A390" s="7" t="s">
        <v>397</v>
      </c>
      <c r="B390" s="2">
        <v>1600106</v>
      </c>
      <c r="C390" s="2" t="s">
        <v>261</v>
      </c>
      <c r="D390" s="3">
        <f>VLOOKUP(B390,Sheet2!$A:$O,4,0)</f>
        <v>66667</v>
      </c>
    </row>
    <row r="391" spans="1:4">
      <c r="A391" s="7" t="s">
        <v>397</v>
      </c>
      <c r="B391" s="2">
        <v>1600107</v>
      </c>
      <c r="C391" s="2" t="s">
        <v>262</v>
      </c>
      <c r="D391" s="3">
        <f>VLOOKUP(B391,Sheet2!$A:$O,4,0)</f>
        <v>67647</v>
      </c>
    </row>
    <row r="392" spans="1:4">
      <c r="A392" s="7" t="s">
        <v>397</v>
      </c>
      <c r="B392" s="2">
        <v>1600108</v>
      </c>
      <c r="C392" s="2" t="s">
        <v>263</v>
      </c>
      <c r="D392" s="3">
        <f>VLOOKUP(B392,Sheet2!$A:$O,4,0)</f>
        <v>67647</v>
      </c>
    </row>
    <row r="393" spans="1:4">
      <c r="A393" s="7" t="s">
        <v>397</v>
      </c>
      <c r="B393" s="2">
        <v>1600109</v>
      </c>
      <c r="C393" s="2" t="s">
        <v>264</v>
      </c>
      <c r="D393" s="3">
        <f>VLOOKUP(B393,Sheet2!$A:$O,4,0)</f>
        <v>3529</v>
      </c>
    </row>
    <row r="394" spans="1:4">
      <c r="A394" s="7" t="s">
        <v>397</v>
      </c>
      <c r="B394" s="2">
        <v>1600110</v>
      </c>
      <c r="C394" s="2" t="s">
        <v>265</v>
      </c>
      <c r="D394" s="3">
        <f>VLOOKUP(B394,Sheet2!$A:$O,4,0)</f>
        <v>7917</v>
      </c>
    </row>
    <row r="395" spans="1:4">
      <c r="A395" s="7" t="s">
        <v>397</v>
      </c>
      <c r="B395" s="2">
        <v>1600111</v>
      </c>
      <c r="C395" s="2" t="s">
        <v>266</v>
      </c>
      <c r="D395" s="3">
        <f>VLOOKUP(B395,Sheet2!$A:$O,4,0)</f>
        <v>2266</v>
      </c>
    </row>
    <row r="396" spans="1:4">
      <c r="A396" s="7" t="s">
        <v>397</v>
      </c>
      <c r="B396" s="2">
        <v>1600112</v>
      </c>
      <c r="C396" s="2" t="s">
        <v>190</v>
      </c>
      <c r="D396" s="3">
        <f>VLOOKUP(B396,Sheet2!$A:$O,4,0)</f>
        <v>4800</v>
      </c>
    </row>
    <row r="397" spans="1:4">
      <c r="A397" s="7" t="s">
        <v>397</v>
      </c>
      <c r="B397" s="2">
        <v>1600113</v>
      </c>
      <c r="C397" s="2" t="s">
        <v>267</v>
      </c>
      <c r="D397" s="3">
        <f>VLOOKUP(B397,Sheet2!$A:$O,4,0)</f>
        <v>0</v>
      </c>
    </row>
    <row r="398" spans="1:4">
      <c r="A398" s="7" t="s">
        <v>397</v>
      </c>
      <c r="B398" s="2">
        <v>1600114</v>
      </c>
      <c r="C398" s="2" t="s">
        <v>268</v>
      </c>
      <c r="D398" s="3">
        <f>VLOOKUP(B398,Sheet2!$A:$O,4,0)</f>
        <v>14490</v>
      </c>
    </row>
    <row r="399" spans="1:4">
      <c r="A399" s="7" t="s">
        <v>397</v>
      </c>
      <c r="B399" s="2">
        <v>1700001</v>
      </c>
      <c r="C399" s="2" t="s">
        <v>269</v>
      </c>
      <c r="D399" s="3">
        <f>VLOOKUP(B399,Sheet2!$A:$O,4,0)</f>
        <v>3566</v>
      </c>
    </row>
    <row r="400" spans="1:4">
      <c r="A400" s="7" t="s">
        <v>397</v>
      </c>
      <c r="B400" s="2">
        <v>1700002</v>
      </c>
      <c r="C400" s="2" t="s">
        <v>270</v>
      </c>
      <c r="D400" s="3">
        <f>VLOOKUP(B400,Sheet2!$A:$O,4,0)</f>
        <v>3726</v>
      </c>
    </row>
    <row r="401" spans="1:4">
      <c r="A401" s="7" t="s">
        <v>397</v>
      </c>
      <c r="B401" s="2">
        <v>1700003</v>
      </c>
      <c r="C401" s="2" t="s">
        <v>271</v>
      </c>
      <c r="D401" s="3">
        <f>VLOOKUP(B401,Sheet2!$A:$O,4,0)</f>
        <v>4902</v>
      </c>
    </row>
    <row r="402" spans="1:4">
      <c r="A402" s="7" t="s">
        <v>397</v>
      </c>
      <c r="B402" s="2">
        <v>1700004</v>
      </c>
      <c r="C402" s="2" t="s">
        <v>272</v>
      </c>
      <c r="D402" s="3">
        <f>VLOOKUP(B402,Sheet2!$A:$O,4,0)</f>
        <v>13137</v>
      </c>
    </row>
    <row r="403" spans="1:4">
      <c r="A403" s="7" t="s">
        <v>397</v>
      </c>
      <c r="B403" s="2">
        <v>1700005</v>
      </c>
      <c r="C403" s="2" t="s">
        <v>192</v>
      </c>
      <c r="D403" s="3">
        <f>VLOOKUP(B403,Sheet2!$A:$O,4,0)</f>
        <v>1667</v>
      </c>
    </row>
    <row r="404" spans="1:4">
      <c r="A404" s="7" t="s">
        <v>397</v>
      </c>
      <c r="B404" s="2">
        <v>1700006</v>
      </c>
      <c r="C404" s="2" t="s">
        <v>273</v>
      </c>
      <c r="D404" s="3">
        <f>VLOOKUP(B404,Sheet2!$A:$O,4,0)</f>
        <v>6000</v>
      </c>
    </row>
    <row r="405" spans="1:4">
      <c r="A405" s="7" t="s">
        <v>397</v>
      </c>
      <c r="B405" s="2">
        <v>1700007</v>
      </c>
      <c r="C405" s="2" t="s">
        <v>274</v>
      </c>
      <c r="D405" s="3">
        <f>VLOOKUP(B405,Sheet2!$A:$O,4,0)</f>
        <v>0</v>
      </c>
    </row>
    <row r="406" spans="1:4">
      <c r="A406" s="7" t="s">
        <v>397</v>
      </c>
      <c r="B406" s="2">
        <v>1700008</v>
      </c>
      <c r="C406" s="2" t="s">
        <v>275</v>
      </c>
      <c r="D406" s="3">
        <f>VLOOKUP(B406,Sheet2!$A:$O,4,0)</f>
        <v>0</v>
      </c>
    </row>
    <row r="407" spans="1:4">
      <c r="A407" s="7" t="s">
        <v>397</v>
      </c>
      <c r="B407" s="2">
        <v>1700009</v>
      </c>
      <c r="C407" s="2" t="s">
        <v>276</v>
      </c>
      <c r="D407" s="3">
        <f>VLOOKUP(B407,Sheet2!$A:$O,4,0)</f>
        <v>0</v>
      </c>
    </row>
    <row r="408" spans="1:4">
      <c r="A408" s="7" t="s">
        <v>397</v>
      </c>
      <c r="B408" s="2">
        <v>1700010</v>
      </c>
      <c r="C408" s="2" t="s">
        <v>277</v>
      </c>
      <c r="D408" s="3">
        <f>VLOOKUP(B408,Sheet2!$A:$O,4,0)</f>
        <v>4530</v>
      </c>
    </row>
    <row r="409" spans="1:4">
      <c r="A409" s="7" t="s">
        <v>397</v>
      </c>
      <c r="B409" s="2">
        <v>1700011</v>
      </c>
      <c r="C409" s="2" t="s">
        <v>278</v>
      </c>
      <c r="D409" s="3">
        <f>VLOOKUP(B409,Sheet2!$A:$O,4,0)</f>
        <v>0</v>
      </c>
    </row>
    <row r="410" spans="1:4">
      <c r="A410" s="7" t="s">
        <v>397</v>
      </c>
      <c r="B410" s="2">
        <v>1700012</v>
      </c>
      <c r="C410" s="2" t="s">
        <v>279</v>
      </c>
      <c r="D410" s="3">
        <f>VLOOKUP(B410,Sheet2!$A:$O,4,0)</f>
        <v>12255</v>
      </c>
    </row>
    <row r="411" spans="1:4">
      <c r="A411" s="7" t="s">
        <v>397</v>
      </c>
      <c r="B411" s="2">
        <v>1700013</v>
      </c>
      <c r="C411" s="2" t="s">
        <v>280</v>
      </c>
      <c r="D411" s="3">
        <f>VLOOKUP(B411,Sheet2!$A:$O,4,0)</f>
        <v>657</v>
      </c>
    </row>
    <row r="412" spans="1:4">
      <c r="A412" s="7" t="s">
        <v>397</v>
      </c>
      <c r="B412" s="2">
        <v>1700014</v>
      </c>
      <c r="C412" s="2" t="s">
        <v>194</v>
      </c>
      <c r="D412" s="3">
        <f>VLOOKUP(B412,Sheet2!$A:$O,4,0)</f>
        <v>2255</v>
      </c>
    </row>
    <row r="413" spans="1:4">
      <c r="A413" s="7" t="s">
        <v>397</v>
      </c>
      <c r="B413" s="2">
        <v>1700015</v>
      </c>
      <c r="C413" s="2" t="s">
        <v>281</v>
      </c>
      <c r="D413" s="3">
        <f>VLOOKUP(B413,Sheet2!$A:$O,4,0)</f>
        <v>2300</v>
      </c>
    </row>
    <row r="414" spans="1:4">
      <c r="A414" s="7" t="s">
        <v>397</v>
      </c>
      <c r="B414" s="2">
        <v>1700016</v>
      </c>
      <c r="C414" s="2" t="s">
        <v>282</v>
      </c>
      <c r="D414" s="3">
        <f>VLOOKUP(B414,Sheet2!$A:$O,4,0)</f>
        <v>8216</v>
      </c>
    </row>
    <row r="415" spans="1:4">
      <c r="A415" s="7" t="s">
        <v>397</v>
      </c>
      <c r="B415" s="2">
        <v>1700017</v>
      </c>
      <c r="C415" s="2" t="s">
        <v>283</v>
      </c>
      <c r="D415" s="3">
        <f>VLOOKUP(B415,Sheet2!$A:$O,4,0)</f>
        <v>10530</v>
      </c>
    </row>
    <row r="416" spans="1:4">
      <c r="A416" s="7" t="s">
        <v>397</v>
      </c>
      <c r="B416" s="2">
        <v>1700018</v>
      </c>
      <c r="C416" s="2" t="s">
        <v>284</v>
      </c>
      <c r="D416" s="3">
        <f>VLOOKUP(B416,Sheet2!$A:$O,4,0)</f>
        <v>4791</v>
      </c>
    </row>
    <row r="417" spans="1:4">
      <c r="A417" s="7" t="s">
        <v>397</v>
      </c>
      <c r="B417" s="2">
        <v>1700019</v>
      </c>
      <c r="C417" s="2" t="s">
        <v>285</v>
      </c>
      <c r="D417" s="3">
        <f>VLOOKUP(B417,Sheet2!$A:$O,4,0)</f>
        <v>0</v>
      </c>
    </row>
    <row r="418" spans="1:4">
      <c r="A418" s="7" t="s">
        <v>397</v>
      </c>
      <c r="B418" s="2">
        <v>1700020</v>
      </c>
      <c r="C418" s="2" t="s">
        <v>286</v>
      </c>
      <c r="D418" s="3">
        <f>VLOOKUP(B418,Sheet2!$A:$O,4,0)</f>
        <v>50211</v>
      </c>
    </row>
    <row r="419" spans="1:4">
      <c r="A419" s="7" t="s">
        <v>397</v>
      </c>
      <c r="B419" s="2">
        <v>1700021</v>
      </c>
      <c r="C419" s="2" t="s">
        <v>287</v>
      </c>
      <c r="D419" s="3">
        <f>VLOOKUP(B419,Sheet2!$A:$O,4,0)</f>
        <v>73804</v>
      </c>
    </row>
    <row r="420" spans="1:4">
      <c r="A420" s="7" t="s">
        <v>397</v>
      </c>
      <c r="B420" s="2">
        <v>1700022</v>
      </c>
      <c r="C420" s="2" t="s">
        <v>288</v>
      </c>
      <c r="D420" s="3">
        <f>VLOOKUP(B420,Sheet2!$A:$O,4,0)</f>
        <v>26628</v>
      </c>
    </row>
    <row r="421" spans="1:4">
      <c r="A421" s="7" t="s">
        <v>397</v>
      </c>
      <c r="B421" s="2">
        <v>1700023</v>
      </c>
      <c r="C421" s="2" t="s">
        <v>289</v>
      </c>
      <c r="D421" s="3">
        <f>VLOOKUP(B421,Sheet2!$A:$O,4,0)</f>
        <v>4824</v>
      </c>
    </row>
    <row r="422" spans="1:4">
      <c r="A422" s="7" t="s">
        <v>397</v>
      </c>
      <c r="B422" s="2">
        <v>1700024</v>
      </c>
      <c r="C422" s="2" t="s">
        <v>290</v>
      </c>
      <c r="D422" s="3">
        <f>VLOOKUP(B422,Sheet2!$A:$O,4,0)</f>
        <v>0</v>
      </c>
    </row>
    <row r="423" spans="1:4">
      <c r="A423" s="7" t="s">
        <v>397</v>
      </c>
      <c r="B423" s="2">
        <v>1700025</v>
      </c>
      <c r="C423" s="2" t="s">
        <v>291</v>
      </c>
      <c r="D423" s="3">
        <f>VLOOKUP(B423,Sheet2!$A:$O,4,0)</f>
        <v>0</v>
      </c>
    </row>
    <row r="424" spans="1:4">
      <c r="A424" s="7" t="s">
        <v>397</v>
      </c>
      <c r="B424" s="2">
        <v>1700026</v>
      </c>
      <c r="C424" s="2" t="s">
        <v>292</v>
      </c>
      <c r="D424" s="3">
        <f>VLOOKUP(B424,Sheet2!$A:$O,4,0)</f>
        <v>3725</v>
      </c>
    </row>
    <row r="425" spans="1:4">
      <c r="A425" s="7" t="s">
        <v>397</v>
      </c>
      <c r="B425" s="2">
        <v>1700027</v>
      </c>
      <c r="C425" s="2" t="s">
        <v>293</v>
      </c>
      <c r="D425" s="3">
        <f>VLOOKUP(B425,Sheet2!$A:$O,4,0)</f>
        <v>4902</v>
      </c>
    </row>
    <row r="426" spans="1:4">
      <c r="A426" s="7" t="s">
        <v>397</v>
      </c>
      <c r="B426" s="2">
        <v>1700028</v>
      </c>
      <c r="C426" s="2" t="s">
        <v>294</v>
      </c>
      <c r="D426" s="3">
        <f>VLOOKUP(B426,Sheet2!$A:$O,4,0)</f>
        <v>9500</v>
      </c>
    </row>
    <row r="427" spans="1:4">
      <c r="A427" s="7" t="s">
        <v>397</v>
      </c>
      <c r="B427" s="2">
        <v>1700029</v>
      </c>
      <c r="C427" s="2" t="s">
        <v>295</v>
      </c>
      <c r="D427" s="3">
        <f>VLOOKUP(B427,Sheet2!$A:$O,4,0)</f>
        <v>10670</v>
      </c>
    </row>
    <row r="428" spans="1:4">
      <c r="A428" s="7" t="s">
        <v>397</v>
      </c>
      <c r="B428" s="2">
        <v>1700030</v>
      </c>
      <c r="C428" s="2" t="s">
        <v>296</v>
      </c>
      <c r="D428" s="3">
        <f>VLOOKUP(B428,Sheet2!$A:$O,4,0)</f>
        <v>12720</v>
      </c>
    </row>
    <row r="429" spans="1:4">
      <c r="A429" s="7" t="s">
        <v>397</v>
      </c>
      <c r="B429" s="2">
        <v>1700031</v>
      </c>
      <c r="C429" s="2" t="s">
        <v>196</v>
      </c>
      <c r="D429" s="3">
        <f>VLOOKUP(B429,Sheet2!$A:$O,4,0)</f>
        <v>1961</v>
      </c>
    </row>
    <row r="430" spans="1:4">
      <c r="A430" s="7" t="s">
        <v>397</v>
      </c>
      <c r="B430" s="2">
        <v>1700032</v>
      </c>
      <c r="C430" s="2" t="s">
        <v>297</v>
      </c>
      <c r="D430" s="3">
        <f>VLOOKUP(B430,Sheet2!$A:$O,4,0)</f>
        <v>0</v>
      </c>
    </row>
    <row r="431" spans="1:4">
      <c r="A431" s="7" t="s">
        <v>397</v>
      </c>
      <c r="B431" s="2">
        <v>1700033</v>
      </c>
      <c r="C431" s="2" t="s">
        <v>298</v>
      </c>
      <c r="D431" s="3">
        <f>VLOOKUP(B431,Sheet2!$A:$O,4,0)</f>
        <v>0</v>
      </c>
    </row>
    <row r="432" spans="1:4">
      <c r="A432" s="7" t="s">
        <v>397</v>
      </c>
      <c r="B432" s="2">
        <v>1700034</v>
      </c>
      <c r="C432" s="2" t="s">
        <v>299</v>
      </c>
      <c r="D432" s="3">
        <f>VLOOKUP(B432,Sheet2!$A:$O,4,0)</f>
        <v>15125</v>
      </c>
    </row>
    <row r="433" spans="1:4">
      <c r="A433" s="7" t="s">
        <v>397</v>
      </c>
      <c r="B433" s="2">
        <v>1700035</v>
      </c>
      <c r="C433" s="2" t="s">
        <v>300</v>
      </c>
      <c r="D433" s="3">
        <f>VLOOKUP(B433,Sheet2!$A:$O,4,0)</f>
        <v>34000</v>
      </c>
    </row>
    <row r="434" spans="1:4">
      <c r="A434" s="7" t="s">
        <v>397</v>
      </c>
      <c r="B434" s="2">
        <v>1700036</v>
      </c>
      <c r="C434" s="2" t="s">
        <v>301</v>
      </c>
      <c r="D434" s="3">
        <f>VLOOKUP(B434,Sheet2!$A:$O,4,0)</f>
        <v>4000</v>
      </c>
    </row>
    <row r="435" spans="1:4">
      <c r="A435" s="7" t="s">
        <v>397</v>
      </c>
      <c r="B435" s="2">
        <v>1700037</v>
      </c>
      <c r="C435" s="2" t="s">
        <v>302</v>
      </c>
      <c r="D435" s="3">
        <f>VLOOKUP(B435,Sheet2!$A:$O,4,0)</f>
        <v>7133</v>
      </c>
    </row>
    <row r="436" spans="1:4">
      <c r="A436" s="7" t="s">
        <v>397</v>
      </c>
      <c r="B436" s="2">
        <v>1700038</v>
      </c>
      <c r="C436" s="2" t="s">
        <v>303</v>
      </c>
      <c r="D436" s="3">
        <f>VLOOKUP(B436,Sheet2!$A:$O,4,0)</f>
        <v>2079</v>
      </c>
    </row>
    <row r="437" spans="1:4">
      <c r="A437" s="7" t="s">
        <v>397</v>
      </c>
      <c r="B437" s="2">
        <v>1700039</v>
      </c>
      <c r="C437" s="2" t="s">
        <v>304</v>
      </c>
      <c r="D437" s="3">
        <f>VLOOKUP(B437,Sheet2!$A:$O,4,0)</f>
        <v>2000</v>
      </c>
    </row>
    <row r="438" spans="1:4">
      <c r="A438" s="7" t="s">
        <v>397</v>
      </c>
      <c r="B438" s="2">
        <v>1700040</v>
      </c>
      <c r="C438" s="2" t="s">
        <v>305</v>
      </c>
      <c r="D438" s="3">
        <f>VLOOKUP(B438,Sheet2!$A:$O,4,0)</f>
        <v>1967</v>
      </c>
    </row>
    <row r="439" spans="1:4">
      <c r="A439" s="7" t="s">
        <v>397</v>
      </c>
      <c r="B439" s="2">
        <v>1700041</v>
      </c>
      <c r="C439" s="2" t="s">
        <v>306</v>
      </c>
      <c r="D439" s="3">
        <f>VLOOKUP(B439,Sheet2!$A:$O,4,0)</f>
        <v>3000</v>
      </c>
    </row>
    <row r="440" spans="1:4">
      <c r="A440" s="7" t="s">
        <v>397</v>
      </c>
      <c r="B440" s="2">
        <v>1700042</v>
      </c>
      <c r="C440" s="2" t="s">
        <v>307</v>
      </c>
      <c r="D440" s="3">
        <f>VLOOKUP(B440,Sheet2!$A:$O,4,0)</f>
        <v>3200</v>
      </c>
    </row>
    <row r="441" spans="1:4">
      <c r="A441" s="7" t="s">
        <v>397</v>
      </c>
      <c r="B441" s="2">
        <v>1700043</v>
      </c>
      <c r="C441" s="2" t="s">
        <v>308</v>
      </c>
      <c r="D441" s="3">
        <f>VLOOKUP(B441,Sheet2!$A:$O,4,0)</f>
        <v>4990</v>
      </c>
    </row>
    <row r="442" spans="1:4">
      <c r="A442" s="7" t="s">
        <v>397</v>
      </c>
      <c r="B442" s="2">
        <v>1700044</v>
      </c>
      <c r="C442" s="2" t="s">
        <v>309</v>
      </c>
      <c r="D442" s="3">
        <f>VLOOKUP(B442,Sheet2!$A:$O,4,0)</f>
        <v>7000</v>
      </c>
    </row>
    <row r="443" spans="1:4">
      <c r="A443" s="7" t="s">
        <v>397</v>
      </c>
      <c r="B443" s="2">
        <v>1700045</v>
      </c>
      <c r="C443" s="2" t="s">
        <v>310</v>
      </c>
      <c r="D443" s="3">
        <f>VLOOKUP(B443,Sheet2!$A:$O,4,0)</f>
        <v>4382</v>
      </c>
    </row>
    <row r="444" spans="1:4">
      <c r="A444" s="7" t="s">
        <v>397</v>
      </c>
      <c r="B444" s="2">
        <v>1700046</v>
      </c>
      <c r="C444" s="2" t="s">
        <v>311</v>
      </c>
      <c r="D444" s="3">
        <f>VLOOKUP(B444,Sheet2!$A:$O,4,0)</f>
        <v>6176</v>
      </c>
    </row>
    <row r="445" spans="1:4">
      <c r="A445" s="7" t="s">
        <v>397</v>
      </c>
      <c r="B445" s="2">
        <v>1700047</v>
      </c>
      <c r="C445" s="2" t="s">
        <v>312</v>
      </c>
      <c r="D445" s="3">
        <f>VLOOKUP(B445,Sheet2!$A:$O,4,0)</f>
        <v>25000</v>
      </c>
    </row>
    <row r="446" spans="1:4">
      <c r="A446" s="7" t="s">
        <v>397</v>
      </c>
      <c r="B446" s="2">
        <v>1700048</v>
      </c>
      <c r="C446" s="2" t="s">
        <v>313</v>
      </c>
      <c r="D446" s="3">
        <f>VLOOKUP(B446,Sheet2!$A:$O,4,0)</f>
        <v>13330</v>
      </c>
    </row>
    <row r="447" spans="1:4">
      <c r="A447" s="7" t="s">
        <v>397</v>
      </c>
      <c r="B447" s="2">
        <v>1700049</v>
      </c>
      <c r="C447" s="2" t="s">
        <v>314</v>
      </c>
      <c r="D447" s="3">
        <f>VLOOKUP(B447,Sheet2!$A:$O,4,0)</f>
        <v>5785</v>
      </c>
    </row>
    <row r="448" spans="1:4">
      <c r="A448" s="7" t="s">
        <v>397</v>
      </c>
      <c r="B448" s="2">
        <v>1700050</v>
      </c>
      <c r="C448" s="2" t="s">
        <v>315</v>
      </c>
      <c r="D448" s="3">
        <f>VLOOKUP(B448,Sheet2!$A:$O,4,0)</f>
        <v>39000</v>
      </c>
    </row>
    <row r="449" spans="1:4">
      <c r="A449" s="7" t="s">
        <v>397</v>
      </c>
      <c r="B449" s="2">
        <v>1700051</v>
      </c>
      <c r="C449" s="2" t="s">
        <v>316</v>
      </c>
      <c r="D449" s="3">
        <f>VLOOKUP(B449,Sheet2!$A:$O,4,0)</f>
        <v>11500</v>
      </c>
    </row>
    <row r="450" spans="1:4">
      <c r="A450" s="7" t="s">
        <v>397</v>
      </c>
      <c r="B450" s="2">
        <v>1700052</v>
      </c>
      <c r="C450" s="2" t="s">
        <v>317</v>
      </c>
      <c r="D450" s="3">
        <f>VLOOKUP(B450,Sheet2!$A:$O,4,0)</f>
        <v>3444</v>
      </c>
    </row>
    <row r="451" spans="1:4">
      <c r="A451" s="7" t="s">
        <v>397</v>
      </c>
      <c r="B451" s="2">
        <v>1700053</v>
      </c>
      <c r="C451" s="2" t="s">
        <v>318</v>
      </c>
      <c r="D451" s="3">
        <f>VLOOKUP(B451,Sheet2!$A:$O,4,0)</f>
        <v>15530</v>
      </c>
    </row>
    <row r="452" spans="1:4">
      <c r="A452" s="7" t="s">
        <v>397</v>
      </c>
      <c r="B452" s="2">
        <v>1700054</v>
      </c>
      <c r="C452" s="2" t="s">
        <v>319</v>
      </c>
      <c r="D452" s="3">
        <f>VLOOKUP(B452,Sheet2!$A:$O,4,0)</f>
        <v>11670</v>
      </c>
    </row>
    <row r="453" spans="1:4">
      <c r="A453" s="7" t="s">
        <v>397</v>
      </c>
      <c r="B453" s="2">
        <v>1700055</v>
      </c>
      <c r="C453" s="2" t="s">
        <v>320</v>
      </c>
      <c r="D453" s="3">
        <f>VLOOKUP(B453,Sheet2!$A:$O,4,0)</f>
        <v>11940</v>
      </c>
    </row>
    <row r="454" spans="1:4">
      <c r="A454" s="7" t="s">
        <v>397</v>
      </c>
      <c r="B454" s="2">
        <v>1700056</v>
      </c>
      <c r="C454" s="2" t="s">
        <v>321</v>
      </c>
      <c r="D454" s="3">
        <f>VLOOKUP(B454,Sheet2!$A:$O,4,0)</f>
        <v>6226</v>
      </c>
    </row>
    <row r="455" spans="1:4">
      <c r="A455" s="7" t="s">
        <v>397</v>
      </c>
      <c r="B455" s="2">
        <v>1700057</v>
      </c>
      <c r="C455" s="2" t="s">
        <v>322</v>
      </c>
      <c r="D455" s="3">
        <f>VLOOKUP(B455,Sheet2!$A:$O,4,0)</f>
        <v>2098</v>
      </c>
    </row>
    <row r="456" spans="1:4">
      <c r="A456" s="7" t="s">
        <v>397</v>
      </c>
      <c r="B456" s="2">
        <v>1700058</v>
      </c>
      <c r="C456" s="2" t="s">
        <v>323</v>
      </c>
      <c r="D456" s="3">
        <f>VLOOKUP(B456,Sheet2!$A:$O,4,0)</f>
        <v>5800</v>
      </c>
    </row>
    <row r="457" spans="1:4">
      <c r="A457" s="7" t="s">
        <v>397</v>
      </c>
      <c r="B457" s="2">
        <v>1700059</v>
      </c>
      <c r="C457" s="2" t="s">
        <v>324</v>
      </c>
      <c r="D457" s="3">
        <f>VLOOKUP(B457,Sheet2!$A:$O,4,0)</f>
        <v>27667</v>
      </c>
    </row>
    <row r="458" spans="1:4">
      <c r="A458" s="7" t="s">
        <v>397</v>
      </c>
      <c r="B458" s="2">
        <v>1700060</v>
      </c>
      <c r="C458" s="2" t="s">
        <v>325</v>
      </c>
      <c r="D458" s="3">
        <f>VLOOKUP(B458,Sheet2!$A:$O,4,0)</f>
        <v>8245</v>
      </c>
    </row>
    <row r="459" spans="1:4">
      <c r="A459" s="7" t="s">
        <v>397</v>
      </c>
      <c r="B459" s="2">
        <v>1700061</v>
      </c>
      <c r="C459" s="2" t="s">
        <v>326</v>
      </c>
      <c r="D459" s="3">
        <f>VLOOKUP(B459,Sheet2!$A:$O,4,0)</f>
        <v>8920</v>
      </c>
    </row>
    <row r="460" spans="1:4">
      <c r="A460" s="7" t="s">
        <v>397</v>
      </c>
      <c r="B460" s="2">
        <v>1700062</v>
      </c>
      <c r="C460" s="2" t="s">
        <v>327</v>
      </c>
      <c r="D460" s="3">
        <f>VLOOKUP(B460,Sheet2!$A:$O,4,0)</f>
        <v>10520</v>
      </c>
    </row>
    <row r="461" spans="1:4">
      <c r="A461" s="7" t="s">
        <v>397</v>
      </c>
      <c r="B461" s="2">
        <v>1700063</v>
      </c>
      <c r="C461" s="2" t="s">
        <v>328</v>
      </c>
      <c r="D461" s="3">
        <f>VLOOKUP(B461,Sheet2!$A:$O,4,0)</f>
        <v>10550</v>
      </c>
    </row>
    <row r="462" spans="1:4">
      <c r="A462" s="7" t="s">
        <v>397</v>
      </c>
      <c r="B462" s="2">
        <v>1700064</v>
      </c>
      <c r="C462" s="2" t="s">
        <v>329</v>
      </c>
      <c r="D462" s="3">
        <f>VLOOKUP(B462,Sheet2!$A:$O,4,0)</f>
        <v>11060</v>
      </c>
    </row>
    <row r="463" spans="1:4">
      <c r="A463" s="7" t="s">
        <v>397</v>
      </c>
      <c r="B463" s="2">
        <v>1700065</v>
      </c>
      <c r="C463" s="2" t="s">
        <v>330</v>
      </c>
      <c r="D463" s="3">
        <f>VLOOKUP(B463,Sheet2!$A:$O,4,0)</f>
        <v>12760</v>
      </c>
    </row>
    <row r="464" spans="1:4">
      <c r="A464" s="7" t="s">
        <v>397</v>
      </c>
      <c r="B464" s="2">
        <v>1700066</v>
      </c>
      <c r="C464" s="2" t="s">
        <v>331</v>
      </c>
      <c r="D464" s="3">
        <f>VLOOKUP(B464,Sheet2!$A:$O,4,0)</f>
        <v>13200</v>
      </c>
    </row>
    <row r="465" spans="1:4">
      <c r="A465" s="7" t="s">
        <v>397</v>
      </c>
      <c r="B465" s="2">
        <v>1700067</v>
      </c>
      <c r="C465" s="2" t="s">
        <v>332</v>
      </c>
      <c r="D465" s="3">
        <f>VLOOKUP(B465,Sheet2!$A:$O,4,0)</f>
        <v>10720</v>
      </c>
    </row>
    <row r="466" spans="1:4">
      <c r="A466" s="7" t="s">
        <v>397</v>
      </c>
      <c r="B466" s="2">
        <v>1700068</v>
      </c>
      <c r="C466" s="2" t="s">
        <v>333</v>
      </c>
      <c r="D466" s="3">
        <f>VLOOKUP(B466,Sheet2!$A:$O,4,0)</f>
        <v>12720</v>
      </c>
    </row>
    <row r="467" spans="1:4">
      <c r="A467" s="7" t="s">
        <v>397</v>
      </c>
      <c r="B467" s="2">
        <v>1700069</v>
      </c>
      <c r="C467" s="2" t="s">
        <v>334</v>
      </c>
      <c r="D467" s="3">
        <f>VLOOKUP(B467,Sheet2!$A:$O,4,0)</f>
        <v>14000</v>
      </c>
    </row>
    <row r="468" spans="1:4">
      <c r="A468" s="7" t="s">
        <v>397</v>
      </c>
      <c r="B468" s="2">
        <v>1700070</v>
      </c>
      <c r="C468" s="2" t="s">
        <v>335</v>
      </c>
      <c r="D468" s="3">
        <f>VLOOKUP(B468,Sheet2!$A:$O,4,0)</f>
        <v>1618</v>
      </c>
    </row>
    <row r="469" spans="1:4">
      <c r="A469" s="7" t="s">
        <v>397</v>
      </c>
      <c r="B469" s="2">
        <v>1700071</v>
      </c>
      <c r="C469" s="2" t="s">
        <v>336</v>
      </c>
      <c r="D469" s="3">
        <f>VLOOKUP(B469,Sheet2!$A:$O,4,0)</f>
        <v>12190</v>
      </c>
    </row>
    <row r="470" spans="1:4">
      <c r="A470" s="7" t="s">
        <v>397</v>
      </c>
      <c r="B470" s="2">
        <v>1700072</v>
      </c>
      <c r="C470" s="2" t="s">
        <v>337</v>
      </c>
      <c r="D470" s="3">
        <f>VLOOKUP(B470,Sheet2!$A:$O,4,0)</f>
        <v>10180</v>
      </c>
    </row>
    <row r="471" spans="1:4">
      <c r="A471" s="7" t="s">
        <v>397</v>
      </c>
      <c r="B471" s="2">
        <v>1700073</v>
      </c>
      <c r="C471" s="2" t="s">
        <v>338</v>
      </c>
      <c r="D471" s="3">
        <f>VLOOKUP(B471,Sheet2!$A:$O,4,0)</f>
        <v>9020</v>
      </c>
    </row>
    <row r="472" spans="1:4">
      <c r="A472" s="7" t="s">
        <v>397</v>
      </c>
      <c r="B472" s="2">
        <v>1700076</v>
      </c>
      <c r="C472" s="2" t="s">
        <v>339</v>
      </c>
      <c r="D472" s="3">
        <f>VLOOKUP(B472,Sheet2!$A:$O,4,0)</f>
        <v>3480</v>
      </c>
    </row>
    <row r="473" spans="1:4">
      <c r="A473" s="7" t="s">
        <v>397</v>
      </c>
      <c r="B473" s="2">
        <v>1700077</v>
      </c>
      <c r="C473" s="2" t="s">
        <v>340</v>
      </c>
      <c r="D473" s="3">
        <f>VLOOKUP(B473,Sheet2!$A:$O,4,0)</f>
        <v>3265</v>
      </c>
    </row>
    <row r="474" spans="1:4">
      <c r="A474" s="7" t="s">
        <v>397</v>
      </c>
      <c r="B474" s="2">
        <v>1700078</v>
      </c>
      <c r="C474" s="2" t="s">
        <v>341</v>
      </c>
      <c r="D474" s="3">
        <f>VLOOKUP(B474,Sheet2!$A:$O,4,0)</f>
        <v>4078</v>
      </c>
    </row>
    <row r="475" spans="1:4">
      <c r="A475" s="7" t="s">
        <v>397</v>
      </c>
      <c r="B475" s="2">
        <v>1700080</v>
      </c>
      <c r="C475" s="2" t="s">
        <v>342</v>
      </c>
      <c r="D475" s="3">
        <f>VLOOKUP(B475,Sheet2!$A:$O,4,0)</f>
        <v>3529</v>
      </c>
    </row>
    <row r="476" spans="1:4">
      <c r="A476" s="7" t="s">
        <v>397</v>
      </c>
      <c r="B476" s="2">
        <v>1700083</v>
      </c>
      <c r="C476" s="2" t="s">
        <v>343</v>
      </c>
      <c r="D476" s="3">
        <f>VLOOKUP(B476,Sheet2!$A:$O,4,0)</f>
        <v>4435</v>
      </c>
    </row>
    <row r="477" spans="1:4">
      <c r="A477" s="7" t="s">
        <v>397</v>
      </c>
      <c r="B477" s="2">
        <v>1700084</v>
      </c>
      <c r="C477" s="2" t="s">
        <v>344</v>
      </c>
      <c r="D477" s="3">
        <f>VLOOKUP(B477,Sheet2!$A:$O,4,0)</f>
        <v>11092</v>
      </c>
    </row>
    <row r="478" spans="1:4">
      <c r="A478" s="7" t="s">
        <v>397</v>
      </c>
      <c r="B478" s="2">
        <v>1700085</v>
      </c>
      <c r="C478" s="2" t="s">
        <v>345</v>
      </c>
      <c r="D478" s="3">
        <f>VLOOKUP(B478,Sheet2!$A:$O,4,0)</f>
        <v>7720</v>
      </c>
    </row>
    <row r="479" spans="1:4">
      <c r="A479" s="7" t="s">
        <v>397</v>
      </c>
      <c r="B479" s="2">
        <v>1700086</v>
      </c>
      <c r="C479" s="2" t="s">
        <v>346</v>
      </c>
      <c r="D479" s="3">
        <f>VLOOKUP(B479,Sheet2!$A:$O,4,0)</f>
        <v>2657</v>
      </c>
    </row>
    <row r="480" spans="1:4">
      <c r="A480" s="7" t="s">
        <v>397</v>
      </c>
      <c r="B480" s="2">
        <v>1700087</v>
      </c>
      <c r="C480" s="2" t="s">
        <v>347</v>
      </c>
      <c r="D480" s="3">
        <f>VLOOKUP(B480,Sheet2!$A:$O,4,0)</f>
        <v>4660</v>
      </c>
    </row>
    <row r="481" spans="1:4">
      <c r="A481" s="7" t="s">
        <v>397</v>
      </c>
      <c r="B481" s="2">
        <v>1700088</v>
      </c>
      <c r="C481" s="2" t="s">
        <v>348</v>
      </c>
      <c r="D481" s="3">
        <f>VLOOKUP(B481,Sheet2!$A:$O,4,0)</f>
        <v>15500</v>
      </c>
    </row>
    <row r="482" spans="1:4">
      <c r="A482" s="7" t="s">
        <v>397</v>
      </c>
      <c r="B482" s="2">
        <v>1700089</v>
      </c>
      <c r="C482" s="2" t="s">
        <v>349</v>
      </c>
      <c r="D482" s="3">
        <f>VLOOKUP(B482,Sheet2!$A:$O,4,0)</f>
        <v>18500</v>
      </c>
    </row>
    <row r="483" spans="1:4">
      <c r="A483" s="7" t="s">
        <v>397</v>
      </c>
      <c r="B483" s="2">
        <v>1700090</v>
      </c>
      <c r="C483" s="2" t="s">
        <v>350</v>
      </c>
      <c r="D483" s="3">
        <f>VLOOKUP(B483,Sheet2!$A:$O,4,0)</f>
        <v>28088</v>
      </c>
    </row>
    <row r="484" spans="1:4">
      <c r="A484" s="7" t="s">
        <v>397</v>
      </c>
      <c r="B484" s="2">
        <v>1700091</v>
      </c>
      <c r="C484" s="2" t="s">
        <v>351</v>
      </c>
      <c r="D484" s="3">
        <f>VLOOKUP(B484,Sheet2!$A:$O,4,0)</f>
        <v>15716</v>
      </c>
    </row>
    <row r="485" spans="1:4">
      <c r="A485" s="7" t="s">
        <v>397</v>
      </c>
      <c r="B485" s="2">
        <v>1700092</v>
      </c>
      <c r="C485" s="2" t="s">
        <v>352</v>
      </c>
      <c r="D485" s="3">
        <f>VLOOKUP(B485,Sheet2!$A:$O,4,0)</f>
        <v>2343</v>
      </c>
    </row>
    <row r="486" spans="1:4">
      <c r="A486" s="7" t="s">
        <v>397</v>
      </c>
      <c r="B486" s="2">
        <v>1700093</v>
      </c>
      <c r="C486" s="2" t="s">
        <v>353</v>
      </c>
      <c r="D486" s="3">
        <f>VLOOKUP(B486,Sheet2!$A:$O,4,0)</f>
        <v>23760</v>
      </c>
    </row>
    <row r="487" spans="1:4">
      <c r="A487" s="7" t="s">
        <v>397</v>
      </c>
      <c r="B487" s="2">
        <v>1700094</v>
      </c>
      <c r="C487" s="2" t="s">
        <v>354</v>
      </c>
      <c r="D487" s="3">
        <f>VLOOKUP(B487,Sheet2!$A:$O,4,0)</f>
        <v>13529</v>
      </c>
    </row>
    <row r="488" spans="1:4">
      <c r="A488" s="7" t="s">
        <v>397</v>
      </c>
      <c r="B488" s="2">
        <v>1700095</v>
      </c>
      <c r="C488" s="2" t="s">
        <v>355</v>
      </c>
      <c r="D488" s="3">
        <f>VLOOKUP(B488,Sheet2!$A:$O,4,0)</f>
        <v>4500</v>
      </c>
    </row>
    <row r="489" spans="1:4">
      <c r="A489" s="7" t="s">
        <v>397</v>
      </c>
      <c r="B489" s="2">
        <v>1700096</v>
      </c>
      <c r="C489" s="2" t="s">
        <v>356</v>
      </c>
      <c r="D489" s="3">
        <f>VLOOKUP(B489,Sheet2!$A:$O,4,0)</f>
        <v>24510</v>
      </c>
    </row>
    <row r="490" spans="1:4">
      <c r="A490" s="7" t="s">
        <v>397</v>
      </c>
      <c r="B490" s="2">
        <v>1700097</v>
      </c>
      <c r="C490" s="2" t="s">
        <v>357</v>
      </c>
      <c r="D490" s="3">
        <f>VLOOKUP(B490,Sheet2!$A:$O,4,0)</f>
        <v>19608</v>
      </c>
    </row>
    <row r="491" spans="1:4">
      <c r="A491" s="7" t="s">
        <v>397</v>
      </c>
      <c r="B491" s="2">
        <v>1700098</v>
      </c>
      <c r="C491" s="2" t="s">
        <v>358</v>
      </c>
      <c r="D491" s="3">
        <f>VLOOKUP(B491,Sheet2!$A:$O,4,0)</f>
        <v>19608</v>
      </c>
    </row>
    <row r="492" spans="1:4">
      <c r="A492" s="7" t="s">
        <v>397</v>
      </c>
      <c r="B492" s="2">
        <v>1700099</v>
      </c>
      <c r="C492" s="2" t="s">
        <v>359</v>
      </c>
      <c r="D492" s="3">
        <f>VLOOKUP(B492,Sheet2!$A:$O,4,0)</f>
        <v>9000</v>
      </c>
    </row>
    <row r="493" spans="1:4">
      <c r="A493" s="7" t="s">
        <v>397</v>
      </c>
      <c r="B493" s="2">
        <v>1700100</v>
      </c>
      <c r="C493" s="2" t="s">
        <v>360</v>
      </c>
      <c r="D493" s="3">
        <f>VLOOKUP(B493,Sheet2!$A:$O,4,0)</f>
        <v>3030</v>
      </c>
    </row>
    <row r="494" spans="1:4">
      <c r="A494" s="7" t="s">
        <v>397</v>
      </c>
      <c r="B494" s="2">
        <v>1700101</v>
      </c>
      <c r="C494" s="2" t="s">
        <v>361</v>
      </c>
      <c r="D494" s="3">
        <f>VLOOKUP(B494,Sheet2!$A:$O,4,0)</f>
        <v>7451</v>
      </c>
    </row>
    <row r="495" spans="1:4">
      <c r="A495" s="7" t="s">
        <v>397</v>
      </c>
      <c r="B495" s="2">
        <v>1700102</v>
      </c>
      <c r="C495" s="2" t="s">
        <v>362</v>
      </c>
      <c r="D495" s="3">
        <f>VLOOKUP(B495,Sheet2!$A:$O,4,0)</f>
        <v>40197</v>
      </c>
    </row>
    <row r="496" spans="1:4">
      <c r="A496" s="7" t="s">
        <v>397</v>
      </c>
      <c r="B496" s="2">
        <v>1700103</v>
      </c>
      <c r="C496" s="2" t="s">
        <v>363</v>
      </c>
      <c r="D496" s="3">
        <f>VLOOKUP(B496,Sheet2!$A:$O,4,0)</f>
        <v>9000</v>
      </c>
    </row>
    <row r="497" spans="1:4">
      <c r="A497" s="7" t="s">
        <v>397</v>
      </c>
      <c r="B497" s="2">
        <v>1700104</v>
      </c>
      <c r="C497" s="2" t="s">
        <v>364</v>
      </c>
      <c r="D497" s="3">
        <f>VLOOKUP(B497,Sheet2!$A:$O,4,0)</f>
        <v>36380</v>
      </c>
    </row>
    <row r="498" spans="1:4">
      <c r="A498" s="7" t="s">
        <v>397</v>
      </c>
      <c r="B498" s="2">
        <v>1700105</v>
      </c>
      <c r="C498" s="2" t="s">
        <v>365</v>
      </c>
      <c r="D498" s="3">
        <f>VLOOKUP(B498,Sheet2!$A:$O,4,0)</f>
        <v>10588</v>
      </c>
    </row>
    <row r="499" spans="1:4">
      <c r="A499" s="7" t="s">
        <v>397</v>
      </c>
      <c r="B499" s="2">
        <v>1700106</v>
      </c>
      <c r="C499" s="2" t="s">
        <v>366</v>
      </c>
      <c r="D499" s="3">
        <f>VLOOKUP(B499,Sheet2!$A:$O,4,0)</f>
        <v>14020</v>
      </c>
    </row>
    <row r="500" spans="1:4">
      <c r="A500" s="7" t="s">
        <v>397</v>
      </c>
      <c r="B500" s="2">
        <v>1700107</v>
      </c>
      <c r="C500" s="2" t="s">
        <v>367</v>
      </c>
      <c r="D500" s="3">
        <f>VLOOKUP(B500,Sheet2!$A:$O,4,0)</f>
        <v>9020</v>
      </c>
    </row>
    <row r="501" spans="1:4">
      <c r="A501" s="7" t="s">
        <v>397</v>
      </c>
      <c r="B501" s="2">
        <v>1800002</v>
      </c>
      <c r="C501" s="2" t="s">
        <v>368</v>
      </c>
      <c r="D501" s="3">
        <f>VLOOKUP(B501,Sheet2!$A:$O,4,0)</f>
        <v>9520</v>
      </c>
    </row>
    <row r="502" spans="1:4">
      <c r="A502" s="7" t="s">
        <v>397</v>
      </c>
      <c r="B502" s="2">
        <v>1800004</v>
      </c>
      <c r="C502" s="2" t="s">
        <v>369</v>
      </c>
      <c r="D502" s="3">
        <f>VLOOKUP(B502,Sheet2!$A:$O,4,0)</f>
        <v>0</v>
      </c>
    </row>
    <row r="503" spans="1:4">
      <c r="A503" s="7" t="s">
        <v>397</v>
      </c>
      <c r="B503" s="2">
        <v>1800005</v>
      </c>
      <c r="C503" s="2" t="s">
        <v>370</v>
      </c>
      <c r="D503" s="3">
        <f>VLOOKUP(B503,Sheet2!$A:$O,4,0)</f>
        <v>0</v>
      </c>
    </row>
    <row r="504" spans="1:4">
      <c r="A504" s="7" t="s">
        <v>397</v>
      </c>
      <c r="B504" s="2">
        <v>1800006</v>
      </c>
      <c r="C504" s="2" t="s">
        <v>371</v>
      </c>
      <c r="D504" s="3">
        <f>VLOOKUP(B504,Sheet2!$A:$O,4,0)</f>
        <v>0</v>
      </c>
    </row>
    <row r="505" spans="1:4">
      <c r="A505" s="7" t="s">
        <v>397</v>
      </c>
      <c r="B505" s="2">
        <v>1800007</v>
      </c>
      <c r="C505" s="2" t="s">
        <v>372</v>
      </c>
      <c r="D505" s="3">
        <f>VLOOKUP(B505,Sheet2!$A:$O,4,0)</f>
        <v>10000</v>
      </c>
    </row>
    <row r="506" spans="1:4">
      <c r="A506" s="7" t="s">
        <v>397</v>
      </c>
      <c r="B506" s="2">
        <v>1800008</v>
      </c>
      <c r="C506" s="2" t="s">
        <v>373</v>
      </c>
      <c r="D506" s="3">
        <f>VLOOKUP(B506,Sheet2!$A:$O,4,0)</f>
        <v>10110</v>
      </c>
    </row>
    <row r="507" spans="1:4">
      <c r="A507" s="7" t="s">
        <v>397</v>
      </c>
      <c r="B507" s="2">
        <v>1800009</v>
      </c>
      <c r="C507" s="2" t="s">
        <v>374</v>
      </c>
      <c r="D507" s="3">
        <f>VLOOKUP(B507,Sheet2!$A:$O,4,0)</f>
        <v>11800</v>
      </c>
    </row>
    <row r="508" spans="1:4">
      <c r="A508" s="7" t="s">
        <v>397</v>
      </c>
      <c r="B508" s="2">
        <v>1800010</v>
      </c>
      <c r="C508" s="2" t="s">
        <v>375</v>
      </c>
      <c r="D508" s="3">
        <f>VLOOKUP(B508,Sheet2!$A:$O,4,0)</f>
        <v>5784</v>
      </c>
    </row>
    <row r="509" spans="1:4">
      <c r="A509" s="7" t="s">
        <v>397</v>
      </c>
      <c r="B509" s="2">
        <v>1800011</v>
      </c>
      <c r="C509" s="2" t="s">
        <v>376</v>
      </c>
      <c r="D509" s="3">
        <f>VLOOKUP(B509,Sheet2!$A:$O,4,0)</f>
        <v>9363</v>
      </c>
    </row>
    <row r="510" spans="1:4">
      <c r="A510" s="7" t="s">
        <v>397</v>
      </c>
      <c r="B510" s="2">
        <v>1800012</v>
      </c>
      <c r="C510" s="2" t="s">
        <v>377</v>
      </c>
      <c r="D510" s="3">
        <f>VLOOKUP(B510,Sheet2!$A:$O,4,0)</f>
        <v>5725</v>
      </c>
    </row>
    <row r="511" spans="1:4">
      <c r="A511" s="7" t="s">
        <v>397</v>
      </c>
      <c r="B511" s="2">
        <v>1800013</v>
      </c>
      <c r="C511" s="2" t="s">
        <v>378</v>
      </c>
      <c r="D511" s="3">
        <f>VLOOKUP(B511,Sheet2!$A:$O,4,0)</f>
        <v>49100</v>
      </c>
    </row>
    <row r="512" spans="1:4">
      <c r="A512" s="7" t="s">
        <v>397</v>
      </c>
      <c r="B512" s="2">
        <v>1800014</v>
      </c>
      <c r="C512" s="2" t="s">
        <v>379</v>
      </c>
      <c r="D512" s="3">
        <f>VLOOKUP(B512,Sheet2!$A:$O,4,0)</f>
        <v>70000</v>
      </c>
    </row>
    <row r="513" spans="1:4">
      <c r="A513" s="7" t="s">
        <v>397</v>
      </c>
      <c r="B513" s="2">
        <v>1800015</v>
      </c>
      <c r="C513" s="2" t="s">
        <v>380</v>
      </c>
      <c r="D513" s="3">
        <f>VLOOKUP(B513,Sheet2!$A:$O,4,0)</f>
        <v>66700</v>
      </c>
    </row>
    <row r="514" spans="1:4">
      <c r="A514" s="7" t="s">
        <v>397</v>
      </c>
      <c r="B514" s="2">
        <v>1900013</v>
      </c>
      <c r="C514" s="2" t="s">
        <v>381</v>
      </c>
      <c r="D514" s="3">
        <f>VLOOKUP(B514,Sheet2!$A:$O,4,0)</f>
        <v>0</v>
      </c>
    </row>
    <row r="515" spans="1:4">
      <c r="A515" s="7" t="s">
        <v>397</v>
      </c>
      <c r="B515" s="2">
        <v>1900018</v>
      </c>
      <c r="C515" s="2" t="s">
        <v>382</v>
      </c>
      <c r="D515" s="3">
        <f>VLOOKUP(B515,Sheet2!$A:$O,4,0)</f>
        <v>0</v>
      </c>
    </row>
    <row r="516" spans="1:4">
      <c r="A516" s="7" t="s">
        <v>398</v>
      </c>
      <c r="B516" s="2">
        <v>1010101</v>
      </c>
      <c r="C516" s="2" t="s">
        <v>5</v>
      </c>
      <c r="D516" s="3">
        <f>VLOOKUP(B516,Sheet2!$A:$O,5,0)</f>
        <v>698</v>
      </c>
    </row>
    <row r="517" spans="1:4">
      <c r="A517" s="7" t="s">
        <v>398</v>
      </c>
      <c r="B517" s="2">
        <v>1010111</v>
      </c>
      <c r="C517" s="2" t="s">
        <v>9</v>
      </c>
      <c r="D517" s="3">
        <f>VLOOKUP(B517,Sheet2!$A:$O,5,0)</f>
        <v>18300</v>
      </c>
    </row>
    <row r="518" spans="1:4">
      <c r="A518" s="7" t="s">
        <v>398</v>
      </c>
      <c r="B518" s="2">
        <v>1010201</v>
      </c>
      <c r="C518" s="2" t="s">
        <v>11</v>
      </c>
      <c r="D518" s="3">
        <f>VLOOKUP(B518,Sheet2!$A:$O,5,0)</f>
        <v>882</v>
      </c>
    </row>
    <row r="519" spans="1:4">
      <c r="A519" s="7" t="s">
        <v>398</v>
      </c>
      <c r="B519" s="2">
        <v>1010300</v>
      </c>
      <c r="C519" s="2" t="s">
        <v>213</v>
      </c>
      <c r="D519" s="3">
        <f>VLOOKUP(B519,Sheet2!$A:$O,5,0)</f>
        <v>5490</v>
      </c>
    </row>
    <row r="520" spans="1:4">
      <c r="A520" s="7" t="s">
        <v>398</v>
      </c>
      <c r="B520" s="2">
        <v>1010301</v>
      </c>
      <c r="C520" s="2" t="s">
        <v>214</v>
      </c>
      <c r="D520" s="3">
        <f>VLOOKUP(B520,Sheet2!$A:$O,5,0)</f>
        <v>5882</v>
      </c>
    </row>
    <row r="521" spans="1:4">
      <c r="A521" s="7" t="s">
        <v>398</v>
      </c>
      <c r="B521" s="2">
        <v>1010302</v>
      </c>
      <c r="C521" s="2" t="s">
        <v>16</v>
      </c>
      <c r="D521" s="3">
        <f>VLOOKUP(B521,Sheet2!$A:$O,5,0)</f>
        <v>4216</v>
      </c>
    </row>
    <row r="522" spans="1:4">
      <c r="A522" s="7" t="s">
        <v>398</v>
      </c>
      <c r="B522" s="2">
        <v>1010303</v>
      </c>
      <c r="C522" s="2" t="s">
        <v>18</v>
      </c>
      <c r="D522" s="3">
        <f>VLOOKUP(B522,Sheet2!$A:$O,5,0)</f>
        <v>882</v>
      </c>
    </row>
    <row r="523" spans="1:4">
      <c r="A523" s="7" t="s">
        <v>398</v>
      </c>
      <c r="B523" s="2">
        <v>1010304</v>
      </c>
      <c r="C523" s="2" t="s">
        <v>215</v>
      </c>
      <c r="D523" s="3">
        <f>VLOOKUP(B523,Sheet2!$A:$O,5,0)</f>
        <v>1225</v>
      </c>
    </row>
    <row r="524" spans="1:4">
      <c r="A524" s="7" t="s">
        <v>398</v>
      </c>
      <c r="B524" s="2">
        <v>1010401</v>
      </c>
      <c r="C524" s="2" t="s">
        <v>20</v>
      </c>
      <c r="D524" s="3">
        <f>VLOOKUP(B524,Sheet2!$A:$O,5,0)</f>
        <v>3627</v>
      </c>
    </row>
    <row r="525" spans="1:4">
      <c r="A525" s="7" t="s">
        <v>398</v>
      </c>
      <c r="B525" s="2">
        <v>1010405</v>
      </c>
      <c r="C525" s="2" t="s">
        <v>22</v>
      </c>
      <c r="D525" s="3">
        <f>VLOOKUP(B525,Sheet2!$A:$O,5,0)</f>
        <v>9975</v>
      </c>
    </row>
    <row r="526" spans="1:4">
      <c r="A526" s="7" t="s">
        <v>398</v>
      </c>
      <c r="B526" s="2">
        <v>1010501</v>
      </c>
      <c r="C526" s="2" t="s">
        <v>24</v>
      </c>
      <c r="D526" s="3">
        <f>VLOOKUP(B526,Sheet2!$A:$O,5,0)</f>
        <v>980</v>
      </c>
    </row>
    <row r="527" spans="1:4">
      <c r="A527" s="7" t="s">
        <v>398</v>
      </c>
      <c r="B527" s="2">
        <v>1010502</v>
      </c>
      <c r="C527" s="2" t="s">
        <v>216</v>
      </c>
      <c r="D527" s="3">
        <f>VLOOKUP(B527,Sheet2!$A:$O,5,0)</f>
        <v>0</v>
      </c>
    </row>
    <row r="528" spans="1:4">
      <c r="A528" s="7" t="s">
        <v>398</v>
      </c>
      <c r="B528" s="2">
        <v>1010601</v>
      </c>
      <c r="C528" s="2" t="s">
        <v>26</v>
      </c>
      <c r="D528" s="3">
        <f>VLOOKUP(B528,Sheet2!$A:$O,5,0)</f>
        <v>0</v>
      </c>
    </row>
    <row r="529" spans="1:4">
      <c r="A529" s="7" t="s">
        <v>398</v>
      </c>
      <c r="B529" s="2">
        <v>1010701</v>
      </c>
      <c r="C529" s="2" t="s">
        <v>28</v>
      </c>
      <c r="D529" s="3">
        <f>VLOOKUP(B529,Sheet2!$A:$O,5,0)</f>
        <v>686</v>
      </c>
    </row>
    <row r="530" spans="1:4">
      <c r="A530" s="7" t="s">
        <v>398</v>
      </c>
      <c r="B530" s="2">
        <v>1010801</v>
      </c>
      <c r="C530" s="2" t="s">
        <v>30</v>
      </c>
      <c r="D530" s="3">
        <f>VLOOKUP(B530,Sheet2!$A:$O,5,0)</f>
        <v>7157</v>
      </c>
    </row>
    <row r="531" spans="1:4">
      <c r="A531" s="7" t="s">
        <v>398</v>
      </c>
      <c r="B531" s="2">
        <v>1010901</v>
      </c>
      <c r="C531" s="2" t="s">
        <v>32</v>
      </c>
      <c r="D531" s="3">
        <f>VLOOKUP(B531,Sheet2!$A:$O,5,0)</f>
        <v>4804</v>
      </c>
    </row>
    <row r="532" spans="1:4">
      <c r="A532" s="7" t="s">
        <v>398</v>
      </c>
      <c r="B532" s="2">
        <v>1020101</v>
      </c>
      <c r="C532" s="2" t="s">
        <v>34</v>
      </c>
      <c r="D532" s="3">
        <f>VLOOKUP(B532,Sheet2!$A:$O,5,0)</f>
        <v>15196</v>
      </c>
    </row>
    <row r="533" spans="1:4">
      <c r="A533" s="7" t="s">
        <v>398</v>
      </c>
      <c r="B533" s="2">
        <v>1020201</v>
      </c>
      <c r="C533" s="2" t="s">
        <v>217</v>
      </c>
      <c r="D533" s="3">
        <f>VLOOKUP(B533,Sheet2!$A:$O,5,0)</f>
        <v>5600</v>
      </c>
    </row>
    <row r="534" spans="1:4">
      <c r="A534" s="7" t="s">
        <v>398</v>
      </c>
      <c r="B534" s="2">
        <v>1020301</v>
      </c>
      <c r="C534" s="2" t="s">
        <v>38</v>
      </c>
      <c r="D534" s="3">
        <f>VLOOKUP(B534,Sheet2!$A:$O,5,0)</f>
        <v>2100</v>
      </c>
    </row>
    <row r="535" spans="1:4">
      <c r="A535" s="7" t="s">
        <v>398</v>
      </c>
      <c r="B535" s="2">
        <v>1020401</v>
      </c>
      <c r="C535" s="2" t="s">
        <v>40</v>
      </c>
      <c r="D535" s="3">
        <f>VLOOKUP(B535,Sheet2!$A:$O,5,0)</f>
        <v>3500</v>
      </c>
    </row>
    <row r="536" spans="1:4">
      <c r="A536" s="7" t="s">
        <v>398</v>
      </c>
      <c r="B536" s="2">
        <v>1030102</v>
      </c>
      <c r="C536" s="2" t="s">
        <v>218</v>
      </c>
      <c r="D536" s="3">
        <f>VLOOKUP(B536,Sheet2!$A:$O,5,0)</f>
        <v>0</v>
      </c>
    </row>
    <row r="537" spans="1:4">
      <c r="A537" s="7" t="s">
        <v>398</v>
      </c>
      <c r="B537" s="2">
        <v>1030201</v>
      </c>
      <c r="C537" s="2" t="s">
        <v>42</v>
      </c>
      <c r="D537" s="3">
        <f>VLOOKUP(B537,Sheet2!$A:$O,5,0)</f>
        <v>2255</v>
      </c>
    </row>
    <row r="538" spans="1:4">
      <c r="A538" s="7" t="s">
        <v>398</v>
      </c>
      <c r="B538" s="2">
        <v>1030203</v>
      </c>
      <c r="C538" s="2" t="s">
        <v>219</v>
      </c>
      <c r="D538" s="3">
        <f>VLOOKUP(B538,Sheet2!$A:$O,5,0)</f>
        <v>0</v>
      </c>
    </row>
    <row r="539" spans="1:4">
      <c r="A539" s="7" t="s">
        <v>398</v>
      </c>
      <c r="B539" s="2">
        <v>1030204</v>
      </c>
      <c r="C539" s="2" t="s">
        <v>220</v>
      </c>
      <c r="D539" s="3">
        <f>VLOOKUP(B539,Sheet2!$A:$O,5,0)</f>
        <v>0</v>
      </c>
    </row>
    <row r="540" spans="1:4">
      <c r="A540" s="7" t="s">
        <v>398</v>
      </c>
      <c r="B540" s="2">
        <v>1030205</v>
      </c>
      <c r="C540" s="2" t="s">
        <v>44</v>
      </c>
      <c r="D540" s="3">
        <f>VLOOKUP(B540,Sheet2!$A:$O,5,0)</f>
        <v>5000</v>
      </c>
    </row>
    <row r="541" spans="1:4">
      <c r="A541" s="7" t="s">
        <v>398</v>
      </c>
      <c r="B541" s="2">
        <v>1030206</v>
      </c>
      <c r="C541" s="2" t="s">
        <v>46</v>
      </c>
      <c r="D541" s="3">
        <f>VLOOKUP(B541,Sheet2!$A:$O,5,0)</f>
        <v>5400</v>
      </c>
    </row>
    <row r="542" spans="1:4">
      <c r="A542" s="7" t="s">
        <v>398</v>
      </c>
      <c r="B542" s="2">
        <v>1030207</v>
      </c>
      <c r="C542" s="2" t="s">
        <v>48</v>
      </c>
      <c r="D542" s="3">
        <f>VLOOKUP(B542,Sheet2!$A:$O,5,0)</f>
        <v>4400</v>
      </c>
    </row>
    <row r="543" spans="1:4">
      <c r="A543" s="7" t="s">
        <v>398</v>
      </c>
      <c r="B543" s="2">
        <v>1030501</v>
      </c>
      <c r="C543" s="2" t="s">
        <v>50</v>
      </c>
      <c r="D543" s="3">
        <f>VLOOKUP(B543,Sheet2!$A:$O,5,0)</f>
        <v>1051</v>
      </c>
    </row>
    <row r="544" spans="1:4">
      <c r="A544" s="7" t="s">
        <v>398</v>
      </c>
      <c r="B544" s="2">
        <v>1030601</v>
      </c>
      <c r="C544" s="2" t="s">
        <v>52</v>
      </c>
      <c r="D544" s="3">
        <f>VLOOKUP(B544,Sheet2!$A:$O,5,0)</f>
        <v>3000</v>
      </c>
    </row>
    <row r="545" spans="1:4">
      <c r="A545" s="7" t="s">
        <v>398</v>
      </c>
      <c r="B545" s="2">
        <v>1030701</v>
      </c>
      <c r="C545" s="2" t="s">
        <v>221</v>
      </c>
      <c r="D545" s="3">
        <f>VLOOKUP(B545,Sheet2!$A:$O,5,0)</f>
        <v>3000</v>
      </c>
    </row>
    <row r="546" spans="1:4">
      <c r="A546" s="7" t="s">
        <v>398</v>
      </c>
      <c r="B546" s="2">
        <v>1030705</v>
      </c>
      <c r="C546" s="2" t="s">
        <v>222</v>
      </c>
      <c r="D546" s="3">
        <f>VLOOKUP(B546,Sheet2!$A:$O,5,0)</f>
        <v>0</v>
      </c>
    </row>
    <row r="547" spans="1:4">
      <c r="A547" s="7" t="s">
        <v>398</v>
      </c>
      <c r="B547" s="2">
        <v>1030801</v>
      </c>
      <c r="C547" s="2" t="s">
        <v>54</v>
      </c>
      <c r="D547" s="3">
        <f>VLOOKUP(B547,Sheet2!$A:$O,5,0)</f>
        <v>1436</v>
      </c>
    </row>
    <row r="548" spans="1:4">
      <c r="A548" s="7" t="s">
        <v>398</v>
      </c>
      <c r="B548" s="2">
        <v>1030901</v>
      </c>
      <c r="C548" s="2" t="s">
        <v>223</v>
      </c>
      <c r="D548" s="3">
        <f>VLOOKUP(B548,Sheet2!$A:$O,5,0)</f>
        <v>0</v>
      </c>
    </row>
    <row r="549" spans="1:4">
      <c r="A549" s="7" t="s">
        <v>398</v>
      </c>
      <c r="B549" s="2">
        <v>1040201</v>
      </c>
      <c r="C549" s="2" t="s">
        <v>56</v>
      </c>
      <c r="D549" s="3">
        <f>VLOOKUP(B549,Sheet2!$A:$O,5,0)</f>
        <v>1500</v>
      </c>
    </row>
    <row r="550" spans="1:4">
      <c r="A550" s="7" t="s">
        <v>398</v>
      </c>
      <c r="B550" s="2">
        <v>1040202</v>
      </c>
      <c r="C550" s="2" t="s">
        <v>224</v>
      </c>
      <c r="D550" s="3">
        <f>VLOOKUP(B550,Sheet2!$A:$O,5,0)</f>
        <v>0</v>
      </c>
    </row>
    <row r="551" spans="1:4">
      <c r="A551" s="7" t="s">
        <v>398</v>
      </c>
      <c r="B551" s="2">
        <v>1040203</v>
      </c>
      <c r="C551" s="2" t="s">
        <v>225</v>
      </c>
      <c r="D551" s="3">
        <f>VLOOKUP(B551,Sheet2!$A:$O,5,0)</f>
        <v>0</v>
      </c>
    </row>
    <row r="552" spans="1:4">
      <c r="A552" s="7" t="s">
        <v>398</v>
      </c>
      <c r="B552" s="2">
        <v>1040204</v>
      </c>
      <c r="C552" s="2" t="s">
        <v>226</v>
      </c>
      <c r="D552" s="3">
        <f>VLOOKUP(B552,Sheet2!$A:$O,5,0)</f>
        <v>7917</v>
      </c>
    </row>
    <row r="553" spans="1:4">
      <c r="A553" s="7" t="s">
        <v>398</v>
      </c>
      <c r="B553" s="2">
        <v>1040301</v>
      </c>
      <c r="C553" s="2" t="s">
        <v>58</v>
      </c>
      <c r="D553" s="3">
        <f>VLOOKUP(B553,Sheet2!$A:$O,5,0)</f>
        <v>1790</v>
      </c>
    </row>
    <row r="554" spans="1:4">
      <c r="A554" s="7" t="s">
        <v>398</v>
      </c>
      <c r="B554" s="2">
        <v>1040401</v>
      </c>
      <c r="C554" s="2" t="s">
        <v>227</v>
      </c>
      <c r="D554" s="3">
        <f>VLOOKUP(B554,Sheet2!$A:$O,5,0)</f>
        <v>0</v>
      </c>
    </row>
    <row r="555" spans="1:4">
      <c r="A555" s="7" t="s">
        <v>398</v>
      </c>
      <c r="B555" s="2">
        <v>1050102</v>
      </c>
      <c r="C555" s="2" t="s">
        <v>60</v>
      </c>
      <c r="D555" s="3">
        <f>VLOOKUP(B555,Sheet2!$A:$O,5,0)</f>
        <v>29500</v>
      </c>
    </row>
    <row r="556" spans="1:4">
      <c r="A556" s="7" t="s">
        <v>398</v>
      </c>
      <c r="B556" s="2">
        <v>1050103</v>
      </c>
      <c r="C556" s="2" t="s">
        <v>228</v>
      </c>
      <c r="D556" s="3">
        <f>VLOOKUP(B556,Sheet2!$A:$O,5,0)</f>
        <v>11275</v>
      </c>
    </row>
    <row r="557" spans="1:4">
      <c r="A557" s="7" t="s">
        <v>398</v>
      </c>
      <c r="B557" s="2">
        <v>1050301</v>
      </c>
      <c r="C557" s="2" t="s">
        <v>62</v>
      </c>
      <c r="D557" s="3">
        <f>VLOOKUP(B557,Sheet2!$A:$O,5,0)</f>
        <v>9804</v>
      </c>
    </row>
    <row r="558" spans="1:4">
      <c r="A558" s="7" t="s">
        <v>398</v>
      </c>
      <c r="B558" s="2">
        <v>1050401</v>
      </c>
      <c r="C558" s="2" t="s">
        <v>64</v>
      </c>
      <c r="D558" s="3">
        <f>VLOOKUP(B558,Sheet2!$A:$O,5,0)</f>
        <v>8824</v>
      </c>
    </row>
    <row r="559" spans="1:4">
      <c r="A559" s="7" t="s">
        <v>398</v>
      </c>
      <c r="B559" s="2">
        <v>1050501</v>
      </c>
      <c r="C559" s="2" t="s">
        <v>66</v>
      </c>
      <c r="D559" s="3">
        <f>VLOOKUP(B559,Sheet2!$A:$O,5,0)</f>
        <v>10785</v>
      </c>
    </row>
    <row r="560" spans="1:4">
      <c r="A560" s="7" t="s">
        <v>398</v>
      </c>
      <c r="B560" s="2">
        <v>1050511</v>
      </c>
      <c r="C560" s="2" t="s">
        <v>68</v>
      </c>
      <c r="D560" s="3">
        <f>VLOOKUP(B560,Sheet2!$A:$O,5,0)</f>
        <v>18000</v>
      </c>
    </row>
    <row r="561" spans="1:4">
      <c r="A561" s="7" t="s">
        <v>398</v>
      </c>
      <c r="B561" s="2">
        <v>1050512</v>
      </c>
      <c r="C561" s="2" t="s">
        <v>229</v>
      </c>
      <c r="D561" s="3">
        <f>VLOOKUP(B561,Sheet2!$A:$O,5,0)</f>
        <v>0</v>
      </c>
    </row>
    <row r="562" spans="1:4">
      <c r="A562" s="7" t="s">
        <v>398</v>
      </c>
      <c r="B562" s="2">
        <v>1050521</v>
      </c>
      <c r="C562" s="2" t="s">
        <v>70</v>
      </c>
      <c r="D562" s="3">
        <f>VLOOKUP(B562,Sheet2!$A:$O,5,0)</f>
        <v>14706</v>
      </c>
    </row>
    <row r="563" spans="1:4">
      <c r="A563" s="7" t="s">
        <v>398</v>
      </c>
      <c r="B563" s="2">
        <v>1050531</v>
      </c>
      <c r="C563" s="2" t="s">
        <v>72</v>
      </c>
      <c r="D563" s="3">
        <f>VLOOKUP(B563,Sheet2!$A:$O,5,0)</f>
        <v>21000</v>
      </c>
    </row>
    <row r="564" spans="1:4">
      <c r="A564" s="7" t="s">
        <v>398</v>
      </c>
      <c r="B564" s="2">
        <v>1050541</v>
      </c>
      <c r="C564" s="2" t="s">
        <v>74</v>
      </c>
      <c r="D564" s="3">
        <f>VLOOKUP(B564,Sheet2!$A:$O,5,0)</f>
        <v>11000</v>
      </c>
    </row>
    <row r="565" spans="1:4">
      <c r="A565" s="7" t="s">
        <v>398</v>
      </c>
      <c r="B565" s="2">
        <v>1050551</v>
      </c>
      <c r="C565" s="2" t="s">
        <v>76</v>
      </c>
      <c r="D565" s="3">
        <f>VLOOKUP(B565,Sheet2!$A:$O,5,0)</f>
        <v>54000</v>
      </c>
    </row>
    <row r="566" spans="1:4">
      <c r="A566" s="7" t="s">
        <v>398</v>
      </c>
      <c r="B566" s="2">
        <v>1050561</v>
      </c>
      <c r="C566" s="2" t="s">
        <v>78</v>
      </c>
      <c r="D566" s="3">
        <f>VLOOKUP(B566,Sheet2!$A:$O,5,0)</f>
        <v>98000</v>
      </c>
    </row>
    <row r="567" spans="1:4">
      <c r="A567" s="7" t="s">
        <v>398</v>
      </c>
      <c r="B567" s="2">
        <v>1050571</v>
      </c>
      <c r="C567" s="2" t="s">
        <v>80</v>
      </c>
      <c r="D567" s="3">
        <f>VLOOKUP(B567,Sheet2!$A:$O,5,0)</f>
        <v>58000</v>
      </c>
    </row>
    <row r="568" spans="1:4">
      <c r="A568" s="7" t="s">
        <v>398</v>
      </c>
      <c r="B568" s="2">
        <v>1050581</v>
      </c>
      <c r="C568" s="2" t="s">
        <v>82</v>
      </c>
      <c r="D568" s="3">
        <f>VLOOKUP(B568,Sheet2!$A:$O,5,0)</f>
        <v>57000</v>
      </c>
    </row>
    <row r="569" spans="1:4">
      <c r="A569" s="7" t="s">
        <v>398</v>
      </c>
      <c r="B569" s="2">
        <v>1050591</v>
      </c>
      <c r="C569" s="2" t="s">
        <v>84</v>
      </c>
      <c r="D569" s="3">
        <f>VLOOKUP(B569,Sheet2!$A:$O,5,0)</f>
        <v>97750</v>
      </c>
    </row>
    <row r="570" spans="1:4">
      <c r="A570" s="7" t="s">
        <v>398</v>
      </c>
      <c r="B570" s="2">
        <v>1050601</v>
      </c>
      <c r="C570" s="2" t="s">
        <v>86</v>
      </c>
      <c r="D570" s="3">
        <f>VLOOKUP(B570,Sheet2!$A:$O,5,0)</f>
        <v>5900</v>
      </c>
    </row>
    <row r="571" spans="1:4">
      <c r="A571" s="7" t="s">
        <v>398</v>
      </c>
      <c r="B571" s="2">
        <v>1050701</v>
      </c>
      <c r="C571" s="2" t="s">
        <v>88</v>
      </c>
      <c r="D571" s="3">
        <f>VLOOKUP(B571,Sheet2!$A:$O,5,0)</f>
        <v>5600</v>
      </c>
    </row>
    <row r="572" spans="1:4">
      <c r="A572" s="7" t="s">
        <v>398</v>
      </c>
      <c r="B572" s="2">
        <v>1050702</v>
      </c>
      <c r="C572" s="2" t="s">
        <v>90</v>
      </c>
      <c r="D572" s="3">
        <f>VLOOKUP(B572,Sheet2!$A:$O,5,0)</f>
        <v>5600</v>
      </c>
    </row>
    <row r="573" spans="1:4">
      <c r="A573" s="7" t="s">
        <v>398</v>
      </c>
      <c r="B573" s="2">
        <v>1050711</v>
      </c>
      <c r="C573" s="2" t="s">
        <v>92</v>
      </c>
      <c r="D573" s="3">
        <f>VLOOKUP(B573,Sheet2!$A:$O,5,0)</f>
        <v>2900</v>
      </c>
    </row>
    <row r="574" spans="1:4">
      <c r="A574" s="7" t="s">
        <v>398</v>
      </c>
      <c r="B574" s="2">
        <v>1050721</v>
      </c>
      <c r="C574" s="2" t="s">
        <v>94</v>
      </c>
      <c r="D574" s="3">
        <f>VLOOKUP(B574,Sheet2!$A:$O,5,0)</f>
        <v>14300</v>
      </c>
    </row>
    <row r="575" spans="1:4">
      <c r="A575" s="7" t="s">
        <v>398</v>
      </c>
      <c r="B575" s="2">
        <v>1050801</v>
      </c>
      <c r="C575" s="2" t="s">
        <v>7</v>
      </c>
      <c r="D575" s="3">
        <f>VLOOKUP(B575,Sheet2!$A:$O,5,0)</f>
        <v>1026</v>
      </c>
    </row>
    <row r="576" spans="1:4">
      <c r="A576" s="7" t="s">
        <v>398</v>
      </c>
      <c r="B576" s="2">
        <v>1050901</v>
      </c>
      <c r="C576" s="2" t="s">
        <v>96</v>
      </c>
      <c r="D576" s="3">
        <f>VLOOKUP(B576,Sheet2!$A:$O,5,0)</f>
        <v>1539</v>
      </c>
    </row>
    <row r="577" spans="1:4">
      <c r="A577" s="7" t="s">
        <v>398</v>
      </c>
      <c r="B577" s="2">
        <v>1060101</v>
      </c>
      <c r="C577" s="2" t="s">
        <v>98</v>
      </c>
      <c r="D577" s="3">
        <f>VLOOKUP(B577,Sheet2!$A:$O,5,0)</f>
        <v>2250</v>
      </c>
    </row>
    <row r="578" spans="1:4">
      <c r="A578" s="7" t="s">
        <v>398</v>
      </c>
      <c r="B578" s="2">
        <v>1060401</v>
      </c>
      <c r="C578" s="2" t="s">
        <v>100</v>
      </c>
      <c r="D578" s="3">
        <f>VLOOKUP(B578,Sheet2!$A:$O,5,0)</f>
        <v>71000</v>
      </c>
    </row>
    <row r="579" spans="1:4">
      <c r="A579" s="7" t="s">
        <v>398</v>
      </c>
      <c r="B579" s="2">
        <v>1060412</v>
      </c>
      <c r="C579" s="2" t="s">
        <v>230</v>
      </c>
      <c r="D579" s="3">
        <f>VLOOKUP(B579,Sheet2!$A:$O,5,0)</f>
        <v>33000</v>
      </c>
    </row>
    <row r="580" spans="1:4">
      <c r="A580" s="7" t="s">
        <v>398</v>
      </c>
      <c r="B580" s="2">
        <v>1060421</v>
      </c>
      <c r="C580" s="2" t="s">
        <v>104</v>
      </c>
      <c r="D580" s="3">
        <f>VLOOKUP(B580,Sheet2!$A:$O,5,0)</f>
        <v>76000</v>
      </c>
    </row>
    <row r="581" spans="1:4">
      <c r="A581" s="7" t="s">
        <v>398</v>
      </c>
      <c r="B581" s="2">
        <v>1060441</v>
      </c>
      <c r="C581" s="2" t="s">
        <v>106</v>
      </c>
      <c r="D581" s="3">
        <f>VLOOKUP(B581,Sheet2!$A:$O,5,0)</f>
        <v>5200</v>
      </c>
    </row>
    <row r="582" spans="1:4">
      <c r="A582" s="7" t="s">
        <v>398</v>
      </c>
      <c r="B582" s="2">
        <v>1060451</v>
      </c>
      <c r="C582" s="2" t="s">
        <v>108</v>
      </c>
      <c r="D582" s="3">
        <f>VLOOKUP(B582,Sheet2!$A:$O,5,0)</f>
        <v>0</v>
      </c>
    </row>
    <row r="583" spans="1:4">
      <c r="A583" s="7" t="s">
        <v>398</v>
      </c>
      <c r="B583" s="2">
        <v>1070101</v>
      </c>
      <c r="C583" s="2" t="s">
        <v>110</v>
      </c>
      <c r="D583" s="3">
        <f>VLOOKUP(B583,Sheet2!$A:$O,5,0)</f>
        <v>3650</v>
      </c>
    </row>
    <row r="584" spans="1:4">
      <c r="A584" s="7" t="s">
        <v>398</v>
      </c>
      <c r="B584" s="2">
        <v>1070301</v>
      </c>
      <c r="C584" s="2" t="s">
        <v>112</v>
      </c>
      <c r="D584" s="3">
        <f>VLOOKUP(B584,Sheet2!$A:$O,5,0)</f>
        <v>35000</v>
      </c>
    </row>
    <row r="585" spans="1:4">
      <c r="A585" s="7" t="s">
        <v>398</v>
      </c>
      <c r="B585" s="2">
        <v>1070401</v>
      </c>
      <c r="C585" s="2" t="s">
        <v>114</v>
      </c>
      <c r="D585" s="3">
        <f>VLOOKUP(B585,Sheet2!$A:$O,5,0)</f>
        <v>12000</v>
      </c>
    </row>
    <row r="586" spans="1:4">
      <c r="A586" s="7" t="s">
        <v>398</v>
      </c>
      <c r="B586" s="2">
        <v>1070501</v>
      </c>
      <c r="C586" s="2" t="s">
        <v>231</v>
      </c>
      <c r="D586" s="3">
        <f>VLOOKUP(B586,Sheet2!$A:$O,5,0)</f>
        <v>5500</v>
      </c>
    </row>
    <row r="587" spans="1:4">
      <c r="A587" s="7" t="s">
        <v>398</v>
      </c>
      <c r="B587" s="2">
        <v>1070701</v>
      </c>
      <c r="C587" s="2" t="s">
        <v>118</v>
      </c>
      <c r="D587" s="3">
        <f>VLOOKUP(B587,Sheet2!$A:$O,5,0)</f>
        <v>36000</v>
      </c>
    </row>
    <row r="588" spans="1:4">
      <c r="A588" s="7" t="s">
        <v>398</v>
      </c>
      <c r="B588" s="2">
        <v>1070801</v>
      </c>
      <c r="C588" s="2" t="s">
        <v>232</v>
      </c>
      <c r="D588" s="3">
        <f>VLOOKUP(B588,Sheet2!$A:$O,5,0)</f>
        <v>35000</v>
      </c>
    </row>
    <row r="589" spans="1:4">
      <c r="A589" s="7" t="s">
        <v>398</v>
      </c>
      <c r="B589" s="2">
        <v>1080101</v>
      </c>
      <c r="C589" s="2" t="s">
        <v>120</v>
      </c>
      <c r="D589" s="3">
        <f>VLOOKUP(B589,Sheet2!$A:$O,5,0)</f>
        <v>11000</v>
      </c>
    </row>
    <row r="590" spans="1:4">
      <c r="A590" s="7" t="s">
        <v>398</v>
      </c>
      <c r="B590" s="2">
        <v>1080201</v>
      </c>
      <c r="C590" s="2" t="s">
        <v>122</v>
      </c>
      <c r="D590" s="3">
        <f>VLOOKUP(B590,Sheet2!$A:$O,5,0)</f>
        <v>620</v>
      </c>
    </row>
    <row r="591" spans="1:4">
      <c r="A591" s="7" t="s">
        <v>398</v>
      </c>
      <c r="B591" s="2">
        <v>1080301</v>
      </c>
      <c r="C591" s="2" t="s">
        <v>124</v>
      </c>
      <c r="D591" s="3">
        <f>VLOOKUP(B591,Sheet2!$A:$O,5,0)</f>
        <v>1550</v>
      </c>
    </row>
    <row r="592" spans="1:4">
      <c r="A592" s="7" t="s">
        <v>398</v>
      </c>
      <c r="B592" s="2">
        <v>1080401</v>
      </c>
      <c r="C592" s="2" t="s">
        <v>233</v>
      </c>
      <c r="D592" s="3">
        <f>VLOOKUP(B592,Sheet2!$A:$O,5,0)</f>
        <v>3300</v>
      </c>
    </row>
    <row r="593" spans="1:4">
      <c r="A593" s="7" t="s">
        <v>398</v>
      </c>
      <c r="B593" s="2">
        <v>1080411</v>
      </c>
      <c r="C593" s="2" t="s">
        <v>128</v>
      </c>
      <c r="D593" s="3">
        <f>VLOOKUP(B593,Sheet2!$A:$O,5,0)</f>
        <v>3300</v>
      </c>
    </row>
    <row r="594" spans="1:4">
      <c r="A594" s="7" t="s">
        <v>398</v>
      </c>
      <c r="B594" s="2">
        <v>1080501</v>
      </c>
      <c r="C594" s="2" t="s">
        <v>130</v>
      </c>
      <c r="D594" s="3">
        <f>VLOOKUP(B594,Sheet2!$A:$O,5,0)</f>
        <v>3800</v>
      </c>
    </row>
    <row r="595" spans="1:4">
      <c r="A595" s="7" t="s">
        <v>398</v>
      </c>
      <c r="B595" s="2">
        <v>1080602</v>
      </c>
      <c r="C595" s="2" t="s">
        <v>234</v>
      </c>
      <c r="D595" s="3">
        <f>VLOOKUP(B595,Sheet2!$A:$O,5,0)</f>
        <v>37600</v>
      </c>
    </row>
    <row r="596" spans="1:4">
      <c r="A596" s="7" t="s">
        <v>398</v>
      </c>
      <c r="B596" s="2">
        <v>1080604</v>
      </c>
      <c r="C596" s="2" t="s">
        <v>235</v>
      </c>
      <c r="D596" s="3">
        <f>VLOOKUP(B596,Sheet2!$A:$O,5,0)</f>
        <v>0</v>
      </c>
    </row>
    <row r="597" spans="1:4">
      <c r="A597" s="7" t="s">
        <v>398</v>
      </c>
      <c r="B597" s="2">
        <v>1080702</v>
      </c>
      <c r="C597" s="2" t="s">
        <v>236</v>
      </c>
      <c r="D597" s="3">
        <f>VLOOKUP(B597,Sheet2!$A:$O,5,0)</f>
        <v>42500</v>
      </c>
    </row>
    <row r="598" spans="1:4">
      <c r="A598" s="7" t="s">
        <v>398</v>
      </c>
      <c r="B598" s="2">
        <v>1080704</v>
      </c>
      <c r="C598" s="2" t="s">
        <v>237</v>
      </c>
      <c r="D598" s="3">
        <f>VLOOKUP(B598,Sheet2!$A:$O,5,0)</f>
        <v>0</v>
      </c>
    </row>
    <row r="599" spans="1:4">
      <c r="A599" s="7" t="s">
        <v>398</v>
      </c>
      <c r="B599" s="2">
        <v>1090104</v>
      </c>
      <c r="C599" s="2" t="s">
        <v>136</v>
      </c>
      <c r="D599" s="3">
        <f>VLOOKUP(B599,Sheet2!$A:$O,5,0)</f>
        <v>40000</v>
      </c>
    </row>
    <row r="600" spans="1:4">
      <c r="A600" s="7" t="s">
        <v>398</v>
      </c>
      <c r="B600" s="2">
        <v>1090112</v>
      </c>
      <c r="C600" s="2" t="s">
        <v>138</v>
      </c>
      <c r="D600" s="3">
        <f>VLOOKUP(B600,Sheet2!$A:$O,5,0)</f>
        <v>35000</v>
      </c>
    </row>
    <row r="601" spans="1:4">
      <c r="A601" s="7" t="s">
        <v>398</v>
      </c>
      <c r="B601" s="2">
        <v>1090201</v>
      </c>
      <c r="C601" s="2" t="s">
        <v>140</v>
      </c>
      <c r="D601" s="3">
        <f>VLOOKUP(B601,Sheet2!$A:$O,5,0)</f>
        <v>15800</v>
      </c>
    </row>
    <row r="602" spans="1:4">
      <c r="A602" s="7" t="s">
        <v>398</v>
      </c>
      <c r="B602" s="2">
        <v>1090202</v>
      </c>
      <c r="C602" s="2" t="s">
        <v>142</v>
      </c>
      <c r="D602" s="3">
        <f>VLOOKUP(B602,Sheet2!$A:$O,5,0)</f>
        <v>98000</v>
      </c>
    </row>
    <row r="603" spans="1:4">
      <c r="A603" s="7" t="s">
        <v>398</v>
      </c>
      <c r="B603" s="2">
        <v>1090203</v>
      </c>
      <c r="C603" s="2" t="s">
        <v>144</v>
      </c>
      <c r="D603" s="3">
        <f>VLOOKUP(B603,Sheet2!$A:$O,5,0)</f>
        <v>23000</v>
      </c>
    </row>
    <row r="604" spans="1:4">
      <c r="A604" s="7" t="s">
        <v>398</v>
      </c>
      <c r="B604" s="2">
        <v>1090211</v>
      </c>
      <c r="C604" s="2" t="s">
        <v>146</v>
      </c>
      <c r="D604" s="3">
        <f>VLOOKUP(B604,Sheet2!$A:$O,5,0)</f>
        <v>69000</v>
      </c>
    </row>
    <row r="605" spans="1:4">
      <c r="A605" s="7" t="s">
        <v>398</v>
      </c>
      <c r="B605" s="2">
        <v>1090301</v>
      </c>
      <c r="C605" s="2" t="s">
        <v>238</v>
      </c>
      <c r="D605" s="3">
        <f>VLOOKUP(B605,Sheet2!$A:$O,5,0)</f>
        <v>32000</v>
      </c>
    </row>
    <row r="606" spans="1:4">
      <c r="A606" s="7" t="s">
        <v>398</v>
      </c>
      <c r="B606" s="2">
        <v>1090311</v>
      </c>
      <c r="C606" s="2" t="s">
        <v>150</v>
      </c>
      <c r="D606" s="3">
        <f>VLOOKUP(B606,Sheet2!$A:$O,5,0)</f>
        <v>37000</v>
      </c>
    </row>
    <row r="607" spans="1:4">
      <c r="A607" s="7" t="s">
        <v>398</v>
      </c>
      <c r="B607" s="2">
        <v>1090321</v>
      </c>
      <c r="C607" s="2" t="s">
        <v>152</v>
      </c>
      <c r="D607" s="3">
        <f>VLOOKUP(B607,Sheet2!$A:$O,5,0)</f>
        <v>75000</v>
      </c>
    </row>
    <row r="608" spans="1:4">
      <c r="A608" s="7" t="s">
        <v>398</v>
      </c>
      <c r="B608" s="2">
        <v>1090401</v>
      </c>
      <c r="C608" s="2" t="s">
        <v>154</v>
      </c>
      <c r="D608" s="3">
        <f>VLOOKUP(B608,Sheet2!$A:$O,5,0)</f>
        <v>8300</v>
      </c>
    </row>
    <row r="609" spans="1:4">
      <c r="A609" s="7" t="s">
        <v>398</v>
      </c>
      <c r="B609" s="2">
        <v>1090411</v>
      </c>
      <c r="C609" s="2" t="s">
        <v>156</v>
      </c>
      <c r="D609" s="3">
        <f>VLOOKUP(B609,Sheet2!$A:$O,5,0)</f>
        <v>45000</v>
      </c>
    </row>
    <row r="610" spans="1:4">
      <c r="A610" s="7" t="s">
        <v>398</v>
      </c>
      <c r="B610" s="2">
        <v>1090421</v>
      </c>
      <c r="C610" s="2" t="s">
        <v>158</v>
      </c>
      <c r="D610" s="3">
        <f>VLOOKUP(B610,Sheet2!$A:$O,5,0)</f>
        <v>36000</v>
      </c>
    </row>
    <row r="611" spans="1:4">
      <c r="A611" s="7" t="s">
        <v>398</v>
      </c>
      <c r="B611" s="2">
        <v>1090551</v>
      </c>
      <c r="C611" s="2" t="s">
        <v>239</v>
      </c>
      <c r="D611" s="3">
        <f>VLOOKUP(B611,Sheet2!$A:$O,5,0)</f>
        <v>4900</v>
      </c>
    </row>
    <row r="612" spans="1:4">
      <c r="A612" s="7" t="s">
        <v>398</v>
      </c>
      <c r="B612" s="2">
        <v>1090602</v>
      </c>
      <c r="C612" s="2" t="s">
        <v>162</v>
      </c>
      <c r="D612" s="3">
        <f>VLOOKUP(B612,Sheet2!$A:$O,5,0)</f>
        <v>5130</v>
      </c>
    </row>
    <row r="613" spans="1:4">
      <c r="A613" s="7" t="s">
        <v>398</v>
      </c>
      <c r="B613" s="2">
        <v>1090611</v>
      </c>
      <c r="C613" s="2" t="s">
        <v>164</v>
      </c>
      <c r="D613" s="3">
        <f>VLOOKUP(B613,Sheet2!$A:$O,5,0)</f>
        <v>4300</v>
      </c>
    </row>
    <row r="614" spans="1:4">
      <c r="A614" s="7" t="s">
        <v>398</v>
      </c>
      <c r="B614" s="2">
        <v>1090701</v>
      </c>
      <c r="C614" s="2" t="s">
        <v>166</v>
      </c>
      <c r="D614" s="3">
        <f>VLOOKUP(B614,Sheet2!$A:$O,5,0)</f>
        <v>21000</v>
      </c>
    </row>
    <row r="615" spans="1:4">
      <c r="A615" s="7" t="s">
        <v>398</v>
      </c>
      <c r="B615" s="2">
        <v>1090901</v>
      </c>
      <c r="C615" s="2" t="s">
        <v>168</v>
      </c>
      <c r="D615" s="3">
        <f>VLOOKUP(B615,Sheet2!$A:$O,5,0)</f>
        <v>4300</v>
      </c>
    </row>
    <row r="616" spans="1:4">
      <c r="A616" s="7" t="s">
        <v>398</v>
      </c>
      <c r="B616" s="2">
        <v>1091001</v>
      </c>
      <c r="C616" s="2" t="s">
        <v>170</v>
      </c>
      <c r="D616" s="3">
        <f>VLOOKUP(B616,Sheet2!$A:$O,5,0)</f>
        <v>6500</v>
      </c>
    </row>
    <row r="617" spans="1:4">
      <c r="A617" s="7" t="s">
        <v>398</v>
      </c>
      <c r="B617" s="2">
        <v>1091002</v>
      </c>
      <c r="C617" s="2" t="s">
        <v>172</v>
      </c>
      <c r="D617" s="3">
        <f>VLOOKUP(B617,Sheet2!$A:$O,5,0)</f>
        <v>6373</v>
      </c>
    </row>
    <row r="618" spans="1:4">
      <c r="A618" s="7" t="s">
        <v>398</v>
      </c>
      <c r="B618" s="2">
        <v>1091003</v>
      </c>
      <c r="C618" s="2" t="s">
        <v>174</v>
      </c>
      <c r="D618" s="3">
        <f>VLOOKUP(B618,Sheet2!$A:$O,5,0)</f>
        <v>7367</v>
      </c>
    </row>
    <row r="619" spans="1:4">
      <c r="A619" s="7" t="s">
        <v>398</v>
      </c>
      <c r="B619" s="2">
        <v>1091004</v>
      </c>
      <c r="C619" s="2" t="s">
        <v>240</v>
      </c>
      <c r="D619" s="3">
        <f>VLOOKUP(B619,Sheet2!$A:$O,5,0)</f>
        <v>0</v>
      </c>
    </row>
    <row r="620" spans="1:4">
      <c r="A620" s="7" t="s">
        <v>398</v>
      </c>
      <c r="B620" s="2">
        <v>1091005</v>
      </c>
      <c r="C620" s="2" t="s">
        <v>241</v>
      </c>
      <c r="D620" s="3">
        <f>VLOOKUP(B620,Sheet2!$A:$O,5,0)</f>
        <v>0</v>
      </c>
    </row>
    <row r="621" spans="1:4">
      <c r="A621" s="7" t="s">
        <v>398</v>
      </c>
      <c r="B621" s="2">
        <v>1091006</v>
      </c>
      <c r="C621" s="2" t="s">
        <v>242</v>
      </c>
      <c r="D621" s="3">
        <f>VLOOKUP(B621,Sheet2!$A:$O,5,0)</f>
        <v>0</v>
      </c>
    </row>
    <row r="622" spans="1:4">
      <c r="A622" s="7" t="s">
        <v>398</v>
      </c>
      <c r="B622" s="2">
        <v>1091007</v>
      </c>
      <c r="C622" s="2" t="s">
        <v>243</v>
      </c>
      <c r="D622" s="3">
        <f>VLOOKUP(B622,Sheet2!$A:$O,5,0)</f>
        <v>2640</v>
      </c>
    </row>
    <row r="623" spans="1:4">
      <c r="A623" s="7" t="s">
        <v>398</v>
      </c>
      <c r="B623" s="2">
        <v>1091008</v>
      </c>
      <c r="C623" s="2" t="s">
        <v>176</v>
      </c>
      <c r="D623" s="3">
        <f>VLOOKUP(B623,Sheet2!$A:$O,5,0)</f>
        <v>0</v>
      </c>
    </row>
    <row r="624" spans="1:4">
      <c r="A624" s="7" t="s">
        <v>398</v>
      </c>
      <c r="B624" s="2">
        <v>1091009</v>
      </c>
      <c r="C624" s="2" t="s">
        <v>178</v>
      </c>
      <c r="D624" s="3">
        <f>VLOOKUP(B624,Sheet2!$A:$O,5,0)</f>
        <v>0</v>
      </c>
    </row>
    <row r="625" spans="1:4">
      <c r="A625" s="7" t="s">
        <v>398</v>
      </c>
      <c r="B625" s="2">
        <v>1091010</v>
      </c>
      <c r="C625" s="2" t="s">
        <v>180</v>
      </c>
      <c r="D625" s="3">
        <f>VLOOKUP(B625,Sheet2!$A:$O,5,0)</f>
        <v>27000</v>
      </c>
    </row>
    <row r="626" spans="1:4">
      <c r="A626" s="7" t="s">
        <v>398</v>
      </c>
      <c r="B626" s="2">
        <v>1091011</v>
      </c>
      <c r="C626" s="2" t="s">
        <v>182</v>
      </c>
      <c r="D626" s="3">
        <f>VLOOKUP(B626,Sheet2!$A:$O,5,0)</f>
        <v>33000</v>
      </c>
    </row>
    <row r="627" spans="1:4">
      <c r="A627" s="7" t="s">
        <v>398</v>
      </c>
      <c r="B627" s="2">
        <v>1091012</v>
      </c>
      <c r="C627" s="2" t="s">
        <v>184</v>
      </c>
      <c r="D627" s="3">
        <f>VLOOKUP(B627,Sheet2!$A:$O,5,0)</f>
        <v>47000</v>
      </c>
    </row>
    <row r="628" spans="1:4">
      <c r="A628" s="7" t="s">
        <v>398</v>
      </c>
      <c r="B628" s="2">
        <v>1091013</v>
      </c>
      <c r="C628" s="2" t="s">
        <v>186</v>
      </c>
      <c r="D628" s="3">
        <f>VLOOKUP(B628,Sheet2!$A:$O,5,0)</f>
        <v>33000</v>
      </c>
    </row>
    <row r="629" spans="1:4">
      <c r="A629" s="7" t="s">
        <v>398</v>
      </c>
      <c r="B629" s="2">
        <v>1091014</v>
      </c>
      <c r="C629" s="2" t="s">
        <v>244</v>
      </c>
      <c r="D629" s="3">
        <f>VLOOKUP(B629,Sheet2!$A:$O,5,0)</f>
        <v>6961</v>
      </c>
    </row>
    <row r="630" spans="1:4">
      <c r="A630" s="7" t="s">
        <v>398</v>
      </c>
      <c r="B630" s="2">
        <v>1091015</v>
      </c>
      <c r="C630" s="2" t="s">
        <v>245</v>
      </c>
      <c r="D630" s="3">
        <f>VLOOKUP(B630,Sheet2!$A:$O,5,0)</f>
        <v>25490</v>
      </c>
    </row>
    <row r="631" spans="1:4">
      <c r="A631" s="7" t="s">
        <v>398</v>
      </c>
      <c r="B631" s="2">
        <v>1091016</v>
      </c>
      <c r="C631" s="2" t="s">
        <v>246</v>
      </c>
      <c r="D631" s="3">
        <f>VLOOKUP(B631,Sheet2!$A:$O,5,0)</f>
        <v>59000</v>
      </c>
    </row>
    <row r="632" spans="1:4">
      <c r="A632" s="7" t="s">
        <v>398</v>
      </c>
      <c r="B632" s="2">
        <v>1091017</v>
      </c>
      <c r="C632" s="2" t="s">
        <v>247</v>
      </c>
      <c r="D632" s="3">
        <f>VLOOKUP(B632,Sheet2!$A:$O,5,0)</f>
        <v>0</v>
      </c>
    </row>
    <row r="633" spans="1:4">
      <c r="A633" s="7" t="s">
        <v>398</v>
      </c>
      <c r="B633" s="2">
        <v>1091018</v>
      </c>
      <c r="C633" s="2" t="s">
        <v>248</v>
      </c>
      <c r="D633" s="3">
        <f>VLOOKUP(B633,Sheet2!$A:$O,5,0)</f>
        <v>0</v>
      </c>
    </row>
    <row r="634" spans="1:4">
      <c r="A634" s="7" t="s">
        <v>398</v>
      </c>
      <c r="B634" s="2">
        <v>1091019</v>
      </c>
      <c r="C634" s="2" t="s">
        <v>249</v>
      </c>
      <c r="D634" s="3">
        <f>VLOOKUP(B634,Sheet2!$A:$O,5,0)</f>
        <v>53387</v>
      </c>
    </row>
    <row r="635" spans="1:4">
      <c r="A635" s="7" t="s">
        <v>398</v>
      </c>
      <c r="B635" s="2">
        <v>1091020</v>
      </c>
      <c r="C635" s="2" t="s">
        <v>250</v>
      </c>
      <c r="D635" s="3">
        <f>VLOOKUP(B635,Sheet2!$A:$O,5,0)</f>
        <v>62745</v>
      </c>
    </row>
    <row r="636" spans="1:4">
      <c r="A636" s="7" t="s">
        <v>398</v>
      </c>
      <c r="B636" s="2">
        <v>1091021</v>
      </c>
      <c r="C636" s="2" t="s">
        <v>251</v>
      </c>
      <c r="D636" s="3">
        <f>VLOOKUP(B636,Sheet2!$A:$O,5,0)</f>
        <v>53922</v>
      </c>
    </row>
    <row r="637" spans="1:4">
      <c r="A637" s="7" t="s">
        <v>398</v>
      </c>
      <c r="B637" s="2">
        <v>1091022</v>
      </c>
      <c r="C637" s="2" t="s">
        <v>252</v>
      </c>
      <c r="D637" s="3">
        <f>VLOOKUP(B637,Sheet2!$A:$O,5,0)</f>
        <v>3235</v>
      </c>
    </row>
    <row r="638" spans="1:4">
      <c r="A638" s="7" t="s">
        <v>398</v>
      </c>
      <c r="B638" s="2">
        <v>1091023</v>
      </c>
      <c r="C638" s="2" t="s">
        <v>253</v>
      </c>
      <c r="D638" s="3">
        <f>VLOOKUP(B638,Sheet2!$A:$O,5,0)</f>
        <v>4412</v>
      </c>
    </row>
    <row r="639" spans="1:4">
      <c r="A639" s="7" t="s">
        <v>398</v>
      </c>
      <c r="B639" s="2">
        <v>1091024</v>
      </c>
      <c r="C639" s="2" t="s">
        <v>254</v>
      </c>
      <c r="D639" s="3">
        <f>VLOOKUP(B639,Sheet2!$A:$O,5,0)</f>
        <v>3922</v>
      </c>
    </row>
    <row r="640" spans="1:4">
      <c r="A640" s="7" t="s">
        <v>398</v>
      </c>
      <c r="B640" s="2">
        <v>1091025</v>
      </c>
      <c r="C640" s="2" t="s">
        <v>255</v>
      </c>
      <c r="D640" s="3">
        <f>VLOOKUP(B640,Sheet2!$A:$O,5,0)</f>
        <v>7843</v>
      </c>
    </row>
    <row r="641" spans="1:4">
      <c r="A641" s="7" t="s">
        <v>398</v>
      </c>
      <c r="B641" s="2">
        <v>1091026</v>
      </c>
      <c r="C641" s="2" t="s">
        <v>256</v>
      </c>
      <c r="D641" s="3">
        <f>VLOOKUP(B641,Sheet2!$A:$O,5,0)</f>
        <v>30196</v>
      </c>
    </row>
    <row r="642" spans="1:4">
      <c r="A642" s="7" t="s">
        <v>398</v>
      </c>
      <c r="B642" s="2">
        <v>1600101</v>
      </c>
      <c r="C642" s="2" t="s">
        <v>188</v>
      </c>
      <c r="D642" s="3">
        <f>VLOOKUP(B642,Sheet2!$A:$O,5,0)</f>
        <v>2253</v>
      </c>
    </row>
    <row r="643" spans="1:4">
      <c r="A643" s="7" t="s">
        <v>398</v>
      </c>
      <c r="B643" s="2">
        <v>1600102</v>
      </c>
      <c r="C643" s="2" t="s">
        <v>257</v>
      </c>
      <c r="D643" s="3">
        <f>VLOOKUP(B643,Sheet2!$A:$O,5,0)</f>
        <v>34314</v>
      </c>
    </row>
    <row r="644" spans="1:4">
      <c r="A644" s="7" t="s">
        <v>398</v>
      </c>
      <c r="B644" s="2">
        <v>1600103</v>
      </c>
      <c r="C644" s="2" t="s">
        <v>258</v>
      </c>
      <c r="D644" s="3">
        <f>VLOOKUP(B644,Sheet2!$A:$O,5,0)</f>
        <v>19800</v>
      </c>
    </row>
    <row r="645" spans="1:4">
      <c r="A645" s="7" t="s">
        <v>398</v>
      </c>
      <c r="B645" s="2">
        <v>1600104</v>
      </c>
      <c r="C645" s="2" t="s">
        <v>259</v>
      </c>
      <c r="D645" s="3">
        <f>VLOOKUP(B645,Sheet2!$A:$O,5,0)</f>
        <v>65000</v>
      </c>
    </row>
    <row r="646" spans="1:4">
      <c r="A646" s="7" t="s">
        <v>398</v>
      </c>
      <c r="B646" s="2">
        <v>1600105</v>
      </c>
      <c r="C646" s="2" t="s">
        <v>260</v>
      </c>
      <c r="D646" s="3">
        <f>VLOOKUP(B646,Sheet2!$A:$O,5,0)</f>
        <v>73000</v>
      </c>
    </row>
    <row r="647" spans="1:4">
      <c r="A647" s="7" t="s">
        <v>398</v>
      </c>
      <c r="B647" s="2">
        <v>1600106</v>
      </c>
      <c r="C647" s="2" t="s">
        <v>261</v>
      </c>
      <c r="D647" s="3">
        <f>VLOOKUP(B647,Sheet2!$A:$O,5,0)</f>
        <v>66667</v>
      </c>
    </row>
    <row r="648" spans="1:4">
      <c r="A648" s="7" t="s">
        <v>398</v>
      </c>
      <c r="B648" s="2">
        <v>1600107</v>
      </c>
      <c r="C648" s="2" t="s">
        <v>262</v>
      </c>
      <c r="D648" s="3">
        <f>VLOOKUP(B648,Sheet2!$A:$O,5,0)</f>
        <v>67647</v>
      </c>
    </row>
    <row r="649" spans="1:4">
      <c r="A649" s="7" t="s">
        <v>398</v>
      </c>
      <c r="B649" s="2">
        <v>1600108</v>
      </c>
      <c r="C649" s="2" t="s">
        <v>263</v>
      </c>
      <c r="D649" s="3">
        <f>VLOOKUP(B649,Sheet2!$A:$O,5,0)</f>
        <v>67647</v>
      </c>
    </row>
    <row r="650" spans="1:4">
      <c r="A650" s="7" t="s">
        <v>398</v>
      </c>
      <c r="B650" s="2">
        <v>1600109</v>
      </c>
      <c r="C650" s="2" t="s">
        <v>264</v>
      </c>
      <c r="D650" s="3">
        <f>VLOOKUP(B650,Sheet2!$A:$O,5,0)</f>
        <v>4510</v>
      </c>
    </row>
    <row r="651" spans="1:4">
      <c r="A651" s="7" t="s">
        <v>398</v>
      </c>
      <c r="B651" s="2">
        <v>1600110</v>
      </c>
      <c r="C651" s="2" t="s">
        <v>265</v>
      </c>
      <c r="D651" s="3">
        <f>VLOOKUP(B651,Sheet2!$A:$O,5,0)</f>
        <v>7917</v>
      </c>
    </row>
    <row r="652" spans="1:4">
      <c r="A652" s="7" t="s">
        <v>398</v>
      </c>
      <c r="B652" s="2">
        <v>1600111</v>
      </c>
      <c r="C652" s="2" t="s">
        <v>266</v>
      </c>
      <c r="D652" s="3">
        <f>VLOOKUP(B652,Sheet2!$A:$O,5,0)</f>
        <v>2266</v>
      </c>
    </row>
    <row r="653" spans="1:4">
      <c r="A653" s="7" t="s">
        <v>398</v>
      </c>
      <c r="B653" s="2">
        <v>1600112</v>
      </c>
      <c r="C653" s="2" t="s">
        <v>190</v>
      </c>
      <c r="D653" s="3">
        <f>VLOOKUP(B653,Sheet2!$A:$O,5,0)</f>
        <v>4800</v>
      </c>
    </row>
    <row r="654" spans="1:4">
      <c r="A654" s="7" t="s">
        <v>398</v>
      </c>
      <c r="B654" s="2">
        <v>1600113</v>
      </c>
      <c r="C654" s="2" t="s">
        <v>267</v>
      </c>
      <c r="D654" s="3">
        <f>VLOOKUP(B654,Sheet2!$A:$O,5,0)</f>
        <v>0</v>
      </c>
    </row>
    <row r="655" spans="1:4">
      <c r="A655" s="7" t="s">
        <v>398</v>
      </c>
      <c r="B655" s="2">
        <v>1600114</v>
      </c>
      <c r="C655" s="2" t="s">
        <v>268</v>
      </c>
      <c r="D655" s="3">
        <f>VLOOKUP(B655,Sheet2!$A:$O,5,0)</f>
        <v>14490</v>
      </c>
    </row>
    <row r="656" spans="1:4">
      <c r="A656" s="7" t="s">
        <v>398</v>
      </c>
      <c r="B656" s="2">
        <v>1700001</v>
      </c>
      <c r="C656" s="2" t="s">
        <v>269</v>
      </c>
      <c r="D656" s="3">
        <f>VLOOKUP(B656,Sheet2!$A:$O,5,0)</f>
        <v>3340</v>
      </c>
    </row>
    <row r="657" spans="1:4">
      <c r="A657" s="7" t="s">
        <v>398</v>
      </c>
      <c r="B657" s="2">
        <v>1700002</v>
      </c>
      <c r="C657" s="2" t="s">
        <v>270</v>
      </c>
      <c r="D657" s="3">
        <f>VLOOKUP(B657,Sheet2!$A:$O,5,0)</f>
        <v>3726</v>
      </c>
    </row>
    <row r="658" spans="1:4">
      <c r="A658" s="7" t="s">
        <v>398</v>
      </c>
      <c r="B658" s="2">
        <v>1700003</v>
      </c>
      <c r="C658" s="2" t="s">
        <v>271</v>
      </c>
      <c r="D658" s="3">
        <f>VLOOKUP(B658,Sheet2!$A:$O,5,0)</f>
        <v>4902</v>
      </c>
    </row>
    <row r="659" spans="1:4">
      <c r="A659" s="7" t="s">
        <v>398</v>
      </c>
      <c r="B659" s="2">
        <v>1700004</v>
      </c>
      <c r="C659" s="2" t="s">
        <v>272</v>
      </c>
      <c r="D659" s="3">
        <f>VLOOKUP(B659,Sheet2!$A:$O,5,0)</f>
        <v>13137</v>
      </c>
    </row>
    <row r="660" spans="1:4">
      <c r="A660" s="7" t="s">
        <v>398</v>
      </c>
      <c r="B660" s="2">
        <v>1700005</v>
      </c>
      <c r="C660" s="2" t="s">
        <v>192</v>
      </c>
      <c r="D660" s="3">
        <f>VLOOKUP(B660,Sheet2!$A:$O,5,0)</f>
        <v>1667</v>
      </c>
    </row>
    <row r="661" spans="1:4">
      <c r="A661" s="7" t="s">
        <v>398</v>
      </c>
      <c r="B661" s="2">
        <v>1700006</v>
      </c>
      <c r="C661" s="2" t="s">
        <v>273</v>
      </c>
      <c r="D661" s="3">
        <f>VLOOKUP(B661,Sheet2!$A:$O,5,0)</f>
        <v>6373</v>
      </c>
    </row>
    <row r="662" spans="1:4">
      <c r="A662" s="7" t="s">
        <v>398</v>
      </c>
      <c r="B662" s="2">
        <v>1700007</v>
      </c>
      <c r="C662" s="2" t="s">
        <v>274</v>
      </c>
      <c r="D662" s="3">
        <f>VLOOKUP(B662,Sheet2!$A:$O,5,0)</f>
        <v>0</v>
      </c>
    </row>
    <row r="663" spans="1:4">
      <c r="A663" s="7" t="s">
        <v>398</v>
      </c>
      <c r="B663" s="2">
        <v>1700008</v>
      </c>
      <c r="C663" s="2" t="s">
        <v>275</v>
      </c>
      <c r="D663" s="3">
        <f>VLOOKUP(B663,Sheet2!$A:$O,5,0)</f>
        <v>0</v>
      </c>
    </row>
    <row r="664" spans="1:4">
      <c r="A664" s="7" t="s">
        <v>398</v>
      </c>
      <c r="B664" s="2">
        <v>1700009</v>
      </c>
      <c r="C664" s="2" t="s">
        <v>276</v>
      </c>
      <c r="D664" s="3">
        <f>VLOOKUP(B664,Sheet2!$A:$O,5,0)</f>
        <v>0</v>
      </c>
    </row>
    <row r="665" spans="1:4">
      <c r="A665" s="7" t="s">
        <v>398</v>
      </c>
      <c r="B665" s="2">
        <v>1700010</v>
      </c>
      <c r="C665" s="2" t="s">
        <v>277</v>
      </c>
      <c r="D665" s="3">
        <f>VLOOKUP(B665,Sheet2!$A:$O,5,0)</f>
        <v>4530</v>
      </c>
    </row>
    <row r="666" spans="1:4">
      <c r="A666" s="7" t="s">
        <v>398</v>
      </c>
      <c r="B666" s="2">
        <v>1700011</v>
      </c>
      <c r="C666" s="2" t="s">
        <v>278</v>
      </c>
      <c r="D666" s="3">
        <f>VLOOKUP(B666,Sheet2!$A:$O,5,0)</f>
        <v>0</v>
      </c>
    </row>
    <row r="667" spans="1:4">
      <c r="A667" s="7" t="s">
        <v>398</v>
      </c>
      <c r="B667" s="2">
        <v>1700012</v>
      </c>
      <c r="C667" s="2" t="s">
        <v>279</v>
      </c>
      <c r="D667" s="3">
        <f>VLOOKUP(B667,Sheet2!$A:$O,5,0)</f>
        <v>12255</v>
      </c>
    </row>
    <row r="668" spans="1:4">
      <c r="A668" s="7" t="s">
        <v>398</v>
      </c>
      <c r="B668" s="2">
        <v>1700013</v>
      </c>
      <c r="C668" s="2" t="s">
        <v>280</v>
      </c>
      <c r="D668" s="3">
        <f>VLOOKUP(B668,Sheet2!$A:$O,5,0)</f>
        <v>657</v>
      </c>
    </row>
    <row r="669" spans="1:4">
      <c r="A669" s="7" t="s">
        <v>398</v>
      </c>
      <c r="B669" s="2">
        <v>1700014</v>
      </c>
      <c r="C669" s="2" t="s">
        <v>194</v>
      </c>
      <c r="D669" s="3">
        <f>VLOOKUP(B669,Sheet2!$A:$O,5,0)</f>
        <v>2255</v>
      </c>
    </row>
    <row r="670" spans="1:4">
      <c r="A670" s="7" t="s">
        <v>398</v>
      </c>
      <c r="B670" s="2">
        <v>1700015</v>
      </c>
      <c r="C670" s="2" t="s">
        <v>281</v>
      </c>
      <c r="D670" s="3">
        <f>VLOOKUP(B670,Sheet2!$A:$O,5,0)</f>
        <v>3580</v>
      </c>
    </row>
    <row r="671" spans="1:4">
      <c r="A671" s="7" t="s">
        <v>398</v>
      </c>
      <c r="B671" s="2">
        <v>1700016</v>
      </c>
      <c r="C671" s="2" t="s">
        <v>282</v>
      </c>
      <c r="D671" s="3">
        <f>VLOOKUP(B671,Sheet2!$A:$O,5,0)</f>
        <v>2657</v>
      </c>
    </row>
    <row r="672" spans="1:4">
      <c r="A672" s="7" t="s">
        <v>398</v>
      </c>
      <c r="B672" s="2">
        <v>1700017</v>
      </c>
      <c r="C672" s="2" t="s">
        <v>283</v>
      </c>
      <c r="D672" s="3">
        <f>VLOOKUP(B672,Sheet2!$A:$O,5,0)</f>
        <v>10784</v>
      </c>
    </row>
    <row r="673" spans="1:4">
      <c r="A673" s="7" t="s">
        <v>398</v>
      </c>
      <c r="B673" s="2">
        <v>1700018</v>
      </c>
      <c r="C673" s="2" t="s">
        <v>284</v>
      </c>
      <c r="D673" s="3">
        <f>VLOOKUP(B673,Sheet2!$A:$O,5,0)</f>
        <v>4549</v>
      </c>
    </row>
    <row r="674" spans="1:4">
      <c r="A674" s="7" t="s">
        <v>398</v>
      </c>
      <c r="B674" s="2">
        <v>1700019</v>
      </c>
      <c r="C674" s="2" t="s">
        <v>285</v>
      </c>
      <c r="D674" s="3">
        <f>VLOOKUP(B674,Sheet2!$A:$O,5,0)</f>
        <v>0</v>
      </c>
    </row>
    <row r="675" spans="1:4">
      <c r="A675" s="7" t="s">
        <v>398</v>
      </c>
      <c r="B675" s="2">
        <v>1700020</v>
      </c>
      <c r="C675" s="2" t="s">
        <v>286</v>
      </c>
      <c r="D675" s="3">
        <f>VLOOKUP(B675,Sheet2!$A:$O,5,0)</f>
        <v>50211</v>
      </c>
    </row>
    <row r="676" spans="1:4">
      <c r="A676" s="7" t="s">
        <v>398</v>
      </c>
      <c r="B676" s="2">
        <v>1700021</v>
      </c>
      <c r="C676" s="2" t="s">
        <v>287</v>
      </c>
      <c r="D676" s="3">
        <f>VLOOKUP(B676,Sheet2!$A:$O,5,0)</f>
        <v>71301</v>
      </c>
    </row>
    <row r="677" spans="1:4">
      <c r="A677" s="7" t="s">
        <v>398</v>
      </c>
      <c r="B677" s="2">
        <v>1700022</v>
      </c>
      <c r="C677" s="2" t="s">
        <v>288</v>
      </c>
      <c r="D677" s="3">
        <f>VLOOKUP(B677,Sheet2!$A:$O,5,0)</f>
        <v>26628</v>
      </c>
    </row>
    <row r="678" spans="1:4">
      <c r="A678" s="7" t="s">
        <v>398</v>
      </c>
      <c r="B678" s="2">
        <v>1700023</v>
      </c>
      <c r="C678" s="2" t="s">
        <v>289</v>
      </c>
      <c r="D678" s="3">
        <f>VLOOKUP(B678,Sheet2!$A:$O,5,0)</f>
        <v>5294</v>
      </c>
    </row>
    <row r="679" spans="1:4">
      <c r="A679" s="7" t="s">
        <v>398</v>
      </c>
      <c r="B679" s="2">
        <v>1700024</v>
      </c>
      <c r="C679" s="2" t="s">
        <v>290</v>
      </c>
      <c r="D679" s="3">
        <f>VLOOKUP(B679,Sheet2!$A:$O,5,0)</f>
        <v>0</v>
      </c>
    </row>
    <row r="680" spans="1:4">
      <c r="A680" s="7" t="s">
        <v>398</v>
      </c>
      <c r="B680" s="2">
        <v>1700025</v>
      </c>
      <c r="C680" s="2" t="s">
        <v>291</v>
      </c>
      <c r="D680" s="3">
        <f>VLOOKUP(B680,Sheet2!$A:$O,5,0)</f>
        <v>0</v>
      </c>
    </row>
    <row r="681" spans="1:4">
      <c r="A681" s="7" t="s">
        <v>398</v>
      </c>
      <c r="B681" s="2">
        <v>1700026</v>
      </c>
      <c r="C681" s="2" t="s">
        <v>292</v>
      </c>
      <c r="D681" s="3">
        <f>VLOOKUP(B681,Sheet2!$A:$O,5,0)</f>
        <v>3843</v>
      </c>
    </row>
    <row r="682" spans="1:4">
      <c r="A682" s="7" t="s">
        <v>398</v>
      </c>
      <c r="B682" s="2">
        <v>1700027</v>
      </c>
      <c r="C682" s="2" t="s">
        <v>293</v>
      </c>
      <c r="D682" s="3">
        <f>VLOOKUP(B682,Sheet2!$A:$O,5,0)</f>
        <v>4657</v>
      </c>
    </row>
    <row r="683" spans="1:4">
      <c r="A683" s="7" t="s">
        <v>398</v>
      </c>
      <c r="B683" s="2">
        <v>1700028</v>
      </c>
      <c r="C683" s="2" t="s">
        <v>294</v>
      </c>
      <c r="D683" s="3">
        <f>VLOOKUP(B683,Sheet2!$A:$O,5,0)</f>
        <v>9500</v>
      </c>
    </row>
    <row r="684" spans="1:4">
      <c r="A684" s="7" t="s">
        <v>398</v>
      </c>
      <c r="B684" s="2">
        <v>1700029</v>
      </c>
      <c r="C684" s="2" t="s">
        <v>295</v>
      </c>
      <c r="D684" s="3">
        <f>VLOOKUP(B684,Sheet2!$A:$O,5,0)</f>
        <v>10670</v>
      </c>
    </row>
    <row r="685" spans="1:4">
      <c r="A685" s="7" t="s">
        <v>398</v>
      </c>
      <c r="B685" s="2">
        <v>1700030</v>
      </c>
      <c r="C685" s="2" t="s">
        <v>296</v>
      </c>
      <c r="D685" s="3">
        <f>VLOOKUP(B685,Sheet2!$A:$O,5,0)</f>
        <v>12720</v>
      </c>
    </row>
    <row r="686" spans="1:4">
      <c r="A686" s="7" t="s">
        <v>398</v>
      </c>
      <c r="B686" s="2">
        <v>1700031</v>
      </c>
      <c r="C686" s="2" t="s">
        <v>196</v>
      </c>
      <c r="D686" s="3">
        <f>VLOOKUP(B686,Sheet2!$A:$O,5,0)</f>
        <v>1961</v>
      </c>
    </row>
    <row r="687" spans="1:4">
      <c r="A687" s="7" t="s">
        <v>398</v>
      </c>
      <c r="B687" s="2">
        <v>1700032</v>
      </c>
      <c r="C687" s="2" t="s">
        <v>297</v>
      </c>
      <c r="D687" s="3">
        <f>VLOOKUP(B687,Sheet2!$A:$O,5,0)</f>
        <v>0</v>
      </c>
    </row>
    <row r="688" spans="1:4">
      <c r="A688" s="7" t="s">
        <v>398</v>
      </c>
      <c r="B688" s="2">
        <v>1700033</v>
      </c>
      <c r="C688" s="2" t="s">
        <v>298</v>
      </c>
      <c r="D688" s="3">
        <f>VLOOKUP(B688,Sheet2!$A:$O,5,0)</f>
        <v>0</v>
      </c>
    </row>
    <row r="689" spans="1:4">
      <c r="A689" s="7" t="s">
        <v>398</v>
      </c>
      <c r="B689" s="2">
        <v>1700034</v>
      </c>
      <c r="C689" s="2" t="s">
        <v>299</v>
      </c>
      <c r="D689" s="3">
        <f>VLOOKUP(B689,Sheet2!$A:$O,5,0)</f>
        <v>15125</v>
      </c>
    </row>
    <row r="690" spans="1:4">
      <c r="A690" s="7" t="s">
        <v>398</v>
      </c>
      <c r="B690" s="2">
        <v>1700035</v>
      </c>
      <c r="C690" s="2" t="s">
        <v>300</v>
      </c>
      <c r="D690" s="3">
        <f>VLOOKUP(B690,Sheet2!$A:$O,5,0)</f>
        <v>34000</v>
      </c>
    </row>
    <row r="691" spans="1:4">
      <c r="A691" s="7" t="s">
        <v>398</v>
      </c>
      <c r="B691" s="2">
        <v>1700036</v>
      </c>
      <c r="C691" s="2" t="s">
        <v>301</v>
      </c>
      <c r="D691" s="3">
        <f>VLOOKUP(B691,Sheet2!$A:$O,5,0)</f>
        <v>4000</v>
      </c>
    </row>
    <row r="692" spans="1:4">
      <c r="A692" s="7" t="s">
        <v>398</v>
      </c>
      <c r="B692" s="2">
        <v>1700037</v>
      </c>
      <c r="C692" s="2" t="s">
        <v>302</v>
      </c>
      <c r="D692" s="3">
        <f>VLOOKUP(B692,Sheet2!$A:$O,5,0)</f>
        <v>7133</v>
      </c>
    </row>
    <row r="693" spans="1:4">
      <c r="A693" s="7" t="s">
        <v>398</v>
      </c>
      <c r="B693" s="2">
        <v>1700038</v>
      </c>
      <c r="C693" s="2" t="s">
        <v>303</v>
      </c>
      <c r="D693" s="3">
        <f>VLOOKUP(B693,Sheet2!$A:$O,5,0)</f>
        <v>2079</v>
      </c>
    </row>
    <row r="694" spans="1:4">
      <c r="A694" s="7" t="s">
        <v>398</v>
      </c>
      <c r="B694" s="2">
        <v>1700039</v>
      </c>
      <c r="C694" s="2" t="s">
        <v>304</v>
      </c>
      <c r="D694" s="3">
        <f>VLOOKUP(B694,Sheet2!$A:$O,5,0)</f>
        <v>2000</v>
      </c>
    </row>
    <row r="695" spans="1:4">
      <c r="A695" s="7" t="s">
        <v>398</v>
      </c>
      <c r="B695" s="2">
        <v>1700040</v>
      </c>
      <c r="C695" s="2" t="s">
        <v>305</v>
      </c>
      <c r="D695" s="3">
        <f>VLOOKUP(B695,Sheet2!$A:$O,5,0)</f>
        <v>1967</v>
      </c>
    </row>
    <row r="696" spans="1:4">
      <c r="A696" s="7" t="s">
        <v>398</v>
      </c>
      <c r="B696" s="2">
        <v>1700041</v>
      </c>
      <c r="C696" s="2" t="s">
        <v>306</v>
      </c>
      <c r="D696" s="3">
        <f>VLOOKUP(B696,Sheet2!$A:$O,5,0)</f>
        <v>3000</v>
      </c>
    </row>
    <row r="697" spans="1:4">
      <c r="A697" s="7" t="s">
        <v>398</v>
      </c>
      <c r="B697" s="2">
        <v>1700042</v>
      </c>
      <c r="C697" s="2" t="s">
        <v>307</v>
      </c>
      <c r="D697" s="3">
        <f>VLOOKUP(B697,Sheet2!$A:$O,5,0)</f>
        <v>3212</v>
      </c>
    </row>
    <row r="698" spans="1:4">
      <c r="A698" s="7" t="s">
        <v>398</v>
      </c>
      <c r="B698" s="2">
        <v>1700043</v>
      </c>
      <c r="C698" s="2" t="s">
        <v>308</v>
      </c>
      <c r="D698" s="3">
        <f>VLOOKUP(B698,Sheet2!$A:$O,5,0)</f>
        <v>2931</v>
      </c>
    </row>
    <row r="699" spans="1:4">
      <c r="A699" s="7" t="s">
        <v>398</v>
      </c>
      <c r="B699" s="2">
        <v>1700044</v>
      </c>
      <c r="C699" s="2" t="s">
        <v>309</v>
      </c>
      <c r="D699" s="3">
        <f>VLOOKUP(B699,Sheet2!$A:$O,5,0)</f>
        <v>7000</v>
      </c>
    </row>
    <row r="700" spans="1:4">
      <c r="A700" s="7" t="s">
        <v>398</v>
      </c>
      <c r="B700" s="2">
        <v>1700045</v>
      </c>
      <c r="C700" s="2" t="s">
        <v>310</v>
      </c>
      <c r="D700" s="3">
        <f>VLOOKUP(B700,Sheet2!$A:$O,5,0)</f>
        <v>3549</v>
      </c>
    </row>
    <row r="701" spans="1:4">
      <c r="A701" s="7" t="s">
        <v>398</v>
      </c>
      <c r="B701" s="2">
        <v>1700046</v>
      </c>
      <c r="C701" s="2" t="s">
        <v>311</v>
      </c>
      <c r="D701" s="3">
        <f>VLOOKUP(B701,Sheet2!$A:$O,5,0)</f>
        <v>6176</v>
      </c>
    </row>
    <row r="702" spans="1:4">
      <c r="A702" s="7" t="s">
        <v>398</v>
      </c>
      <c r="B702" s="2">
        <v>1700047</v>
      </c>
      <c r="C702" s="2" t="s">
        <v>312</v>
      </c>
      <c r="D702" s="3">
        <f>VLOOKUP(B702,Sheet2!$A:$O,5,0)</f>
        <v>25000</v>
      </c>
    </row>
    <row r="703" spans="1:4">
      <c r="A703" s="7" t="s">
        <v>398</v>
      </c>
      <c r="B703" s="2">
        <v>1700048</v>
      </c>
      <c r="C703" s="2" t="s">
        <v>313</v>
      </c>
      <c r="D703" s="3">
        <f>VLOOKUP(B703,Sheet2!$A:$O,5,0)</f>
        <v>13330</v>
      </c>
    </row>
    <row r="704" spans="1:4">
      <c r="A704" s="7" t="s">
        <v>398</v>
      </c>
      <c r="B704" s="2">
        <v>1700049</v>
      </c>
      <c r="C704" s="2" t="s">
        <v>314</v>
      </c>
      <c r="D704" s="3">
        <f>VLOOKUP(B704,Sheet2!$A:$O,5,0)</f>
        <v>5785</v>
      </c>
    </row>
    <row r="705" spans="1:4">
      <c r="A705" s="7" t="s">
        <v>398</v>
      </c>
      <c r="B705" s="2">
        <v>1700050</v>
      </c>
      <c r="C705" s="2" t="s">
        <v>315</v>
      </c>
      <c r="D705" s="3">
        <f>VLOOKUP(B705,Sheet2!$A:$O,5,0)</f>
        <v>39000</v>
      </c>
    </row>
    <row r="706" spans="1:4">
      <c r="A706" s="7" t="s">
        <v>398</v>
      </c>
      <c r="B706" s="2">
        <v>1700051</v>
      </c>
      <c r="C706" s="2" t="s">
        <v>316</v>
      </c>
      <c r="D706" s="3">
        <f>VLOOKUP(B706,Sheet2!$A:$O,5,0)</f>
        <v>11500</v>
      </c>
    </row>
    <row r="707" spans="1:4">
      <c r="A707" s="7" t="s">
        <v>398</v>
      </c>
      <c r="B707" s="2">
        <v>1700052</v>
      </c>
      <c r="C707" s="2" t="s">
        <v>317</v>
      </c>
      <c r="D707" s="3">
        <f>VLOOKUP(B707,Sheet2!$A:$O,5,0)</f>
        <v>3444</v>
      </c>
    </row>
    <row r="708" spans="1:4">
      <c r="A708" s="7" t="s">
        <v>398</v>
      </c>
      <c r="B708" s="2">
        <v>1700053</v>
      </c>
      <c r="C708" s="2" t="s">
        <v>318</v>
      </c>
      <c r="D708" s="3">
        <f>VLOOKUP(B708,Sheet2!$A:$O,5,0)</f>
        <v>15530</v>
      </c>
    </row>
    <row r="709" spans="1:4">
      <c r="A709" s="7" t="s">
        <v>398</v>
      </c>
      <c r="B709" s="2">
        <v>1700054</v>
      </c>
      <c r="C709" s="2" t="s">
        <v>319</v>
      </c>
      <c r="D709" s="3">
        <f>VLOOKUP(B709,Sheet2!$A:$O,5,0)</f>
        <v>11670</v>
      </c>
    </row>
    <row r="710" spans="1:4">
      <c r="A710" s="7" t="s">
        <v>398</v>
      </c>
      <c r="B710" s="2">
        <v>1700055</v>
      </c>
      <c r="C710" s="2" t="s">
        <v>320</v>
      </c>
      <c r="D710" s="3">
        <f>VLOOKUP(B710,Sheet2!$A:$O,5,0)</f>
        <v>11940</v>
      </c>
    </row>
    <row r="711" spans="1:4">
      <c r="A711" s="7" t="s">
        <v>398</v>
      </c>
      <c r="B711" s="2">
        <v>1700056</v>
      </c>
      <c r="C711" s="2" t="s">
        <v>321</v>
      </c>
      <c r="D711" s="3">
        <f>VLOOKUP(B711,Sheet2!$A:$O,5,0)</f>
        <v>6226</v>
      </c>
    </row>
    <row r="712" spans="1:4">
      <c r="A712" s="7" t="s">
        <v>398</v>
      </c>
      <c r="B712" s="2">
        <v>1700057</v>
      </c>
      <c r="C712" s="2" t="s">
        <v>322</v>
      </c>
      <c r="D712" s="3">
        <f>VLOOKUP(B712,Sheet2!$A:$O,5,0)</f>
        <v>2098</v>
      </c>
    </row>
    <row r="713" spans="1:4">
      <c r="A713" s="7" t="s">
        <v>398</v>
      </c>
      <c r="B713" s="2">
        <v>1700058</v>
      </c>
      <c r="C713" s="2" t="s">
        <v>323</v>
      </c>
      <c r="D713" s="3">
        <f>VLOOKUP(B713,Sheet2!$A:$O,5,0)</f>
        <v>5800</v>
      </c>
    </row>
    <row r="714" spans="1:4">
      <c r="A714" s="7" t="s">
        <v>398</v>
      </c>
      <c r="B714" s="2">
        <v>1700059</v>
      </c>
      <c r="C714" s="2" t="s">
        <v>324</v>
      </c>
      <c r="D714" s="3">
        <f>VLOOKUP(B714,Sheet2!$A:$O,5,0)</f>
        <v>27667</v>
      </c>
    </row>
    <row r="715" spans="1:4">
      <c r="A715" s="7" t="s">
        <v>398</v>
      </c>
      <c r="B715" s="2">
        <v>1700060</v>
      </c>
      <c r="C715" s="2" t="s">
        <v>325</v>
      </c>
      <c r="D715" s="3">
        <f>VLOOKUP(B715,Sheet2!$A:$O,5,0)</f>
        <v>8245</v>
      </c>
    </row>
    <row r="716" spans="1:4">
      <c r="A716" s="7" t="s">
        <v>398</v>
      </c>
      <c r="B716" s="2">
        <v>1700061</v>
      </c>
      <c r="C716" s="2" t="s">
        <v>326</v>
      </c>
      <c r="D716" s="3">
        <f>VLOOKUP(B716,Sheet2!$A:$O,5,0)</f>
        <v>8920</v>
      </c>
    </row>
    <row r="717" spans="1:4">
      <c r="A717" s="7" t="s">
        <v>398</v>
      </c>
      <c r="B717" s="2">
        <v>1700062</v>
      </c>
      <c r="C717" s="2" t="s">
        <v>327</v>
      </c>
      <c r="D717" s="3">
        <f>VLOOKUP(B717,Sheet2!$A:$O,5,0)</f>
        <v>10520</v>
      </c>
    </row>
    <row r="718" spans="1:4">
      <c r="A718" s="7" t="s">
        <v>398</v>
      </c>
      <c r="B718" s="2">
        <v>1700063</v>
      </c>
      <c r="C718" s="2" t="s">
        <v>328</v>
      </c>
      <c r="D718" s="3">
        <f>VLOOKUP(B718,Sheet2!$A:$O,5,0)</f>
        <v>10550</v>
      </c>
    </row>
    <row r="719" spans="1:4">
      <c r="A719" s="7" t="s">
        <v>398</v>
      </c>
      <c r="B719" s="2">
        <v>1700064</v>
      </c>
      <c r="C719" s="2" t="s">
        <v>329</v>
      </c>
      <c r="D719" s="3">
        <f>VLOOKUP(B719,Sheet2!$A:$O,5,0)</f>
        <v>11060</v>
      </c>
    </row>
    <row r="720" spans="1:4">
      <c r="A720" s="7" t="s">
        <v>398</v>
      </c>
      <c r="B720" s="2">
        <v>1700065</v>
      </c>
      <c r="C720" s="2" t="s">
        <v>330</v>
      </c>
      <c r="D720" s="3">
        <f>VLOOKUP(B720,Sheet2!$A:$O,5,0)</f>
        <v>12760</v>
      </c>
    </row>
    <row r="721" spans="1:4">
      <c r="A721" s="7" t="s">
        <v>398</v>
      </c>
      <c r="B721" s="2">
        <v>1700066</v>
      </c>
      <c r="C721" s="2" t="s">
        <v>331</v>
      </c>
      <c r="D721" s="3">
        <f>VLOOKUP(B721,Sheet2!$A:$O,5,0)</f>
        <v>13200</v>
      </c>
    </row>
    <row r="722" spans="1:4">
      <c r="A722" s="7" t="s">
        <v>398</v>
      </c>
      <c r="B722" s="2">
        <v>1700067</v>
      </c>
      <c r="C722" s="2" t="s">
        <v>332</v>
      </c>
      <c r="D722" s="3">
        <f>VLOOKUP(B722,Sheet2!$A:$O,5,0)</f>
        <v>10720</v>
      </c>
    </row>
    <row r="723" spans="1:4">
      <c r="A723" s="7" t="s">
        <v>398</v>
      </c>
      <c r="B723" s="2">
        <v>1700068</v>
      </c>
      <c r="C723" s="2" t="s">
        <v>333</v>
      </c>
      <c r="D723" s="3">
        <f>VLOOKUP(B723,Sheet2!$A:$O,5,0)</f>
        <v>12720</v>
      </c>
    </row>
    <row r="724" spans="1:4">
      <c r="A724" s="7" t="s">
        <v>398</v>
      </c>
      <c r="B724" s="2">
        <v>1700069</v>
      </c>
      <c r="C724" s="2" t="s">
        <v>334</v>
      </c>
      <c r="D724" s="3">
        <f>VLOOKUP(B724,Sheet2!$A:$O,5,0)</f>
        <v>14000</v>
      </c>
    </row>
    <row r="725" spans="1:4">
      <c r="A725" s="7" t="s">
        <v>398</v>
      </c>
      <c r="B725" s="2">
        <v>1700070</v>
      </c>
      <c r="C725" s="2" t="s">
        <v>335</v>
      </c>
      <c r="D725" s="3">
        <f>VLOOKUP(B725,Sheet2!$A:$O,5,0)</f>
        <v>1618</v>
      </c>
    </row>
    <row r="726" spans="1:4">
      <c r="A726" s="7" t="s">
        <v>398</v>
      </c>
      <c r="B726" s="2">
        <v>1700071</v>
      </c>
      <c r="C726" s="2" t="s">
        <v>336</v>
      </c>
      <c r="D726" s="3">
        <f>VLOOKUP(B726,Sheet2!$A:$O,5,0)</f>
        <v>12190</v>
      </c>
    </row>
    <row r="727" spans="1:4">
      <c r="A727" s="7" t="s">
        <v>398</v>
      </c>
      <c r="B727" s="2">
        <v>1700072</v>
      </c>
      <c r="C727" s="2" t="s">
        <v>337</v>
      </c>
      <c r="D727" s="3">
        <f>VLOOKUP(B727,Sheet2!$A:$O,5,0)</f>
        <v>10180</v>
      </c>
    </row>
    <row r="728" spans="1:4">
      <c r="A728" s="7" t="s">
        <v>398</v>
      </c>
      <c r="B728" s="2">
        <v>1700073</v>
      </c>
      <c r="C728" s="2" t="s">
        <v>338</v>
      </c>
      <c r="D728" s="3">
        <f>VLOOKUP(B728,Sheet2!$A:$O,5,0)</f>
        <v>9020</v>
      </c>
    </row>
    <row r="729" spans="1:4">
      <c r="A729" s="7" t="s">
        <v>398</v>
      </c>
      <c r="B729" s="2">
        <v>1700076</v>
      </c>
      <c r="C729" s="2" t="s">
        <v>339</v>
      </c>
      <c r="D729" s="3">
        <f>VLOOKUP(B729,Sheet2!$A:$O,5,0)</f>
        <v>3480</v>
      </c>
    </row>
    <row r="730" spans="1:4">
      <c r="A730" s="7" t="s">
        <v>398</v>
      </c>
      <c r="B730" s="2">
        <v>1700077</v>
      </c>
      <c r="C730" s="2" t="s">
        <v>340</v>
      </c>
      <c r="D730" s="3">
        <f>VLOOKUP(B730,Sheet2!$A:$O,5,0)</f>
        <v>3265</v>
      </c>
    </row>
    <row r="731" spans="1:4">
      <c r="A731" s="7" t="s">
        <v>398</v>
      </c>
      <c r="B731" s="2">
        <v>1700078</v>
      </c>
      <c r="C731" s="2" t="s">
        <v>341</v>
      </c>
      <c r="D731" s="3">
        <f>VLOOKUP(B731,Sheet2!$A:$O,5,0)</f>
        <v>4078</v>
      </c>
    </row>
    <row r="732" spans="1:4">
      <c r="A732" s="7" t="s">
        <v>398</v>
      </c>
      <c r="B732" s="2">
        <v>1700080</v>
      </c>
      <c r="C732" s="2" t="s">
        <v>342</v>
      </c>
      <c r="D732" s="3">
        <f>VLOOKUP(B732,Sheet2!$A:$O,5,0)</f>
        <v>3529</v>
      </c>
    </row>
    <row r="733" spans="1:4">
      <c r="A733" s="7" t="s">
        <v>398</v>
      </c>
      <c r="B733" s="2">
        <v>1700083</v>
      </c>
      <c r="C733" s="2" t="s">
        <v>343</v>
      </c>
      <c r="D733" s="3">
        <f>VLOOKUP(B733,Sheet2!$A:$O,5,0)</f>
        <v>4435</v>
      </c>
    </row>
    <row r="734" spans="1:4">
      <c r="A734" s="7" t="s">
        <v>398</v>
      </c>
      <c r="B734" s="2">
        <v>1700084</v>
      </c>
      <c r="C734" s="2" t="s">
        <v>344</v>
      </c>
      <c r="D734" s="3">
        <f>VLOOKUP(B734,Sheet2!$A:$O,5,0)</f>
        <v>11092</v>
      </c>
    </row>
    <row r="735" spans="1:4">
      <c r="A735" s="7" t="s">
        <v>398</v>
      </c>
      <c r="B735" s="2">
        <v>1700085</v>
      </c>
      <c r="C735" s="2" t="s">
        <v>345</v>
      </c>
      <c r="D735" s="3">
        <f>VLOOKUP(B735,Sheet2!$A:$O,5,0)</f>
        <v>7720</v>
      </c>
    </row>
    <row r="736" spans="1:4">
      <c r="A736" s="7" t="s">
        <v>398</v>
      </c>
      <c r="B736" s="2">
        <v>1700086</v>
      </c>
      <c r="C736" s="2" t="s">
        <v>346</v>
      </c>
      <c r="D736" s="3">
        <f>VLOOKUP(B736,Sheet2!$A:$O,5,0)</f>
        <v>2657</v>
      </c>
    </row>
    <row r="737" spans="1:4">
      <c r="A737" s="7" t="s">
        <v>398</v>
      </c>
      <c r="B737" s="2">
        <v>1700087</v>
      </c>
      <c r="C737" s="2" t="s">
        <v>347</v>
      </c>
      <c r="D737" s="3">
        <f>VLOOKUP(B737,Sheet2!$A:$O,5,0)</f>
        <v>4660</v>
      </c>
    </row>
    <row r="738" spans="1:4">
      <c r="A738" s="7" t="s">
        <v>398</v>
      </c>
      <c r="B738" s="2">
        <v>1700088</v>
      </c>
      <c r="C738" s="2" t="s">
        <v>348</v>
      </c>
      <c r="D738" s="3">
        <f>VLOOKUP(B738,Sheet2!$A:$O,5,0)</f>
        <v>15500</v>
      </c>
    </row>
    <row r="739" spans="1:4">
      <c r="A739" s="7" t="s">
        <v>398</v>
      </c>
      <c r="B739" s="2">
        <v>1700089</v>
      </c>
      <c r="C739" s="2" t="s">
        <v>349</v>
      </c>
      <c r="D739" s="3">
        <f>VLOOKUP(B739,Sheet2!$A:$O,5,0)</f>
        <v>18500</v>
      </c>
    </row>
    <row r="740" spans="1:4">
      <c r="A740" s="7" t="s">
        <v>398</v>
      </c>
      <c r="B740" s="2">
        <v>1700090</v>
      </c>
      <c r="C740" s="2" t="s">
        <v>350</v>
      </c>
      <c r="D740" s="3">
        <f>VLOOKUP(B740,Sheet2!$A:$O,5,0)</f>
        <v>25961</v>
      </c>
    </row>
    <row r="741" spans="1:4">
      <c r="A741" s="7" t="s">
        <v>398</v>
      </c>
      <c r="B741" s="2">
        <v>1700091</v>
      </c>
      <c r="C741" s="2" t="s">
        <v>351</v>
      </c>
      <c r="D741" s="3">
        <f>VLOOKUP(B741,Sheet2!$A:$O,5,0)</f>
        <v>15716</v>
      </c>
    </row>
    <row r="742" spans="1:4">
      <c r="A742" s="7" t="s">
        <v>398</v>
      </c>
      <c r="B742" s="2">
        <v>1700092</v>
      </c>
      <c r="C742" s="2" t="s">
        <v>352</v>
      </c>
      <c r="D742" s="3">
        <f>VLOOKUP(B742,Sheet2!$A:$O,5,0)</f>
        <v>2196</v>
      </c>
    </row>
    <row r="743" spans="1:4">
      <c r="A743" s="7" t="s">
        <v>398</v>
      </c>
      <c r="B743" s="2">
        <v>1700093</v>
      </c>
      <c r="C743" s="2" t="s">
        <v>353</v>
      </c>
      <c r="D743" s="3">
        <f>VLOOKUP(B743,Sheet2!$A:$O,5,0)</f>
        <v>23760</v>
      </c>
    </row>
    <row r="744" spans="1:4">
      <c r="A744" s="7" t="s">
        <v>398</v>
      </c>
      <c r="B744" s="2">
        <v>1700094</v>
      </c>
      <c r="C744" s="2" t="s">
        <v>354</v>
      </c>
      <c r="D744" s="3">
        <f>VLOOKUP(B744,Sheet2!$A:$O,5,0)</f>
        <v>13529</v>
      </c>
    </row>
    <row r="745" spans="1:4">
      <c r="A745" s="7" t="s">
        <v>398</v>
      </c>
      <c r="B745" s="2">
        <v>1700095</v>
      </c>
      <c r="C745" s="2" t="s">
        <v>355</v>
      </c>
      <c r="D745" s="3">
        <f>VLOOKUP(B745,Sheet2!$A:$O,5,0)</f>
        <v>4500</v>
      </c>
    </row>
    <row r="746" spans="1:4">
      <c r="A746" s="7" t="s">
        <v>398</v>
      </c>
      <c r="B746" s="2">
        <v>1700096</v>
      </c>
      <c r="C746" s="2" t="s">
        <v>356</v>
      </c>
      <c r="D746" s="3">
        <f>VLOOKUP(B746,Sheet2!$A:$O,5,0)</f>
        <v>24510</v>
      </c>
    </row>
    <row r="747" spans="1:4">
      <c r="A747" s="7" t="s">
        <v>398</v>
      </c>
      <c r="B747" s="2">
        <v>1700097</v>
      </c>
      <c r="C747" s="2" t="s">
        <v>357</v>
      </c>
      <c r="D747" s="3">
        <f>VLOOKUP(B747,Sheet2!$A:$O,5,0)</f>
        <v>19608</v>
      </c>
    </row>
    <row r="748" spans="1:4">
      <c r="A748" s="7" t="s">
        <v>398</v>
      </c>
      <c r="B748" s="2">
        <v>1700098</v>
      </c>
      <c r="C748" s="2" t="s">
        <v>358</v>
      </c>
      <c r="D748" s="3">
        <f>VLOOKUP(B748,Sheet2!$A:$O,5,0)</f>
        <v>19608</v>
      </c>
    </row>
    <row r="749" spans="1:4">
      <c r="A749" s="7" t="s">
        <v>398</v>
      </c>
      <c r="B749" s="2">
        <v>1700099</v>
      </c>
      <c r="C749" s="2" t="s">
        <v>359</v>
      </c>
      <c r="D749" s="3">
        <f>VLOOKUP(B749,Sheet2!$A:$O,5,0)</f>
        <v>9000</v>
      </c>
    </row>
    <row r="750" spans="1:4">
      <c r="A750" s="7" t="s">
        <v>398</v>
      </c>
      <c r="B750" s="2">
        <v>1700100</v>
      </c>
      <c r="C750" s="2" t="s">
        <v>360</v>
      </c>
      <c r="D750" s="3">
        <f>VLOOKUP(B750,Sheet2!$A:$O,5,0)</f>
        <v>3029</v>
      </c>
    </row>
    <row r="751" spans="1:4">
      <c r="A751" s="7" t="s">
        <v>398</v>
      </c>
      <c r="B751" s="2">
        <v>1700101</v>
      </c>
      <c r="C751" s="2" t="s">
        <v>361</v>
      </c>
      <c r="D751" s="3">
        <f>VLOOKUP(B751,Sheet2!$A:$O,5,0)</f>
        <v>7451</v>
      </c>
    </row>
    <row r="752" spans="1:4">
      <c r="A752" s="7" t="s">
        <v>398</v>
      </c>
      <c r="B752" s="2">
        <v>1700102</v>
      </c>
      <c r="C752" s="2" t="s">
        <v>362</v>
      </c>
      <c r="D752" s="3">
        <f>VLOOKUP(B752,Sheet2!$A:$O,5,0)</f>
        <v>40197</v>
      </c>
    </row>
    <row r="753" spans="1:4">
      <c r="A753" s="7" t="s">
        <v>398</v>
      </c>
      <c r="B753" s="2">
        <v>1700103</v>
      </c>
      <c r="C753" s="2" t="s">
        <v>363</v>
      </c>
      <c r="D753" s="3">
        <f>VLOOKUP(B753,Sheet2!$A:$O,5,0)</f>
        <v>9000</v>
      </c>
    </row>
    <row r="754" spans="1:4">
      <c r="A754" s="7" t="s">
        <v>398</v>
      </c>
      <c r="B754" s="2">
        <v>1700104</v>
      </c>
      <c r="C754" s="2" t="s">
        <v>364</v>
      </c>
      <c r="D754" s="3">
        <f>VLOOKUP(B754,Sheet2!$A:$O,5,0)</f>
        <v>36380</v>
      </c>
    </row>
    <row r="755" spans="1:4">
      <c r="A755" s="7" t="s">
        <v>398</v>
      </c>
      <c r="B755" s="2">
        <v>1700105</v>
      </c>
      <c r="C755" s="2" t="s">
        <v>365</v>
      </c>
      <c r="D755" s="3">
        <f>VLOOKUP(B755,Sheet2!$A:$O,5,0)</f>
        <v>10588</v>
      </c>
    </row>
    <row r="756" spans="1:4">
      <c r="A756" s="7" t="s">
        <v>398</v>
      </c>
      <c r="B756" s="2">
        <v>1700106</v>
      </c>
      <c r="C756" s="2" t="s">
        <v>366</v>
      </c>
      <c r="D756" s="3">
        <f>VLOOKUP(B756,Sheet2!$A:$O,5,0)</f>
        <v>14020</v>
      </c>
    </row>
    <row r="757" spans="1:4">
      <c r="A757" s="7" t="s">
        <v>398</v>
      </c>
      <c r="B757" s="2">
        <v>1700107</v>
      </c>
      <c r="C757" s="2" t="s">
        <v>367</v>
      </c>
      <c r="D757" s="3">
        <f>VLOOKUP(B757,Sheet2!$A:$O,5,0)</f>
        <v>9020</v>
      </c>
    </row>
    <row r="758" spans="1:4">
      <c r="A758" s="7" t="s">
        <v>398</v>
      </c>
      <c r="B758" s="2">
        <v>1800002</v>
      </c>
      <c r="C758" s="2" t="s">
        <v>368</v>
      </c>
      <c r="D758" s="3">
        <f>VLOOKUP(B758,Sheet2!$A:$O,5,0)</f>
        <v>9520</v>
      </c>
    </row>
    <row r="759" spans="1:4">
      <c r="A759" s="7" t="s">
        <v>398</v>
      </c>
      <c r="B759" s="2">
        <v>1800004</v>
      </c>
      <c r="C759" s="2" t="s">
        <v>369</v>
      </c>
      <c r="D759" s="3">
        <f>VLOOKUP(B759,Sheet2!$A:$O,5,0)</f>
        <v>0</v>
      </c>
    </row>
    <row r="760" spans="1:4">
      <c r="A760" s="7" t="s">
        <v>398</v>
      </c>
      <c r="B760" s="2">
        <v>1800005</v>
      </c>
      <c r="C760" s="2" t="s">
        <v>370</v>
      </c>
      <c r="D760" s="3">
        <f>VLOOKUP(B760,Sheet2!$A:$O,5,0)</f>
        <v>0</v>
      </c>
    </row>
    <row r="761" spans="1:4">
      <c r="A761" s="7" t="s">
        <v>398</v>
      </c>
      <c r="B761" s="2">
        <v>1800006</v>
      </c>
      <c r="C761" s="2" t="s">
        <v>371</v>
      </c>
      <c r="D761" s="3">
        <f>VLOOKUP(B761,Sheet2!$A:$O,5,0)</f>
        <v>0</v>
      </c>
    </row>
    <row r="762" spans="1:4">
      <c r="A762" s="7" t="s">
        <v>398</v>
      </c>
      <c r="B762" s="2">
        <v>1800007</v>
      </c>
      <c r="C762" s="2" t="s">
        <v>372</v>
      </c>
      <c r="D762" s="3">
        <f>VLOOKUP(B762,Sheet2!$A:$O,5,0)</f>
        <v>10000</v>
      </c>
    </row>
    <row r="763" spans="1:4">
      <c r="A763" s="7" t="s">
        <v>398</v>
      </c>
      <c r="B763" s="2">
        <v>1800008</v>
      </c>
      <c r="C763" s="2" t="s">
        <v>373</v>
      </c>
      <c r="D763" s="3">
        <f>VLOOKUP(B763,Sheet2!$A:$O,5,0)</f>
        <v>10110</v>
      </c>
    </row>
    <row r="764" spans="1:4">
      <c r="A764" s="7" t="s">
        <v>398</v>
      </c>
      <c r="B764" s="2">
        <v>1800009</v>
      </c>
      <c r="C764" s="2" t="s">
        <v>374</v>
      </c>
      <c r="D764" s="3">
        <f>VLOOKUP(B764,Sheet2!$A:$O,5,0)</f>
        <v>11800</v>
      </c>
    </row>
    <row r="765" spans="1:4">
      <c r="A765" s="7" t="s">
        <v>398</v>
      </c>
      <c r="B765" s="2">
        <v>1800010</v>
      </c>
      <c r="C765" s="2" t="s">
        <v>375</v>
      </c>
      <c r="D765" s="3">
        <f>VLOOKUP(B765,Sheet2!$A:$O,5,0)</f>
        <v>5784</v>
      </c>
    </row>
    <row r="766" spans="1:4">
      <c r="A766" s="7" t="s">
        <v>398</v>
      </c>
      <c r="B766" s="2">
        <v>1800011</v>
      </c>
      <c r="C766" s="2" t="s">
        <v>376</v>
      </c>
      <c r="D766" s="3">
        <f>VLOOKUP(B766,Sheet2!$A:$O,5,0)</f>
        <v>9363</v>
      </c>
    </row>
    <row r="767" spans="1:4">
      <c r="A767" s="7" t="s">
        <v>398</v>
      </c>
      <c r="B767" s="2">
        <v>1800012</v>
      </c>
      <c r="C767" s="2" t="s">
        <v>377</v>
      </c>
      <c r="D767" s="3">
        <f>VLOOKUP(B767,Sheet2!$A:$O,5,0)</f>
        <v>5725</v>
      </c>
    </row>
    <row r="768" spans="1:4">
      <c r="A768" s="7" t="s">
        <v>398</v>
      </c>
      <c r="B768" s="2">
        <v>1800013</v>
      </c>
      <c r="C768" s="2" t="s">
        <v>378</v>
      </c>
      <c r="D768" s="3">
        <f>VLOOKUP(B768,Sheet2!$A:$O,5,0)</f>
        <v>49100</v>
      </c>
    </row>
    <row r="769" spans="1:4">
      <c r="A769" s="7" t="s">
        <v>398</v>
      </c>
      <c r="B769" s="2">
        <v>1800014</v>
      </c>
      <c r="C769" s="2" t="s">
        <v>379</v>
      </c>
      <c r="D769" s="3">
        <f>VLOOKUP(B769,Sheet2!$A:$O,5,0)</f>
        <v>70000</v>
      </c>
    </row>
    <row r="770" spans="1:4">
      <c r="A770" s="7" t="s">
        <v>398</v>
      </c>
      <c r="B770" s="2">
        <v>1800015</v>
      </c>
      <c r="C770" s="2" t="s">
        <v>380</v>
      </c>
      <c r="D770" s="3">
        <f>VLOOKUP(B770,Sheet2!$A:$O,5,0)</f>
        <v>66700</v>
      </c>
    </row>
    <row r="771" spans="1:4">
      <c r="A771" s="7" t="s">
        <v>398</v>
      </c>
      <c r="B771" s="2">
        <v>1900013</v>
      </c>
      <c r="C771" s="2" t="s">
        <v>381</v>
      </c>
      <c r="D771" s="3">
        <f>VLOOKUP(B771,Sheet2!$A:$O,5,0)</f>
        <v>0</v>
      </c>
    </row>
    <row r="772" spans="1:4">
      <c r="A772" s="7" t="s">
        <v>398</v>
      </c>
      <c r="B772" s="2">
        <v>1900018</v>
      </c>
      <c r="C772" s="2" t="s">
        <v>382</v>
      </c>
      <c r="D772" s="3">
        <f>VLOOKUP(B772,Sheet2!$A:$O,5,0)</f>
        <v>0</v>
      </c>
    </row>
    <row r="773" spans="1:4">
      <c r="A773" s="7" t="s">
        <v>399</v>
      </c>
      <c r="B773" s="2">
        <v>1010101</v>
      </c>
      <c r="C773" s="2" t="s">
        <v>5</v>
      </c>
      <c r="D773" s="3">
        <f>VLOOKUP(B773,Sheet2!$A:$O,6,0)</f>
        <v>697</v>
      </c>
    </row>
    <row r="774" spans="1:4">
      <c r="A774" s="7" t="s">
        <v>399</v>
      </c>
      <c r="B774" s="2">
        <v>1010111</v>
      </c>
      <c r="C774" s="2" t="s">
        <v>9</v>
      </c>
      <c r="D774" s="3">
        <f>VLOOKUP(B774,Sheet2!$A:$O,6,0)</f>
        <v>18300</v>
      </c>
    </row>
    <row r="775" spans="1:4">
      <c r="A775" s="7" t="s">
        <v>399</v>
      </c>
      <c r="B775" s="2">
        <v>1010201</v>
      </c>
      <c r="C775" s="2" t="s">
        <v>11</v>
      </c>
      <c r="D775" s="3">
        <f>VLOOKUP(B775,Sheet2!$A:$O,6,0)</f>
        <v>882</v>
      </c>
    </row>
    <row r="776" spans="1:4">
      <c r="A776" s="7" t="s">
        <v>399</v>
      </c>
      <c r="B776" s="2">
        <v>1010300</v>
      </c>
      <c r="C776" s="2" t="s">
        <v>213</v>
      </c>
      <c r="D776" s="3">
        <f>VLOOKUP(B776,Sheet2!$A:$O,6,0)</f>
        <v>5490</v>
      </c>
    </row>
    <row r="777" spans="1:4">
      <c r="A777" s="7" t="s">
        <v>399</v>
      </c>
      <c r="B777" s="2">
        <v>1010301</v>
      </c>
      <c r="C777" s="2" t="s">
        <v>214</v>
      </c>
      <c r="D777" s="3">
        <f>VLOOKUP(B777,Sheet2!$A:$O,6,0)</f>
        <v>5882</v>
      </c>
    </row>
    <row r="778" spans="1:4">
      <c r="A778" s="7" t="s">
        <v>399</v>
      </c>
      <c r="B778" s="2">
        <v>1010302</v>
      </c>
      <c r="C778" s="2" t="s">
        <v>16</v>
      </c>
      <c r="D778" s="3">
        <f>VLOOKUP(B778,Sheet2!$A:$O,6,0)</f>
        <v>4216</v>
      </c>
    </row>
    <row r="779" spans="1:4">
      <c r="A779" s="7" t="s">
        <v>399</v>
      </c>
      <c r="B779" s="2">
        <v>1010303</v>
      </c>
      <c r="C779" s="2" t="s">
        <v>18</v>
      </c>
      <c r="D779" s="3">
        <f>VLOOKUP(B779,Sheet2!$A:$O,6,0)</f>
        <v>882</v>
      </c>
    </row>
    <row r="780" spans="1:4">
      <c r="A780" s="7" t="s">
        <v>399</v>
      </c>
      <c r="B780" s="2">
        <v>1010304</v>
      </c>
      <c r="C780" s="2" t="s">
        <v>215</v>
      </c>
      <c r="D780" s="3">
        <f>VLOOKUP(B780,Sheet2!$A:$O,6,0)</f>
        <v>1225</v>
      </c>
    </row>
    <row r="781" spans="1:4">
      <c r="A781" s="7" t="s">
        <v>399</v>
      </c>
      <c r="B781" s="2">
        <v>1010401</v>
      </c>
      <c r="C781" s="2" t="s">
        <v>20</v>
      </c>
      <c r="D781" s="3">
        <f>VLOOKUP(B781,Sheet2!$A:$O,6,0)</f>
        <v>3627</v>
      </c>
    </row>
    <row r="782" spans="1:4">
      <c r="A782" s="7" t="s">
        <v>399</v>
      </c>
      <c r="B782" s="2">
        <v>1010405</v>
      </c>
      <c r="C782" s="2" t="s">
        <v>22</v>
      </c>
      <c r="D782" s="3">
        <f>VLOOKUP(B782,Sheet2!$A:$O,6,0)</f>
        <v>9975</v>
      </c>
    </row>
    <row r="783" spans="1:4">
      <c r="A783" s="7" t="s">
        <v>399</v>
      </c>
      <c r="B783" s="2">
        <v>1010501</v>
      </c>
      <c r="C783" s="2" t="s">
        <v>24</v>
      </c>
      <c r="D783" s="3">
        <f>VLOOKUP(B783,Sheet2!$A:$O,6,0)</f>
        <v>980</v>
      </c>
    </row>
    <row r="784" spans="1:4">
      <c r="A784" s="7" t="s">
        <v>399</v>
      </c>
      <c r="B784" s="2">
        <v>1010502</v>
      </c>
      <c r="C784" s="2" t="s">
        <v>216</v>
      </c>
      <c r="D784" s="3">
        <f>VLOOKUP(B784,Sheet2!$A:$O,6,0)</f>
        <v>0</v>
      </c>
    </row>
    <row r="785" spans="1:4">
      <c r="A785" s="7" t="s">
        <v>399</v>
      </c>
      <c r="B785" s="2">
        <v>1010601</v>
      </c>
      <c r="C785" s="2" t="s">
        <v>26</v>
      </c>
      <c r="D785" s="3">
        <f>VLOOKUP(B785,Sheet2!$A:$O,6,0)</f>
        <v>0</v>
      </c>
    </row>
    <row r="786" spans="1:4">
      <c r="A786" s="7" t="s">
        <v>399</v>
      </c>
      <c r="B786" s="2">
        <v>1010701</v>
      </c>
      <c r="C786" s="2" t="s">
        <v>28</v>
      </c>
      <c r="D786" s="3">
        <f>VLOOKUP(B786,Sheet2!$A:$O,6,0)</f>
        <v>686</v>
      </c>
    </row>
    <row r="787" spans="1:4">
      <c r="A787" s="7" t="s">
        <v>399</v>
      </c>
      <c r="B787" s="2">
        <v>1010801</v>
      </c>
      <c r="C787" s="2" t="s">
        <v>30</v>
      </c>
      <c r="D787" s="3">
        <f>VLOOKUP(B787,Sheet2!$A:$O,6,0)</f>
        <v>7157</v>
      </c>
    </row>
    <row r="788" spans="1:4">
      <c r="A788" s="7" t="s">
        <v>399</v>
      </c>
      <c r="B788" s="2">
        <v>1010901</v>
      </c>
      <c r="C788" s="2" t="s">
        <v>32</v>
      </c>
      <c r="D788" s="3">
        <f>VLOOKUP(B788,Sheet2!$A:$O,6,0)</f>
        <v>4804</v>
      </c>
    </row>
    <row r="789" spans="1:4">
      <c r="A789" s="7" t="s">
        <v>399</v>
      </c>
      <c r="B789" s="2">
        <v>1020101</v>
      </c>
      <c r="C789" s="2" t="s">
        <v>34</v>
      </c>
      <c r="D789" s="3">
        <f>VLOOKUP(B789,Sheet2!$A:$O,6,0)</f>
        <v>15196</v>
      </c>
    </row>
    <row r="790" spans="1:4">
      <c r="A790" s="7" t="s">
        <v>399</v>
      </c>
      <c r="B790" s="2">
        <v>1020201</v>
      </c>
      <c r="C790" s="2" t="s">
        <v>217</v>
      </c>
      <c r="D790" s="3">
        <f>VLOOKUP(B790,Sheet2!$A:$O,6,0)</f>
        <v>5600</v>
      </c>
    </row>
    <row r="791" spans="1:4">
      <c r="A791" s="7" t="s">
        <v>399</v>
      </c>
      <c r="B791" s="2">
        <v>1020301</v>
      </c>
      <c r="C791" s="2" t="s">
        <v>38</v>
      </c>
      <c r="D791" s="3">
        <f>VLOOKUP(B791,Sheet2!$A:$O,6,0)</f>
        <v>2100</v>
      </c>
    </row>
    <row r="792" spans="1:4">
      <c r="A792" s="7" t="s">
        <v>399</v>
      </c>
      <c r="B792" s="2">
        <v>1020401</v>
      </c>
      <c r="C792" s="2" t="s">
        <v>40</v>
      </c>
      <c r="D792" s="3">
        <f>VLOOKUP(B792,Sheet2!$A:$O,6,0)</f>
        <v>3500</v>
      </c>
    </row>
    <row r="793" spans="1:4">
      <c r="A793" s="7" t="s">
        <v>399</v>
      </c>
      <c r="B793" s="2">
        <v>1030102</v>
      </c>
      <c r="C793" s="2" t="s">
        <v>218</v>
      </c>
      <c r="D793" s="3">
        <f>VLOOKUP(B793,Sheet2!$A:$O,6,0)</f>
        <v>0</v>
      </c>
    </row>
    <row r="794" spans="1:4">
      <c r="A794" s="7" t="s">
        <v>399</v>
      </c>
      <c r="B794" s="2">
        <v>1030201</v>
      </c>
      <c r="C794" s="2" t="s">
        <v>42</v>
      </c>
      <c r="D794" s="3">
        <f>VLOOKUP(B794,Sheet2!$A:$O,6,0)</f>
        <v>2304</v>
      </c>
    </row>
    <row r="795" spans="1:4">
      <c r="A795" s="7" t="s">
        <v>399</v>
      </c>
      <c r="B795" s="2">
        <v>1030203</v>
      </c>
      <c r="C795" s="2" t="s">
        <v>219</v>
      </c>
      <c r="D795" s="3">
        <f>VLOOKUP(B795,Sheet2!$A:$O,6,0)</f>
        <v>0</v>
      </c>
    </row>
    <row r="796" spans="1:4">
      <c r="A796" s="7" t="s">
        <v>399</v>
      </c>
      <c r="B796" s="2">
        <v>1030204</v>
      </c>
      <c r="C796" s="2" t="s">
        <v>220</v>
      </c>
      <c r="D796" s="3">
        <f>VLOOKUP(B796,Sheet2!$A:$O,6,0)</f>
        <v>0</v>
      </c>
    </row>
    <row r="797" spans="1:4">
      <c r="A797" s="7" t="s">
        <v>399</v>
      </c>
      <c r="B797" s="2">
        <v>1030205</v>
      </c>
      <c r="C797" s="2" t="s">
        <v>44</v>
      </c>
      <c r="D797" s="3">
        <f>VLOOKUP(B797,Sheet2!$A:$O,6,0)</f>
        <v>5000</v>
      </c>
    </row>
    <row r="798" spans="1:4">
      <c r="A798" s="7" t="s">
        <v>399</v>
      </c>
      <c r="B798" s="2">
        <v>1030206</v>
      </c>
      <c r="C798" s="2" t="s">
        <v>46</v>
      </c>
      <c r="D798" s="3">
        <f>VLOOKUP(B798,Sheet2!$A:$O,6,0)</f>
        <v>5400</v>
      </c>
    </row>
    <row r="799" spans="1:4">
      <c r="A799" s="7" t="s">
        <v>399</v>
      </c>
      <c r="B799" s="2">
        <v>1030207</v>
      </c>
      <c r="C799" s="2" t="s">
        <v>48</v>
      </c>
      <c r="D799" s="3">
        <f>VLOOKUP(B799,Sheet2!$A:$O,6,0)</f>
        <v>4400</v>
      </c>
    </row>
    <row r="800" spans="1:4">
      <c r="A800" s="7" t="s">
        <v>399</v>
      </c>
      <c r="B800" s="2">
        <v>1030501</v>
      </c>
      <c r="C800" s="2" t="s">
        <v>50</v>
      </c>
      <c r="D800" s="3">
        <f>VLOOKUP(B800,Sheet2!$A:$O,6,0)</f>
        <v>1107</v>
      </c>
    </row>
    <row r="801" spans="1:4">
      <c r="A801" s="7" t="s">
        <v>399</v>
      </c>
      <c r="B801" s="2">
        <v>1030601</v>
      </c>
      <c r="C801" s="2" t="s">
        <v>52</v>
      </c>
      <c r="D801" s="3">
        <f>VLOOKUP(B801,Sheet2!$A:$O,6,0)</f>
        <v>3000</v>
      </c>
    </row>
    <row r="802" spans="1:4">
      <c r="A802" s="7" t="s">
        <v>399</v>
      </c>
      <c r="B802" s="2">
        <v>1030701</v>
      </c>
      <c r="C802" s="2" t="s">
        <v>221</v>
      </c>
      <c r="D802" s="3">
        <f>VLOOKUP(B802,Sheet2!$A:$O,6,0)</f>
        <v>3000</v>
      </c>
    </row>
    <row r="803" spans="1:4">
      <c r="A803" s="7" t="s">
        <v>399</v>
      </c>
      <c r="B803" s="2">
        <v>1030705</v>
      </c>
      <c r="C803" s="2" t="s">
        <v>222</v>
      </c>
      <c r="D803" s="3">
        <f>VLOOKUP(B803,Sheet2!$A:$O,6,0)</f>
        <v>0</v>
      </c>
    </row>
    <row r="804" spans="1:4">
      <c r="A804" s="7" t="s">
        <v>399</v>
      </c>
      <c r="B804" s="2">
        <v>1030801</v>
      </c>
      <c r="C804" s="2" t="s">
        <v>54</v>
      </c>
      <c r="D804" s="3">
        <f>VLOOKUP(B804,Sheet2!$A:$O,6,0)</f>
        <v>1422</v>
      </c>
    </row>
    <row r="805" spans="1:4">
      <c r="A805" s="7" t="s">
        <v>399</v>
      </c>
      <c r="B805" s="2">
        <v>1030901</v>
      </c>
      <c r="C805" s="2" t="s">
        <v>223</v>
      </c>
      <c r="D805" s="3">
        <f>VLOOKUP(B805,Sheet2!$A:$O,6,0)</f>
        <v>0</v>
      </c>
    </row>
    <row r="806" spans="1:4">
      <c r="A806" s="7" t="s">
        <v>399</v>
      </c>
      <c r="B806" s="2">
        <v>1040201</v>
      </c>
      <c r="C806" s="2" t="s">
        <v>56</v>
      </c>
      <c r="D806" s="3">
        <f>VLOOKUP(B806,Sheet2!$A:$O,6,0)</f>
        <v>1450</v>
      </c>
    </row>
    <row r="807" spans="1:4">
      <c r="A807" s="7" t="s">
        <v>399</v>
      </c>
      <c r="B807" s="2">
        <v>1040202</v>
      </c>
      <c r="C807" s="2" t="s">
        <v>224</v>
      </c>
      <c r="D807" s="3">
        <f>VLOOKUP(B807,Sheet2!$A:$O,6,0)</f>
        <v>0</v>
      </c>
    </row>
    <row r="808" spans="1:4">
      <c r="A808" s="7" t="s">
        <v>399</v>
      </c>
      <c r="B808" s="2">
        <v>1040203</v>
      </c>
      <c r="C808" s="2" t="s">
        <v>225</v>
      </c>
      <c r="D808" s="3">
        <f>VLOOKUP(B808,Sheet2!$A:$O,6,0)</f>
        <v>0</v>
      </c>
    </row>
    <row r="809" spans="1:4">
      <c r="A809" s="7" t="s">
        <v>399</v>
      </c>
      <c r="B809" s="2">
        <v>1040204</v>
      </c>
      <c r="C809" s="2" t="s">
        <v>226</v>
      </c>
      <c r="D809" s="3">
        <f>VLOOKUP(B809,Sheet2!$A:$O,6,0)</f>
        <v>7917</v>
      </c>
    </row>
    <row r="810" spans="1:4">
      <c r="A810" s="7" t="s">
        <v>399</v>
      </c>
      <c r="B810" s="2">
        <v>1040301</v>
      </c>
      <c r="C810" s="2" t="s">
        <v>58</v>
      </c>
      <c r="D810" s="3">
        <f>VLOOKUP(B810,Sheet2!$A:$O,6,0)</f>
        <v>1700</v>
      </c>
    </row>
    <row r="811" spans="1:4">
      <c r="A811" s="7" t="s">
        <v>399</v>
      </c>
      <c r="B811" s="2">
        <v>1040401</v>
      </c>
      <c r="C811" s="2" t="s">
        <v>227</v>
      </c>
      <c r="D811" s="3">
        <f>VLOOKUP(B811,Sheet2!$A:$O,6,0)</f>
        <v>0</v>
      </c>
    </row>
    <row r="812" spans="1:4">
      <c r="A812" s="7" t="s">
        <v>399</v>
      </c>
      <c r="B812" s="2">
        <v>1050102</v>
      </c>
      <c r="C812" s="2" t="s">
        <v>60</v>
      </c>
      <c r="D812" s="3">
        <f>VLOOKUP(B812,Sheet2!$A:$O,6,0)</f>
        <v>29500</v>
      </c>
    </row>
    <row r="813" spans="1:4">
      <c r="A813" s="7" t="s">
        <v>399</v>
      </c>
      <c r="B813" s="2">
        <v>1050103</v>
      </c>
      <c r="C813" s="2" t="s">
        <v>228</v>
      </c>
      <c r="D813" s="3">
        <f>VLOOKUP(B813,Sheet2!$A:$O,6,0)</f>
        <v>11275</v>
      </c>
    </row>
    <row r="814" spans="1:4">
      <c r="A814" s="7" t="s">
        <v>399</v>
      </c>
      <c r="B814" s="2">
        <v>1050301</v>
      </c>
      <c r="C814" s="2" t="s">
        <v>62</v>
      </c>
      <c r="D814" s="3">
        <f>VLOOKUP(B814,Sheet2!$A:$O,6,0)</f>
        <v>9804</v>
      </c>
    </row>
    <row r="815" spans="1:4">
      <c r="A815" s="7" t="s">
        <v>399</v>
      </c>
      <c r="B815" s="2">
        <v>1050401</v>
      </c>
      <c r="C815" s="2" t="s">
        <v>64</v>
      </c>
      <c r="D815" s="3">
        <f>VLOOKUP(B815,Sheet2!$A:$O,6,0)</f>
        <v>8824</v>
      </c>
    </row>
    <row r="816" spans="1:4">
      <c r="A816" s="7" t="s">
        <v>399</v>
      </c>
      <c r="B816" s="2">
        <v>1050501</v>
      </c>
      <c r="C816" s="2" t="s">
        <v>66</v>
      </c>
      <c r="D816" s="3">
        <f>VLOOKUP(B816,Sheet2!$A:$O,6,0)</f>
        <v>10785</v>
      </c>
    </row>
    <row r="817" spans="1:4">
      <c r="A817" s="7" t="s">
        <v>399</v>
      </c>
      <c r="B817" s="2">
        <v>1050511</v>
      </c>
      <c r="C817" s="2" t="s">
        <v>68</v>
      </c>
      <c r="D817" s="3">
        <f>VLOOKUP(B817,Sheet2!$A:$O,6,0)</f>
        <v>18000</v>
      </c>
    </row>
    <row r="818" spans="1:4">
      <c r="A818" s="7" t="s">
        <v>399</v>
      </c>
      <c r="B818" s="2">
        <v>1050512</v>
      </c>
      <c r="C818" s="2" t="s">
        <v>229</v>
      </c>
      <c r="D818" s="3">
        <f>VLOOKUP(B818,Sheet2!$A:$O,6,0)</f>
        <v>0</v>
      </c>
    </row>
    <row r="819" spans="1:4">
      <c r="A819" s="7" t="s">
        <v>399</v>
      </c>
      <c r="B819" s="2">
        <v>1050521</v>
      </c>
      <c r="C819" s="2" t="s">
        <v>70</v>
      </c>
      <c r="D819" s="3">
        <f>VLOOKUP(B819,Sheet2!$A:$O,6,0)</f>
        <v>14706</v>
      </c>
    </row>
    <row r="820" spans="1:4">
      <c r="A820" s="7" t="s">
        <v>399</v>
      </c>
      <c r="B820" s="2">
        <v>1050531</v>
      </c>
      <c r="C820" s="2" t="s">
        <v>72</v>
      </c>
      <c r="D820" s="3">
        <f>VLOOKUP(B820,Sheet2!$A:$O,6,0)</f>
        <v>21000</v>
      </c>
    </row>
    <row r="821" spans="1:4">
      <c r="A821" s="7" t="s">
        <v>399</v>
      </c>
      <c r="B821" s="2">
        <v>1050541</v>
      </c>
      <c r="C821" s="2" t="s">
        <v>74</v>
      </c>
      <c r="D821" s="3">
        <f>VLOOKUP(B821,Sheet2!$A:$O,6,0)</f>
        <v>11000</v>
      </c>
    </row>
    <row r="822" spans="1:4">
      <c r="A822" s="7" t="s">
        <v>399</v>
      </c>
      <c r="B822" s="2">
        <v>1050551</v>
      </c>
      <c r="C822" s="2" t="s">
        <v>76</v>
      </c>
      <c r="D822" s="3">
        <f>VLOOKUP(B822,Sheet2!$A:$O,6,0)</f>
        <v>54000</v>
      </c>
    </row>
    <row r="823" spans="1:4">
      <c r="A823" s="7" t="s">
        <v>399</v>
      </c>
      <c r="B823" s="2">
        <v>1050561</v>
      </c>
      <c r="C823" s="2" t="s">
        <v>78</v>
      </c>
      <c r="D823" s="3">
        <f>VLOOKUP(B823,Sheet2!$A:$O,6,0)</f>
        <v>98000</v>
      </c>
    </row>
    <row r="824" spans="1:4">
      <c r="A824" s="7" t="s">
        <v>399</v>
      </c>
      <c r="B824" s="2">
        <v>1050571</v>
      </c>
      <c r="C824" s="2" t="s">
        <v>80</v>
      </c>
      <c r="D824" s="3">
        <f>VLOOKUP(B824,Sheet2!$A:$O,6,0)</f>
        <v>58000</v>
      </c>
    </row>
    <row r="825" spans="1:4">
      <c r="A825" s="7" t="s">
        <v>399</v>
      </c>
      <c r="B825" s="2">
        <v>1050581</v>
      </c>
      <c r="C825" s="2" t="s">
        <v>82</v>
      </c>
      <c r="D825" s="3">
        <f>VLOOKUP(B825,Sheet2!$A:$O,6,0)</f>
        <v>57000</v>
      </c>
    </row>
    <row r="826" spans="1:4">
      <c r="A826" s="7" t="s">
        <v>399</v>
      </c>
      <c r="B826" s="2">
        <v>1050591</v>
      </c>
      <c r="C826" s="2" t="s">
        <v>84</v>
      </c>
      <c r="D826" s="3">
        <f>VLOOKUP(B826,Sheet2!$A:$O,6,0)</f>
        <v>97750</v>
      </c>
    </row>
    <row r="827" spans="1:4">
      <c r="A827" s="7" t="s">
        <v>399</v>
      </c>
      <c r="B827" s="2">
        <v>1050601</v>
      </c>
      <c r="C827" s="2" t="s">
        <v>86</v>
      </c>
      <c r="D827" s="3">
        <f>VLOOKUP(B827,Sheet2!$A:$O,6,0)</f>
        <v>5900</v>
      </c>
    </row>
    <row r="828" spans="1:4">
      <c r="A828" s="7" t="s">
        <v>399</v>
      </c>
      <c r="B828" s="2">
        <v>1050701</v>
      </c>
      <c r="C828" s="2" t="s">
        <v>88</v>
      </c>
      <c r="D828" s="3">
        <f>VLOOKUP(B828,Sheet2!$A:$O,6,0)</f>
        <v>5700</v>
      </c>
    </row>
    <row r="829" spans="1:4">
      <c r="A829" s="7" t="s">
        <v>399</v>
      </c>
      <c r="B829" s="2">
        <v>1050702</v>
      </c>
      <c r="C829" s="2" t="s">
        <v>90</v>
      </c>
      <c r="D829" s="3">
        <f>VLOOKUP(B829,Sheet2!$A:$O,6,0)</f>
        <v>5700</v>
      </c>
    </row>
    <row r="830" spans="1:4">
      <c r="A830" s="7" t="s">
        <v>399</v>
      </c>
      <c r="B830" s="2">
        <v>1050711</v>
      </c>
      <c r="C830" s="2" t="s">
        <v>92</v>
      </c>
      <c r="D830" s="3">
        <f>VLOOKUP(B830,Sheet2!$A:$O,6,0)</f>
        <v>2900</v>
      </c>
    </row>
    <row r="831" spans="1:4">
      <c r="A831" s="7" t="s">
        <v>399</v>
      </c>
      <c r="B831" s="2">
        <v>1050721</v>
      </c>
      <c r="C831" s="2" t="s">
        <v>94</v>
      </c>
      <c r="D831" s="3">
        <f>VLOOKUP(B831,Sheet2!$A:$O,6,0)</f>
        <v>14300</v>
      </c>
    </row>
    <row r="832" spans="1:4">
      <c r="A832" s="7" t="s">
        <v>399</v>
      </c>
      <c r="B832" s="2">
        <v>1050801</v>
      </c>
      <c r="C832" s="2" t="s">
        <v>7</v>
      </c>
      <c r="D832" s="3">
        <f>VLOOKUP(B832,Sheet2!$A:$O,6,0)</f>
        <v>1022</v>
      </c>
    </row>
    <row r="833" spans="1:4">
      <c r="A833" s="7" t="s">
        <v>399</v>
      </c>
      <c r="B833" s="2">
        <v>1050901</v>
      </c>
      <c r="C833" s="2" t="s">
        <v>96</v>
      </c>
      <c r="D833" s="3">
        <f>VLOOKUP(B833,Sheet2!$A:$O,6,0)</f>
        <v>1539</v>
      </c>
    </row>
    <row r="834" spans="1:4">
      <c r="A834" s="7" t="s">
        <v>399</v>
      </c>
      <c r="B834" s="2">
        <v>1060101</v>
      </c>
      <c r="C834" s="2" t="s">
        <v>98</v>
      </c>
      <c r="D834" s="3">
        <f>VLOOKUP(B834,Sheet2!$A:$O,6,0)</f>
        <v>2126</v>
      </c>
    </row>
    <row r="835" spans="1:4">
      <c r="A835" s="7" t="s">
        <v>399</v>
      </c>
      <c r="B835" s="2">
        <v>1060401</v>
      </c>
      <c r="C835" s="2" t="s">
        <v>100</v>
      </c>
      <c r="D835" s="3">
        <f>VLOOKUP(B835,Sheet2!$A:$O,6,0)</f>
        <v>71000</v>
      </c>
    </row>
    <row r="836" spans="1:4">
      <c r="A836" s="7" t="s">
        <v>399</v>
      </c>
      <c r="B836" s="2">
        <v>1060412</v>
      </c>
      <c r="C836" s="2" t="s">
        <v>230</v>
      </c>
      <c r="D836" s="3">
        <f>VLOOKUP(B836,Sheet2!$A:$O,6,0)</f>
        <v>33000</v>
      </c>
    </row>
    <row r="837" spans="1:4">
      <c r="A837" s="7" t="s">
        <v>399</v>
      </c>
      <c r="B837" s="2">
        <v>1060421</v>
      </c>
      <c r="C837" s="2" t="s">
        <v>104</v>
      </c>
      <c r="D837" s="3">
        <f>VLOOKUP(B837,Sheet2!$A:$O,6,0)</f>
        <v>76000</v>
      </c>
    </row>
    <row r="838" spans="1:4">
      <c r="A838" s="7" t="s">
        <v>399</v>
      </c>
      <c r="B838" s="2">
        <v>1060441</v>
      </c>
      <c r="C838" s="2" t="s">
        <v>106</v>
      </c>
      <c r="D838" s="3">
        <f>VLOOKUP(B838,Sheet2!$A:$O,6,0)</f>
        <v>5200</v>
      </c>
    </row>
    <row r="839" spans="1:4">
      <c r="A839" s="7" t="s">
        <v>399</v>
      </c>
      <c r="B839" s="2">
        <v>1060451</v>
      </c>
      <c r="C839" s="2" t="s">
        <v>108</v>
      </c>
      <c r="D839" s="3">
        <f>VLOOKUP(B839,Sheet2!$A:$O,6,0)</f>
        <v>0</v>
      </c>
    </row>
    <row r="840" spans="1:4">
      <c r="A840" s="7" t="s">
        <v>399</v>
      </c>
      <c r="B840" s="2">
        <v>1070101</v>
      </c>
      <c r="C840" s="2" t="s">
        <v>110</v>
      </c>
      <c r="D840" s="3">
        <f>VLOOKUP(B840,Sheet2!$A:$O,6,0)</f>
        <v>4000</v>
      </c>
    </row>
    <row r="841" spans="1:4">
      <c r="A841" s="7" t="s">
        <v>399</v>
      </c>
      <c r="B841" s="2">
        <v>1070301</v>
      </c>
      <c r="C841" s="2" t="s">
        <v>112</v>
      </c>
      <c r="D841" s="3">
        <f>VLOOKUP(B841,Sheet2!$A:$O,6,0)</f>
        <v>35000</v>
      </c>
    </row>
    <row r="842" spans="1:4">
      <c r="A842" s="7" t="s">
        <v>399</v>
      </c>
      <c r="B842" s="2">
        <v>1070401</v>
      </c>
      <c r="C842" s="2" t="s">
        <v>114</v>
      </c>
      <c r="D842" s="3">
        <f>VLOOKUP(B842,Sheet2!$A:$O,6,0)</f>
        <v>12000</v>
      </c>
    </row>
    <row r="843" spans="1:4">
      <c r="A843" s="7" t="s">
        <v>399</v>
      </c>
      <c r="B843" s="2">
        <v>1070501</v>
      </c>
      <c r="C843" s="2" t="s">
        <v>231</v>
      </c>
      <c r="D843" s="3">
        <f>VLOOKUP(B843,Sheet2!$A:$O,6,0)</f>
        <v>5500</v>
      </c>
    </row>
    <row r="844" spans="1:4">
      <c r="A844" s="7" t="s">
        <v>399</v>
      </c>
      <c r="B844" s="2">
        <v>1070701</v>
      </c>
      <c r="C844" s="2" t="s">
        <v>118</v>
      </c>
      <c r="D844" s="3">
        <f>VLOOKUP(B844,Sheet2!$A:$O,6,0)</f>
        <v>36000</v>
      </c>
    </row>
    <row r="845" spans="1:4">
      <c r="A845" s="7" t="s">
        <v>399</v>
      </c>
      <c r="B845" s="2">
        <v>1070801</v>
      </c>
      <c r="C845" s="2" t="s">
        <v>232</v>
      </c>
      <c r="D845" s="3">
        <f>VLOOKUP(B845,Sheet2!$A:$O,6,0)</f>
        <v>35000</v>
      </c>
    </row>
    <row r="846" spans="1:4">
      <c r="A846" s="7" t="s">
        <v>399</v>
      </c>
      <c r="B846" s="2">
        <v>1080101</v>
      </c>
      <c r="C846" s="2" t="s">
        <v>120</v>
      </c>
      <c r="D846" s="3">
        <f>VLOOKUP(B846,Sheet2!$A:$O,6,0)</f>
        <v>11000</v>
      </c>
    </row>
    <row r="847" spans="1:4">
      <c r="A847" s="7" t="s">
        <v>399</v>
      </c>
      <c r="B847" s="2">
        <v>1080201</v>
      </c>
      <c r="C847" s="2" t="s">
        <v>122</v>
      </c>
      <c r="D847" s="3">
        <f>VLOOKUP(B847,Sheet2!$A:$O,6,0)</f>
        <v>540</v>
      </c>
    </row>
    <row r="848" spans="1:4">
      <c r="A848" s="7" t="s">
        <v>399</v>
      </c>
      <c r="B848" s="2">
        <v>1080301</v>
      </c>
      <c r="C848" s="2" t="s">
        <v>124</v>
      </c>
      <c r="D848" s="3">
        <f>VLOOKUP(B848,Sheet2!$A:$O,6,0)</f>
        <v>1550</v>
      </c>
    </row>
    <row r="849" spans="1:4">
      <c r="A849" s="7" t="s">
        <v>399</v>
      </c>
      <c r="B849" s="2">
        <v>1080401</v>
      </c>
      <c r="C849" s="2" t="s">
        <v>233</v>
      </c>
      <c r="D849" s="3">
        <f>VLOOKUP(B849,Sheet2!$A:$O,6,0)</f>
        <v>3300</v>
      </c>
    </row>
    <row r="850" spans="1:4">
      <c r="A850" s="7" t="s">
        <v>399</v>
      </c>
      <c r="B850" s="2">
        <v>1080411</v>
      </c>
      <c r="C850" s="2" t="s">
        <v>128</v>
      </c>
      <c r="D850" s="3">
        <f>VLOOKUP(B850,Sheet2!$A:$O,6,0)</f>
        <v>3300</v>
      </c>
    </row>
    <row r="851" spans="1:4">
      <c r="A851" s="7" t="s">
        <v>399</v>
      </c>
      <c r="B851" s="2">
        <v>1080501</v>
      </c>
      <c r="C851" s="2" t="s">
        <v>130</v>
      </c>
      <c r="D851" s="3">
        <f>VLOOKUP(B851,Sheet2!$A:$O,6,0)</f>
        <v>3800</v>
      </c>
    </row>
    <row r="852" spans="1:4">
      <c r="A852" s="7" t="s">
        <v>399</v>
      </c>
      <c r="B852" s="2">
        <v>1080602</v>
      </c>
      <c r="C852" s="2" t="s">
        <v>234</v>
      </c>
      <c r="D852" s="3">
        <f>VLOOKUP(B852,Sheet2!$A:$O,6,0)</f>
        <v>37600</v>
      </c>
    </row>
    <row r="853" spans="1:4">
      <c r="A853" s="7" t="s">
        <v>399</v>
      </c>
      <c r="B853" s="2">
        <v>1080604</v>
      </c>
      <c r="C853" s="2" t="s">
        <v>235</v>
      </c>
      <c r="D853" s="3">
        <f>VLOOKUP(B853,Sheet2!$A:$O,6,0)</f>
        <v>0</v>
      </c>
    </row>
    <row r="854" spans="1:4">
      <c r="A854" s="7" t="s">
        <v>399</v>
      </c>
      <c r="B854" s="2">
        <v>1080702</v>
      </c>
      <c r="C854" s="2" t="s">
        <v>236</v>
      </c>
      <c r="D854" s="3">
        <f>VLOOKUP(B854,Sheet2!$A:$O,6,0)</f>
        <v>42500</v>
      </c>
    </row>
    <row r="855" spans="1:4">
      <c r="A855" s="7" t="s">
        <v>399</v>
      </c>
      <c r="B855" s="2">
        <v>1080704</v>
      </c>
      <c r="C855" s="2" t="s">
        <v>237</v>
      </c>
      <c r="D855" s="3">
        <f>VLOOKUP(B855,Sheet2!$A:$O,6,0)</f>
        <v>0</v>
      </c>
    </row>
    <row r="856" spans="1:4">
      <c r="A856" s="7" t="s">
        <v>399</v>
      </c>
      <c r="B856" s="2">
        <v>1090104</v>
      </c>
      <c r="C856" s="2" t="s">
        <v>136</v>
      </c>
      <c r="D856" s="3">
        <f>VLOOKUP(B856,Sheet2!$A:$O,6,0)</f>
        <v>40000</v>
      </c>
    </row>
    <row r="857" spans="1:4">
      <c r="A857" s="7" t="s">
        <v>399</v>
      </c>
      <c r="B857" s="2">
        <v>1090112</v>
      </c>
      <c r="C857" s="2" t="s">
        <v>138</v>
      </c>
      <c r="D857" s="3">
        <f>VLOOKUP(B857,Sheet2!$A:$O,6,0)</f>
        <v>35000</v>
      </c>
    </row>
    <row r="858" spans="1:4">
      <c r="A858" s="7" t="s">
        <v>399</v>
      </c>
      <c r="B858" s="2">
        <v>1090201</v>
      </c>
      <c r="C858" s="2" t="s">
        <v>140</v>
      </c>
      <c r="D858" s="3">
        <f>VLOOKUP(B858,Sheet2!$A:$O,6,0)</f>
        <v>15800</v>
      </c>
    </row>
    <row r="859" spans="1:4">
      <c r="A859" s="7" t="s">
        <v>399</v>
      </c>
      <c r="B859" s="2">
        <v>1090202</v>
      </c>
      <c r="C859" s="2" t="s">
        <v>142</v>
      </c>
      <c r="D859" s="3">
        <f>VLOOKUP(B859,Sheet2!$A:$O,6,0)</f>
        <v>98000</v>
      </c>
    </row>
    <row r="860" spans="1:4">
      <c r="A860" s="7" t="s">
        <v>399</v>
      </c>
      <c r="B860" s="2">
        <v>1090203</v>
      </c>
      <c r="C860" s="2" t="s">
        <v>144</v>
      </c>
      <c r="D860" s="3">
        <f>VLOOKUP(B860,Sheet2!$A:$O,6,0)</f>
        <v>23000</v>
      </c>
    </row>
    <row r="861" spans="1:4">
      <c r="A861" s="7" t="s">
        <v>399</v>
      </c>
      <c r="B861" s="2">
        <v>1090211</v>
      </c>
      <c r="C861" s="2" t="s">
        <v>146</v>
      </c>
      <c r="D861" s="3">
        <f>VLOOKUP(B861,Sheet2!$A:$O,6,0)</f>
        <v>69000</v>
      </c>
    </row>
    <row r="862" spans="1:4">
      <c r="A862" s="7" t="s">
        <v>399</v>
      </c>
      <c r="B862" s="2">
        <v>1090301</v>
      </c>
      <c r="C862" s="2" t="s">
        <v>238</v>
      </c>
      <c r="D862" s="3">
        <f>VLOOKUP(B862,Sheet2!$A:$O,6,0)</f>
        <v>32000</v>
      </c>
    </row>
    <row r="863" spans="1:4">
      <c r="A863" s="7" t="s">
        <v>399</v>
      </c>
      <c r="B863" s="2">
        <v>1090311</v>
      </c>
      <c r="C863" s="2" t="s">
        <v>150</v>
      </c>
      <c r="D863" s="3">
        <f>VLOOKUP(B863,Sheet2!$A:$O,6,0)</f>
        <v>37000</v>
      </c>
    </row>
    <row r="864" spans="1:4">
      <c r="A864" s="7" t="s">
        <v>399</v>
      </c>
      <c r="B864" s="2">
        <v>1090321</v>
      </c>
      <c r="C864" s="2" t="s">
        <v>152</v>
      </c>
      <c r="D864" s="3">
        <f>VLOOKUP(B864,Sheet2!$A:$O,6,0)</f>
        <v>75000</v>
      </c>
    </row>
    <row r="865" spans="1:4">
      <c r="A865" s="7" t="s">
        <v>399</v>
      </c>
      <c r="B865" s="2">
        <v>1090401</v>
      </c>
      <c r="C865" s="2" t="s">
        <v>154</v>
      </c>
      <c r="D865" s="3">
        <f>VLOOKUP(B865,Sheet2!$A:$O,6,0)</f>
        <v>8300</v>
      </c>
    </row>
    <row r="866" spans="1:4">
      <c r="A866" s="7" t="s">
        <v>399</v>
      </c>
      <c r="B866" s="2">
        <v>1090411</v>
      </c>
      <c r="C866" s="2" t="s">
        <v>156</v>
      </c>
      <c r="D866" s="3">
        <f>VLOOKUP(B866,Sheet2!$A:$O,6,0)</f>
        <v>45000</v>
      </c>
    </row>
    <row r="867" spans="1:4">
      <c r="A867" s="7" t="s">
        <v>399</v>
      </c>
      <c r="B867" s="2">
        <v>1090421</v>
      </c>
      <c r="C867" s="2" t="s">
        <v>158</v>
      </c>
      <c r="D867" s="3">
        <f>VLOOKUP(B867,Sheet2!$A:$O,6,0)</f>
        <v>36000</v>
      </c>
    </row>
    <row r="868" spans="1:4">
      <c r="A868" s="7" t="s">
        <v>399</v>
      </c>
      <c r="B868" s="2">
        <v>1090551</v>
      </c>
      <c r="C868" s="2" t="s">
        <v>239</v>
      </c>
      <c r="D868" s="3">
        <f>VLOOKUP(B868,Sheet2!$A:$O,6,0)</f>
        <v>4900</v>
      </c>
    </row>
    <row r="869" spans="1:4">
      <c r="A869" s="7" t="s">
        <v>399</v>
      </c>
      <c r="B869" s="2">
        <v>1090602</v>
      </c>
      <c r="C869" s="2" t="s">
        <v>162</v>
      </c>
      <c r="D869" s="3">
        <f>VLOOKUP(B869,Sheet2!$A:$O,6,0)</f>
        <v>5130</v>
      </c>
    </row>
    <row r="870" spans="1:4">
      <c r="A870" s="7" t="s">
        <v>399</v>
      </c>
      <c r="B870" s="2">
        <v>1090611</v>
      </c>
      <c r="C870" s="2" t="s">
        <v>164</v>
      </c>
      <c r="D870" s="3">
        <f>VLOOKUP(B870,Sheet2!$A:$O,6,0)</f>
        <v>4203</v>
      </c>
    </row>
    <row r="871" spans="1:4">
      <c r="A871" s="7" t="s">
        <v>399</v>
      </c>
      <c r="B871" s="2">
        <v>1090701</v>
      </c>
      <c r="C871" s="2" t="s">
        <v>166</v>
      </c>
      <c r="D871" s="3">
        <f>VLOOKUP(B871,Sheet2!$A:$O,6,0)</f>
        <v>21000</v>
      </c>
    </row>
    <row r="872" spans="1:4">
      <c r="A872" s="7" t="s">
        <v>399</v>
      </c>
      <c r="B872" s="2">
        <v>1090901</v>
      </c>
      <c r="C872" s="2" t="s">
        <v>168</v>
      </c>
      <c r="D872" s="3">
        <f>VLOOKUP(B872,Sheet2!$A:$O,6,0)</f>
        <v>4300</v>
      </c>
    </row>
    <row r="873" spans="1:4">
      <c r="A873" s="7" t="s">
        <v>399</v>
      </c>
      <c r="B873" s="2">
        <v>1091001</v>
      </c>
      <c r="C873" s="2" t="s">
        <v>170</v>
      </c>
      <c r="D873" s="3">
        <f>VLOOKUP(B873,Sheet2!$A:$O,6,0)</f>
        <v>6500</v>
      </c>
    </row>
    <row r="874" spans="1:4">
      <c r="A874" s="7" t="s">
        <v>399</v>
      </c>
      <c r="B874" s="2">
        <v>1091002</v>
      </c>
      <c r="C874" s="2" t="s">
        <v>172</v>
      </c>
      <c r="D874" s="3">
        <f>VLOOKUP(B874,Sheet2!$A:$O,6,0)</f>
        <v>6373</v>
      </c>
    </row>
    <row r="875" spans="1:4">
      <c r="A875" s="7" t="s">
        <v>399</v>
      </c>
      <c r="B875" s="2">
        <v>1091003</v>
      </c>
      <c r="C875" s="2" t="s">
        <v>174</v>
      </c>
      <c r="D875" s="3">
        <f>VLOOKUP(B875,Sheet2!$A:$O,6,0)</f>
        <v>8687</v>
      </c>
    </row>
    <row r="876" spans="1:4">
      <c r="A876" s="7" t="s">
        <v>399</v>
      </c>
      <c r="B876" s="2">
        <v>1091004</v>
      </c>
      <c r="C876" s="2" t="s">
        <v>240</v>
      </c>
      <c r="D876" s="3">
        <f>VLOOKUP(B876,Sheet2!$A:$O,6,0)</f>
        <v>0</v>
      </c>
    </row>
    <row r="877" spans="1:4">
      <c r="A877" s="7" t="s">
        <v>399</v>
      </c>
      <c r="B877" s="2">
        <v>1091005</v>
      </c>
      <c r="C877" s="2" t="s">
        <v>241</v>
      </c>
      <c r="D877" s="3">
        <f>VLOOKUP(B877,Sheet2!$A:$O,6,0)</f>
        <v>0</v>
      </c>
    </row>
    <row r="878" spans="1:4">
      <c r="A878" s="7" t="s">
        <v>399</v>
      </c>
      <c r="B878" s="2">
        <v>1091006</v>
      </c>
      <c r="C878" s="2" t="s">
        <v>242</v>
      </c>
      <c r="D878" s="3">
        <f>VLOOKUP(B878,Sheet2!$A:$O,6,0)</f>
        <v>0</v>
      </c>
    </row>
    <row r="879" spans="1:4">
      <c r="A879" s="7" t="s">
        <v>399</v>
      </c>
      <c r="B879" s="2">
        <v>1091007</v>
      </c>
      <c r="C879" s="2" t="s">
        <v>243</v>
      </c>
      <c r="D879" s="3">
        <f>VLOOKUP(B879,Sheet2!$A:$O,6,0)</f>
        <v>2640</v>
      </c>
    </row>
    <row r="880" spans="1:4">
      <c r="A880" s="7" t="s">
        <v>399</v>
      </c>
      <c r="B880" s="2">
        <v>1091008</v>
      </c>
      <c r="C880" s="2" t="s">
        <v>176</v>
      </c>
      <c r="D880" s="3">
        <f>VLOOKUP(B880,Sheet2!$A:$O,6,0)</f>
        <v>0</v>
      </c>
    </row>
    <row r="881" spans="1:4">
      <c r="A881" s="7" t="s">
        <v>399</v>
      </c>
      <c r="B881" s="2">
        <v>1091009</v>
      </c>
      <c r="C881" s="2" t="s">
        <v>178</v>
      </c>
      <c r="D881" s="3">
        <f>VLOOKUP(B881,Sheet2!$A:$O,6,0)</f>
        <v>0</v>
      </c>
    </row>
    <row r="882" spans="1:4">
      <c r="A882" s="7" t="s">
        <v>399</v>
      </c>
      <c r="B882" s="2">
        <v>1091010</v>
      </c>
      <c r="C882" s="2" t="s">
        <v>180</v>
      </c>
      <c r="D882" s="3">
        <f>VLOOKUP(B882,Sheet2!$A:$O,6,0)</f>
        <v>27000</v>
      </c>
    </row>
    <row r="883" spans="1:4">
      <c r="A883" s="7" t="s">
        <v>399</v>
      </c>
      <c r="B883" s="2">
        <v>1091011</v>
      </c>
      <c r="C883" s="2" t="s">
        <v>182</v>
      </c>
      <c r="D883" s="3">
        <f>VLOOKUP(B883,Sheet2!$A:$O,6,0)</f>
        <v>33000</v>
      </c>
    </row>
    <row r="884" spans="1:4">
      <c r="A884" s="7" t="s">
        <v>399</v>
      </c>
      <c r="B884" s="2">
        <v>1091012</v>
      </c>
      <c r="C884" s="2" t="s">
        <v>184</v>
      </c>
      <c r="D884" s="3">
        <f>VLOOKUP(B884,Sheet2!$A:$O,6,0)</f>
        <v>47000</v>
      </c>
    </row>
    <row r="885" spans="1:4">
      <c r="A885" s="7" t="s">
        <v>399</v>
      </c>
      <c r="B885" s="2">
        <v>1091013</v>
      </c>
      <c r="C885" s="2" t="s">
        <v>186</v>
      </c>
      <c r="D885" s="3">
        <f>VLOOKUP(B885,Sheet2!$A:$O,6,0)</f>
        <v>33000</v>
      </c>
    </row>
    <row r="886" spans="1:4">
      <c r="A886" s="7" t="s">
        <v>399</v>
      </c>
      <c r="B886" s="2">
        <v>1091014</v>
      </c>
      <c r="C886" s="2" t="s">
        <v>244</v>
      </c>
      <c r="D886" s="3">
        <f>VLOOKUP(B886,Sheet2!$A:$O,6,0)</f>
        <v>6961</v>
      </c>
    </row>
    <row r="887" spans="1:4">
      <c r="A887" s="7" t="s">
        <v>399</v>
      </c>
      <c r="B887" s="2">
        <v>1091015</v>
      </c>
      <c r="C887" s="2" t="s">
        <v>245</v>
      </c>
      <c r="D887" s="3">
        <f>VLOOKUP(B887,Sheet2!$A:$O,6,0)</f>
        <v>25490</v>
      </c>
    </row>
    <row r="888" spans="1:4">
      <c r="A888" s="7" t="s">
        <v>399</v>
      </c>
      <c r="B888" s="2">
        <v>1091016</v>
      </c>
      <c r="C888" s="2" t="s">
        <v>246</v>
      </c>
      <c r="D888" s="3">
        <f>VLOOKUP(B888,Sheet2!$A:$O,6,0)</f>
        <v>59000</v>
      </c>
    </row>
    <row r="889" spans="1:4">
      <c r="A889" s="7" t="s">
        <v>399</v>
      </c>
      <c r="B889" s="2">
        <v>1091017</v>
      </c>
      <c r="C889" s="2" t="s">
        <v>247</v>
      </c>
      <c r="D889" s="3">
        <f>VLOOKUP(B889,Sheet2!$A:$O,6,0)</f>
        <v>0</v>
      </c>
    </row>
    <row r="890" spans="1:4">
      <c r="A890" s="7" t="s">
        <v>399</v>
      </c>
      <c r="B890" s="2">
        <v>1091018</v>
      </c>
      <c r="C890" s="2" t="s">
        <v>248</v>
      </c>
      <c r="D890" s="3">
        <f>VLOOKUP(B890,Sheet2!$A:$O,6,0)</f>
        <v>0</v>
      </c>
    </row>
    <row r="891" spans="1:4">
      <c r="A891" s="7" t="s">
        <v>399</v>
      </c>
      <c r="B891" s="2">
        <v>1091019</v>
      </c>
      <c r="C891" s="2" t="s">
        <v>249</v>
      </c>
      <c r="D891" s="3">
        <f>VLOOKUP(B891,Sheet2!$A:$O,6,0)</f>
        <v>53387</v>
      </c>
    </row>
    <row r="892" spans="1:4">
      <c r="A892" s="7" t="s">
        <v>399</v>
      </c>
      <c r="B892" s="2">
        <v>1091020</v>
      </c>
      <c r="C892" s="2" t="s">
        <v>250</v>
      </c>
      <c r="D892" s="3">
        <f>VLOOKUP(B892,Sheet2!$A:$O,6,0)</f>
        <v>62745</v>
      </c>
    </row>
    <row r="893" spans="1:4">
      <c r="A893" s="7" t="s">
        <v>399</v>
      </c>
      <c r="B893" s="2">
        <v>1091021</v>
      </c>
      <c r="C893" s="2" t="s">
        <v>251</v>
      </c>
      <c r="D893" s="3">
        <f>VLOOKUP(B893,Sheet2!$A:$O,6,0)</f>
        <v>53922</v>
      </c>
    </row>
    <row r="894" spans="1:4">
      <c r="A894" s="7" t="s">
        <v>399</v>
      </c>
      <c r="B894" s="2">
        <v>1091022</v>
      </c>
      <c r="C894" s="2" t="s">
        <v>252</v>
      </c>
      <c r="D894" s="3">
        <f>VLOOKUP(B894,Sheet2!$A:$O,6,0)</f>
        <v>3235</v>
      </c>
    </row>
    <row r="895" spans="1:4">
      <c r="A895" s="7" t="s">
        <v>399</v>
      </c>
      <c r="B895" s="2">
        <v>1091023</v>
      </c>
      <c r="C895" s="2" t="s">
        <v>253</v>
      </c>
      <c r="D895" s="3">
        <f>VLOOKUP(B895,Sheet2!$A:$O,6,0)</f>
        <v>4412</v>
      </c>
    </row>
    <row r="896" spans="1:4">
      <c r="A896" s="7" t="s">
        <v>399</v>
      </c>
      <c r="B896" s="2">
        <v>1091024</v>
      </c>
      <c r="C896" s="2" t="s">
        <v>254</v>
      </c>
      <c r="D896" s="3">
        <f>VLOOKUP(B896,Sheet2!$A:$O,6,0)</f>
        <v>3922</v>
      </c>
    </row>
    <row r="897" spans="1:4">
      <c r="A897" s="7" t="s">
        <v>399</v>
      </c>
      <c r="B897" s="2">
        <v>1091025</v>
      </c>
      <c r="C897" s="2" t="s">
        <v>255</v>
      </c>
      <c r="D897" s="3">
        <f>VLOOKUP(B897,Sheet2!$A:$O,6,0)</f>
        <v>7843</v>
      </c>
    </row>
    <row r="898" spans="1:4">
      <c r="A898" s="7" t="s">
        <v>399</v>
      </c>
      <c r="B898" s="2">
        <v>1091026</v>
      </c>
      <c r="C898" s="2" t="s">
        <v>256</v>
      </c>
      <c r="D898" s="3">
        <f>VLOOKUP(B898,Sheet2!$A:$O,6,0)</f>
        <v>30196</v>
      </c>
    </row>
    <row r="899" spans="1:4">
      <c r="A899" s="7" t="s">
        <v>399</v>
      </c>
      <c r="B899" s="2">
        <v>1600101</v>
      </c>
      <c r="C899" s="2" t="s">
        <v>188</v>
      </c>
      <c r="D899" s="3">
        <f>VLOOKUP(B899,Sheet2!$A:$O,6,0)</f>
        <v>2324</v>
      </c>
    </row>
    <row r="900" spans="1:4">
      <c r="A900" s="7" t="s">
        <v>399</v>
      </c>
      <c r="B900" s="2">
        <v>1600102</v>
      </c>
      <c r="C900" s="2" t="s">
        <v>257</v>
      </c>
      <c r="D900" s="3">
        <f>VLOOKUP(B900,Sheet2!$A:$O,6,0)</f>
        <v>34314</v>
      </c>
    </row>
    <row r="901" spans="1:4">
      <c r="A901" s="7" t="s">
        <v>399</v>
      </c>
      <c r="B901" s="2">
        <v>1600103</v>
      </c>
      <c r="C901" s="2" t="s">
        <v>258</v>
      </c>
      <c r="D901" s="3">
        <f>VLOOKUP(B901,Sheet2!$A:$O,6,0)</f>
        <v>19800</v>
      </c>
    </row>
    <row r="902" spans="1:4">
      <c r="A902" s="7" t="s">
        <v>399</v>
      </c>
      <c r="B902" s="2">
        <v>1600104</v>
      </c>
      <c r="C902" s="2" t="s">
        <v>259</v>
      </c>
      <c r="D902" s="3">
        <f>VLOOKUP(B902,Sheet2!$A:$O,6,0)</f>
        <v>65000</v>
      </c>
    </row>
    <row r="903" spans="1:4">
      <c r="A903" s="7" t="s">
        <v>399</v>
      </c>
      <c r="B903" s="2">
        <v>1600105</v>
      </c>
      <c r="C903" s="2" t="s">
        <v>260</v>
      </c>
      <c r="D903" s="3">
        <f>VLOOKUP(B903,Sheet2!$A:$O,6,0)</f>
        <v>73000</v>
      </c>
    </row>
    <row r="904" spans="1:4">
      <c r="A904" s="7" t="s">
        <v>399</v>
      </c>
      <c r="B904" s="2">
        <v>1600106</v>
      </c>
      <c r="C904" s="2" t="s">
        <v>261</v>
      </c>
      <c r="D904" s="3">
        <f>VLOOKUP(B904,Sheet2!$A:$O,6,0)</f>
        <v>66667</v>
      </c>
    </row>
    <row r="905" spans="1:4">
      <c r="A905" s="7" t="s">
        <v>399</v>
      </c>
      <c r="B905" s="2">
        <v>1600107</v>
      </c>
      <c r="C905" s="2" t="s">
        <v>262</v>
      </c>
      <c r="D905" s="3">
        <f>VLOOKUP(B905,Sheet2!$A:$O,6,0)</f>
        <v>67647</v>
      </c>
    </row>
    <row r="906" spans="1:4">
      <c r="A906" s="7" t="s">
        <v>399</v>
      </c>
      <c r="B906" s="2">
        <v>1600108</v>
      </c>
      <c r="C906" s="2" t="s">
        <v>263</v>
      </c>
      <c r="D906" s="3">
        <f>VLOOKUP(B906,Sheet2!$A:$O,6,0)</f>
        <v>67647</v>
      </c>
    </row>
    <row r="907" spans="1:4">
      <c r="A907" s="7" t="s">
        <v>399</v>
      </c>
      <c r="B907" s="2">
        <v>1600109</v>
      </c>
      <c r="C907" s="2" t="s">
        <v>264</v>
      </c>
      <c r="D907" s="3">
        <f>VLOOKUP(B907,Sheet2!$A:$O,6,0)</f>
        <v>4657</v>
      </c>
    </row>
    <row r="908" spans="1:4">
      <c r="A908" s="7" t="s">
        <v>399</v>
      </c>
      <c r="B908" s="2">
        <v>1600110</v>
      </c>
      <c r="C908" s="2" t="s">
        <v>265</v>
      </c>
      <c r="D908" s="3">
        <f>VLOOKUP(B908,Sheet2!$A:$O,6,0)</f>
        <v>7917</v>
      </c>
    </row>
    <row r="909" spans="1:4">
      <c r="A909" s="7" t="s">
        <v>399</v>
      </c>
      <c r="B909" s="2">
        <v>1600111</v>
      </c>
      <c r="C909" s="2" t="s">
        <v>266</v>
      </c>
      <c r="D909" s="3">
        <f>VLOOKUP(B909,Sheet2!$A:$O,6,0)</f>
        <v>2266</v>
      </c>
    </row>
    <row r="910" spans="1:4">
      <c r="A910" s="7" t="s">
        <v>399</v>
      </c>
      <c r="B910" s="2">
        <v>1600112</v>
      </c>
      <c r="C910" s="2" t="s">
        <v>190</v>
      </c>
      <c r="D910" s="3">
        <f>VLOOKUP(B910,Sheet2!$A:$O,6,0)</f>
        <v>4800</v>
      </c>
    </row>
    <row r="911" spans="1:4">
      <c r="A911" s="7" t="s">
        <v>399</v>
      </c>
      <c r="B911" s="2">
        <v>1600113</v>
      </c>
      <c r="C911" s="2" t="s">
        <v>267</v>
      </c>
      <c r="D911" s="3">
        <f>VLOOKUP(B911,Sheet2!$A:$O,6,0)</f>
        <v>0</v>
      </c>
    </row>
    <row r="912" spans="1:4">
      <c r="A912" s="7" t="s">
        <v>399</v>
      </c>
      <c r="B912" s="2">
        <v>1600114</v>
      </c>
      <c r="C912" s="2" t="s">
        <v>268</v>
      </c>
      <c r="D912" s="3">
        <f>VLOOKUP(B912,Sheet2!$A:$O,6,0)</f>
        <v>14490</v>
      </c>
    </row>
    <row r="913" spans="1:4">
      <c r="A913" s="7" t="s">
        <v>399</v>
      </c>
      <c r="B913" s="2">
        <v>1700001</v>
      </c>
      <c r="C913" s="2" t="s">
        <v>269</v>
      </c>
      <c r="D913" s="3">
        <f>VLOOKUP(B913,Sheet2!$A:$O,6,0)</f>
        <v>3340</v>
      </c>
    </row>
    <row r="914" spans="1:4">
      <c r="A914" s="7" t="s">
        <v>399</v>
      </c>
      <c r="B914" s="2">
        <v>1700002</v>
      </c>
      <c r="C914" s="2" t="s">
        <v>270</v>
      </c>
      <c r="D914" s="3">
        <f>VLOOKUP(B914,Sheet2!$A:$O,6,0)</f>
        <v>3726</v>
      </c>
    </row>
    <row r="915" spans="1:4">
      <c r="A915" s="7" t="s">
        <v>399</v>
      </c>
      <c r="B915" s="2">
        <v>1700003</v>
      </c>
      <c r="C915" s="2" t="s">
        <v>271</v>
      </c>
      <c r="D915" s="3">
        <f>VLOOKUP(B915,Sheet2!$A:$O,6,0)</f>
        <v>4902</v>
      </c>
    </row>
    <row r="916" spans="1:4">
      <c r="A916" s="7" t="s">
        <v>399</v>
      </c>
      <c r="B916" s="2">
        <v>1700004</v>
      </c>
      <c r="C916" s="2" t="s">
        <v>272</v>
      </c>
      <c r="D916" s="3">
        <f>VLOOKUP(B916,Sheet2!$A:$O,6,0)</f>
        <v>13137</v>
      </c>
    </row>
    <row r="917" spans="1:4">
      <c r="A917" s="7" t="s">
        <v>399</v>
      </c>
      <c r="B917" s="2">
        <v>1700005</v>
      </c>
      <c r="C917" s="2" t="s">
        <v>192</v>
      </c>
      <c r="D917" s="3">
        <f>VLOOKUP(B917,Sheet2!$A:$O,6,0)</f>
        <v>1710</v>
      </c>
    </row>
    <row r="918" spans="1:4">
      <c r="A918" s="7" t="s">
        <v>399</v>
      </c>
      <c r="B918" s="2">
        <v>1700006</v>
      </c>
      <c r="C918" s="2" t="s">
        <v>273</v>
      </c>
      <c r="D918" s="3">
        <f>VLOOKUP(B918,Sheet2!$A:$O,6,0)</f>
        <v>6373</v>
      </c>
    </row>
    <row r="919" spans="1:4">
      <c r="A919" s="7" t="s">
        <v>399</v>
      </c>
      <c r="B919" s="2">
        <v>1700007</v>
      </c>
      <c r="C919" s="2" t="s">
        <v>274</v>
      </c>
      <c r="D919" s="3">
        <f>VLOOKUP(B919,Sheet2!$A:$O,6,0)</f>
        <v>0</v>
      </c>
    </row>
    <row r="920" spans="1:4">
      <c r="A920" s="7" t="s">
        <v>399</v>
      </c>
      <c r="B920" s="2">
        <v>1700008</v>
      </c>
      <c r="C920" s="2" t="s">
        <v>275</v>
      </c>
      <c r="D920" s="3">
        <f>VLOOKUP(B920,Sheet2!$A:$O,6,0)</f>
        <v>0</v>
      </c>
    </row>
    <row r="921" spans="1:4">
      <c r="A921" s="7" t="s">
        <v>399</v>
      </c>
      <c r="B921" s="2">
        <v>1700009</v>
      </c>
      <c r="C921" s="2" t="s">
        <v>276</v>
      </c>
      <c r="D921" s="3">
        <f>VLOOKUP(B921,Sheet2!$A:$O,6,0)</f>
        <v>0</v>
      </c>
    </row>
    <row r="922" spans="1:4">
      <c r="A922" s="7" t="s">
        <v>399</v>
      </c>
      <c r="B922" s="2">
        <v>1700010</v>
      </c>
      <c r="C922" s="2" t="s">
        <v>277</v>
      </c>
      <c r="D922" s="3">
        <f>VLOOKUP(B922,Sheet2!$A:$O,6,0)</f>
        <v>3620</v>
      </c>
    </row>
    <row r="923" spans="1:4">
      <c r="A923" s="7" t="s">
        <v>399</v>
      </c>
      <c r="B923" s="2">
        <v>1700011</v>
      </c>
      <c r="C923" s="2" t="s">
        <v>278</v>
      </c>
      <c r="D923" s="3">
        <f>VLOOKUP(B923,Sheet2!$A:$O,6,0)</f>
        <v>0</v>
      </c>
    </row>
    <row r="924" spans="1:4">
      <c r="A924" s="7" t="s">
        <v>399</v>
      </c>
      <c r="B924" s="2">
        <v>1700012</v>
      </c>
      <c r="C924" s="2" t="s">
        <v>279</v>
      </c>
      <c r="D924" s="3">
        <f>VLOOKUP(B924,Sheet2!$A:$O,6,0)</f>
        <v>12255</v>
      </c>
    </row>
    <row r="925" spans="1:4">
      <c r="A925" s="7" t="s">
        <v>399</v>
      </c>
      <c r="B925" s="2">
        <v>1700013</v>
      </c>
      <c r="C925" s="2" t="s">
        <v>280</v>
      </c>
      <c r="D925" s="3">
        <f>VLOOKUP(B925,Sheet2!$A:$O,6,0)</f>
        <v>657</v>
      </c>
    </row>
    <row r="926" spans="1:4">
      <c r="A926" s="7" t="s">
        <v>399</v>
      </c>
      <c r="B926" s="2">
        <v>1700014</v>
      </c>
      <c r="C926" s="2" t="s">
        <v>194</v>
      </c>
      <c r="D926" s="3">
        <f>VLOOKUP(B926,Sheet2!$A:$O,6,0)</f>
        <v>2255</v>
      </c>
    </row>
    <row r="927" spans="1:4">
      <c r="A927" s="7" t="s">
        <v>399</v>
      </c>
      <c r="B927" s="2">
        <v>1700015</v>
      </c>
      <c r="C927" s="2" t="s">
        <v>281</v>
      </c>
      <c r="D927" s="3">
        <f>VLOOKUP(B927,Sheet2!$A:$O,6,0)</f>
        <v>2552</v>
      </c>
    </row>
    <row r="928" spans="1:4">
      <c r="A928" s="7" t="s">
        <v>399</v>
      </c>
      <c r="B928" s="2">
        <v>1700016</v>
      </c>
      <c r="C928" s="2" t="s">
        <v>282</v>
      </c>
      <c r="D928" s="3">
        <f>VLOOKUP(B928,Sheet2!$A:$O,6,0)</f>
        <v>3073</v>
      </c>
    </row>
    <row r="929" spans="1:4">
      <c r="A929" s="7" t="s">
        <v>399</v>
      </c>
      <c r="B929" s="2">
        <v>1700017</v>
      </c>
      <c r="C929" s="2" t="s">
        <v>283</v>
      </c>
      <c r="D929" s="3">
        <f>VLOOKUP(B929,Sheet2!$A:$O,6,0)</f>
        <v>8922</v>
      </c>
    </row>
    <row r="930" spans="1:4">
      <c r="A930" s="7" t="s">
        <v>399</v>
      </c>
      <c r="B930" s="2">
        <v>1700018</v>
      </c>
      <c r="C930" s="2" t="s">
        <v>284</v>
      </c>
      <c r="D930" s="3">
        <f>VLOOKUP(B930,Sheet2!$A:$O,6,0)</f>
        <v>3737</v>
      </c>
    </row>
    <row r="931" spans="1:4">
      <c r="A931" s="7" t="s">
        <v>399</v>
      </c>
      <c r="B931" s="2">
        <v>1700019</v>
      </c>
      <c r="C931" s="2" t="s">
        <v>285</v>
      </c>
      <c r="D931" s="3">
        <f>VLOOKUP(B931,Sheet2!$A:$O,6,0)</f>
        <v>0</v>
      </c>
    </row>
    <row r="932" spans="1:4">
      <c r="A932" s="7" t="s">
        <v>399</v>
      </c>
      <c r="B932" s="2">
        <v>1700020</v>
      </c>
      <c r="C932" s="2" t="s">
        <v>286</v>
      </c>
      <c r="D932" s="3">
        <f>VLOOKUP(B932,Sheet2!$A:$O,6,0)</f>
        <v>49412</v>
      </c>
    </row>
    <row r="933" spans="1:4">
      <c r="A933" s="7" t="s">
        <v>399</v>
      </c>
      <c r="B933" s="2">
        <v>1700021</v>
      </c>
      <c r="C933" s="2" t="s">
        <v>287</v>
      </c>
      <c r="D933" s="3">
        <f>VLOOKUP(B933,Sheet2!$A:$O,6,0)</f>
        <v>73608</v>
      </c>
    </row>
    <row r="934" spans="1:4">
      <c r="A934" s="7" t="s">
        <v>399</v>
      </c>
      <c r="B934" s="2">
        <v>1700022</v>
      </c>
      <c r="C934" s="2" t="s">
        <v>288</v>
      </c>
      <c r="D934" s="3">
        <f>VLOOKUP(B934,Sheet2!$A:$O,6,0)</f>
        <v>26628</v>
      </c>
    </row>
    <row r="935" spans="1:4">
      <c r="A935" s="7" t="s">
        <v>399</v>
      </c>
      <c r="B935" s="2">
        <v>1700023</v>
      </c>
      <c r="C935" s="2" t="s">
        <v>289</v>
      </c>
      <c r="D935" s="3">
        <f>VLOOKUP(B935,Sheet2!$A:$O,6,0)</f>
        <v>5294</v>
      </c>
    </row>
    <row r="936" spans="1:4">
      <c r="A936" s="7" t="s">
        <v>399</v>
      </c>
      <c r="B936" s="2">
        <v>1700024</v>
      </c>
      <c r="C936" s="2" t="s">
        <v>290</v>
      </c>
      <c r="D936" s="3">
        <f>VLOOKUP(B936,Sheet2!$A:$O,6,0)</f>
        <v>0</v>
      </c>
    </row>
    <row r="937" spans="1:4">
      <c r="A937" s="7" t="s">
        <v>399</v>
      </c>
      <c r="B937" s="2">
        <v>1700025</v>
      </c>
      <c r="C937" s="2" t="s">
        <v>291</v>
      </c>
      <c r="D937" s="3">
        <f>VLOOKUP(B937,Sheet2!$A:$O,6,0)</f>
        <v>0</v>
      </c>
    </row>
    <row r="938" spans="1:4">
      <c r="A938" s="7" t="s">
        <v>399</v>
      </c>
      <c r="B938" s="2">
        <v>1700026</v>
      </c>
      <c r="C938" s="2" t="s">
        <v>292</v>
      </c>
      <c r="D938" s="3">
        <f>VLOOKUP(B938,Sheet2!$A:$O,6,0)</f>
        <v>3843</v>
      </c>
    </row>
    <row r="939" spans="1:4">
      <c r="A939" s="7" t="s">
        <v>399</v>
      </c>
      <c r="B939" s="2">
        <v>1700027</v>
      </c>
      <c r="C939" s="2" t="s">
        <v>293</v>
      </c>
      <c r="D939" s="3">
        <f>VLOOKUP(B939,Sheet2!$A:$O,6,0)</f>
        <v>4412</v>
      </c>
    </row>
    <row r="940" spans="1:4">
      <c r="A940" s="7" t="s">
        <v>399</v>
      </c>
      <c r="B940" s="2">
        <v>1700028</v>
      </c>
      <c r="C940" s="2" t="s">
        <v>294</v>
      </c>
      <c r="D940" s="3">
        <f>VLOOKUP(B940,Sheet2!$A:$O,6,0)</f>
        <v>9500</v>
      </c>
    </row>
    <row r="941" spans="1:4">
      <c r="A941" s="7" t="s">
        <v>399</v>
      </c>
      <c r="B941" s="2">
        <v>1700029</v>
      </c>
      <c r="C941" s="2" t="s">
        <v>295</v>
      </c>
      <c r="D941" s="3">
        <f>VLOOKUP(B941,Sheet2!$A:$O,6,0)</f>
        <v>10670</v>
      </c>
    </row>
    <row r="942" spans="1:4">
      <c r="A942" s="7" t="s">
        <v>399</v>
      </c>
      <c r="B942" s="2">
        <v>1700030</v>
      </c>
      <c r="C942" s="2" t="s">
        <v>296</v>
      </c>
      <c r="D942" s="3">
        <f>VLOOKUP(B942,Sheet2!$A:$O,6,0)</f>
        <v>12720</v>
      </c>
    </row>
    <row r="943" spans="1:4">
      <c r="A943" s="7" t="s">
        <v>399</v>
      </c>
      <c r="B943" s="2">
        <v>1700031</v>
      </c>
      <c r="C943" s="2" t="s">
        <v>196</v>
      </c>
      <c r="D943" s="3">
        <f>VLOOKUP(B943,Sheet2!$A:$O,6,0)</f>
        <v>1961</v>
      </c>
    </row>
    <row r="944" spans="1:4">
      <c r="A944" s="7" t="s">
        <v>399</v>
      </c>
      <c r="B944" s="2">
        <v>1700032</v>
      </c>
      <c r="C944" s="2" t="s">
        <v>297</v>
      </c>
      <c r="D944" s="3">
        <f>VLOOKUP(B944,Sheet2!$A:$O,6,0)</f>
        <v>0</v>
      </c>
    </row>
    <row r="945" spans="1:4">
      <c r="A945" s="7" t="s">
        <v>399</v>
      </c>
      <c r="B945" s="2">
        <v>1700033</v>
      </c>
      <c r="C945" s="2" t="s">
        <v>298</v>
      </c>
      <c r="D945" s="3">
        <f>VLOOKUP(B945,Sheet2!$A:$O,6,0)</f>
        <v>0</v>
      </c>
    </row>
    <row r="946" spans="1:4">
      <c r="A946" s="7" t="s">
        <v>399</v>
      </c>
      <c r="B946" s="2">
        <v>1700034</v>
      </c>
      <c r="C946" s="2" t="s">
        <v>299</v>
      </c>
      <c r="D946" s="3">
        <f>VLOOKUP(B946,Sheet2!$A:$O,6,0)</f>
        <v>15125</v>
      </c>
    </row>
    <row r="947" spans="1:4">
      <c r="A947" s="7" t="s">
        <v>399</v>
      </c>
      <c r="B947" s="2">
        <v>1700035</v>
      </c>
      <c r="C947" s="2" t="s">
        <v>300</v>
      </c>
      <c r="D947" s="3">
        <f>VLOOKUP(B947,Sheet2!$A:$O,6,0)</f>
        <v>34000</v>
      </c>
    </row>
    <row r="948" spans="1:4">
      <c r="A948" s="7" t="s">
        <v>399</v>
      </c>
      <c r="B948" s="2">
        <v>1700036</v>
      </c>
      <c r="C948" s="2" t="s">
        <v>301</v>
      </c>
      <c r="D948" s="3">
        <f>VLOOKUP(B948,Sheet2!$A:$O,6,0)</f>
        <v>5200</v>
      </c>
    </row>
    <row r="949" spans="1:4">
      <c r="A949" s="7" t="s">
        <v>399</v>
      </c>
      <c r="B949" s="2">
        <v>1700037</v>
      </c>
      <c r="C949" s="2" t="s">
        <v>302</v>
      </c>
      <c r="D949" s="3">
        <f>VLOOKUP(B949,Sheet2!$A:$O,6,0)</f>
        <v>7533</v>
      </c>
    </row>
    <row r="950" spans="1:4">
      <c r="A950" s="7" t="s">
        <v>399</v>
      </c>
      <c r="B950" s="2">
        <v>1700038</v>
      </c>
      <c r="C950" s="2" t="s">
        <v>303</v>
      </c>
      <c r="D950" s="3">
        <f>VLOOKUP(B950,Sheet2!$A:$O,6,0)</f>
        <v>2559</v>
      </c>
    </row>
    <row r="951" spans="1:4">
      <c r="A951" s="7" t="s">
        <v>399</v>
      </c>
      <c r="B951" s="2">
        <v>1700039</v>
      </c>
      <c r="C951" s="2" t="s">
        <v>304</v>
      </c>
      <c r="D951" s="3">
        <f>VLOOKUP(B951,Sheet2!$A:$O,6,0)</f>
        <v>2000</v>
      </c>
    </row>
    <row r="952" spans="1:4">
      <c r="A952" s="7" t="s">
        <v>399</v>
      </c>
      <c r="B952" s="2">
        <v>1700040</v>
      </c>
      <c r="C952" s="2" t="s">
        <v>305</v>
      </c>
      <c r="D952" s="3">
        <f>VLOOKUP(B952,Sheet2!$A:$O,6,0)</f>
        <v>1967</v>
      </c>
    </row>
    <row r="953" spans="1:4">
      <c r="A953" s="7" t="s">
        <v>399</v>
      </c>
      <c r="B953" s="2">
        <v>1700041</v>
      </c>
      <c r="C953" s="2" t="s">
        <v>306</v>
      </c>
      <c r="D953" s="3">
        <f>VLOOKUP(B953,Sheet2!$A:$O,6,0)</f>
        <v>3000</v>
      </c>
    </row>
    <row r="954" spans="1:4">
      <c r="A954" s="7" t="s">
        <v>399</v>
      </c>
      <c r="B954" s="2">
        <v>1700042</v>
      </c>
      <c r="C954" s="2" t="s">
        <v>307</v>
      </c>
      <c r="D954" s="3">
        <f>VLOOKUP(B954,Sheet2!$A:$O,6,0)</f>
        <v>3220</v>
      </c>
    </row>
    <row r="955" spans="1:4">
      <c r="A955" s="7" t="s">
        <v>399</v>
      </c>
      <c r="B955" s="2">
        <v>1700043</v>
      </c>
      <c r="C955" s="2" t="s">
        <v>308</v>
      </c>
      <c r="D955" s="3">
        <f>VLOOKUP(B955,Sheet2!$A:$O,6,0)</f>
        <v>2931</v>
      </c>
    </row>
    <row r="956" spans="1:4">
      <c r="A956" s="7" t="s">
        <v>399</v>
      </c>
      <c r="B956" s="2">
        <v>1700044</v>
      </c>
      <c r="C956" s="2" t="s">
        <v>309</v>
      </c>
      <c r="D956" s="3">
        <f>VLOOKUP(B956,Sheet2!$A:$O,6,0)</f>
        <v>7000</v>
      </c>
    </row>
    <row r="957" spans="1:4">
      <c r="A957" s="7" t="s">
        <v>399</v>
      </c>
      <c r="B957" s="2">
        <v>1700045</v>
      </c>
      <c r="C957" s="2" t="s">
        <v>310</v>
      </c>
      <c r="D957" s="3">
        <f>VLOOKUP(B957,Sheet2!$A:$O,6,0)</f>
        <v>3549</v>
      </c>
    </row>
    <row r="958" spans="1:4">
      <c r="A958" s="7" t="s">
        <v>399</v>
      </c>
      <c r="B958" s="2">
        <v>1700046</v>
      </c>
      <c r="C958" s="2" t="s">
        <v>311</v>
      </c>
      <c r="D958" s="3">
        <f>VLOOKUP(B958,Sheet2!$A:$O,6,0)</f>
        <v>6176</v>
      </c>
    </row>
    <row r="959" spans="1:4">
      <c r="A959" s="7" t="s">
        <v>399</v>
      </c>
      <c r="B959" s="2">
        <v>1700047</v>
      </c>
      <c r="C959" s="2" t="s">
        <v>312</v>
      </c>
      <c r="D959" s="3">
        <f>VLOOKUP(B959,Sheet2!$A:$O,6,0)</f>
        <v>22150</v>
      </c>
    </row>
    <row r="960" spans="1:4">
      <c r="A960" s="7" t="s">
        <v>399</v>
      </c>
      <c r="B960" s="2">
        <v>1700048</v>
      </c>
      <c r="C960" s="2" t="s">
        <v>313</v>
      </c>
      <c r="D960" s="3">
        <f>VLOOKUP(B960,Sheet2!$A:$O,6,0)</f>
        <v>13330</v>
      </c>
    </row>
    <row r="961" spans="1:4">
      <c r="A961" s="7" t="s">
        <v>399</v>
      </c>
      <c r="B961" s="2">
        <v>1700049</v>
      </c>
      <c r="C961" s="2" t="s">
        <v>314</v>
      </c>
      <c r="D961" s="3">
        <f>VLOOKUP(B961,Sheet2!$A:$O,6,0)</f>
        <v>5785</v>
      </c>
    </row>
    <row r="962" spans="1:4">
      <c r="A962" s="7" t="s">
        <v>399</v>
      </c>
      <c r="B962" s="2">
        <v>1700050</v>
      </c>
      <c r="C962" s="2" t="s">
        <v>315</v>
      </c>
      <c r="D962" s="3">
        <f>VLOOKUP(B962,Sheet2!$A:$O,6,0)</f>
        <v>39000</v>
      </c>
    </row>
    <row r="963" spans="1:4">
      <c r="A963" s="7" t="s">
        <v>399</v>
      </c>
      <c r="B963" s="2">
        <v>1700051</v>
      </c>
      <c r="C963" s="2" t="s">
        <v>316</v>
      </c>
      <c r="D963" s="3">
        <f>VLOOKUP(B963,Sheet2!$A:$O,6,0)</f>
        <v>11500</v>
      </c>
    </row>
    <row r="964" spans="1:4">
      <c r="A964" s="7" t="s">
        <v>399</v>
      </c>
      <c r="B964" s="2">
        <v>1700052</v>
      </c>
      <c r="C964" s="2" t="s">
        <v>317</v>
      </c>
      <c r="D964" s="3">
        <f>VLOOKUP(B964,Sheet2!$A:$O,6,0)</f>
        <v>3444</v>
      </c>
    </row>
    <row r="965" spans="1:4">
      <c r="A965" s="7" t="s">
        <v>399</v>
      </c>
      <c r="B965" s="2">
        <v>1700053</v>
      </c>
      <c r="C965" s="2" t="s">
        <v>318</v>
      </c>
      <c r="D965" s="3">
        <f>VLOOKUP(B965,Sheet2!$A:$O,6,0)</f>
        <v>15530</v>
      </c>
    </row>
    <row r="966" spans="1:4">
      <c r="A966" s="7" t="s">
        <v>399</v>
      </c>
      <c r="B966" s="2">
        <v>1700054</v>
      </c>
      <c r="C966" s="2" t="s">
        <v>319</v>
      </c>
      <c r="D966" s="3">
        <f>VLOOKUP(B966,Sheet2!$A:$O,6,0)</f>
        <v>11670</v>
      </c>
    </row>
    <row r="967" spans="1:4">
      <c r="A967" s="7" t="s">
        <v>399</v>
      </c>
      <c r="B967" s="2">
        <v>1700055</v>
      </c>
      <c r="C967" s="2" t="s">
        <v>320</v>
      </c>
      <c r="D967" s="3">
        <f>VLOOKUP(B967,Sheet2!$A:$O,6,0)</f>
        <v>11940</v>
      </c>
    </row>
    <row r="968" spans="1:4">
      <c r="A968" s="7" t="s">
        <v>399</v>
      </c>
      <c r="B968" s="2">
        <v>1700056</v>
      </c>
      <c r="C968" s="2" t="s">
        <v>321</v>
      </c>
      <c r="D968" s="3">
        <f>VLOOKUP(B968,Sheet2!$A:$O,6,0)</f>
        <v>6226</v>
      </c>
    </row>
    <row r="969" spans="1:4">
      <c r="A969" s="7" t="s">
        <v>399</v>
      </c>
      <c r="B969" s="2">
        <v>1700057</v>
      </c>
      <c r="C969" s="2" t="s">
        <v>322</v>
      </c>
      <c r="D969" s="3">
        <f>VLOOKUP(B969,Sheet2!$A:$O,6,0)</f>
        <v>2098</v>
      </c>
    </row>
    <row r="970" spans="1:4">
      <c r="A970" s="7" t="s">
        <v>399</v>
      </c>
      <c r="B970" s="2">
        <v>1700058</v>
      </c>
      <c r="C970" s="2" t="s">
        <v>323</v>
      </c>
      <c r="D970" s="3">
        <f>VLOOKUP(B970,Sheet2!$A:$O,6,0)</f>
        <v>5800</v>
      </c>
    </row>
    <row r="971" spans="1:4">
      <c r="A971" s="7" t="s">
        <v>399</v>
      </c>
      <c r="B971" s="2">
        <v>1700059</v>
      </c>
      <c r="C971" s="2" t="s">
        <v>324</v>
      </c>
      <c r="D971" s="3">
        <f>VLOOKUP(B971,Sheet2!$A:$O,6,0)</f>
        <v>27667</v>
      </c>
    </row>
    <row r="972" spans="1:4">
      <c r="A972" s="7" t="s">
        <v>399</v>
      </c>
      <c r="B972" s="2">
        <v>1700060</v>
      </c>
      <c r="C972" s="2" t="s">
        <v>325</v>
      </c>
      <c r="D972" s="3">
        <f>VLOOKUP(B972,Sheet2!$A:$O,6,0)</f>
        <v>5314</v>
      </c>
    </row>
    <row r="973" spans="1:4">
      <c r="A973" s="7" t="s">
        <v>399</v>
      </c>
      <c r="B973" s="2">
        <v>1700061</v>
      </c>
      <c r="C973" s="2" t="s">
        <v>326</v>
      </c>
      <c r="D973" s="3">
        <f>VLOOKUP(B973,Sheet2!$A:$O,6,0)</f>
        <v>8920</v>
      </c>
    </row>
    <row r="974" spans="1:4">
      <c r="A974" s="7" t="s">
        <v>399</v>
      </c>
      <c r="B974" s="2">
        <v>1700062</v>
      </c>
      <c r="C974" s="2" t="s">
        <v>327</v>
      </c>
      <c r="D974" s="3">
        <f>VLOOKUP(B974,Sheet2!$A:$O,6,0)</f>
        <v>10520</v>
      </c>
    </row>
    <row r="975" spans="1:4">
      <c r="A975" s="7" t="s">
        <v>399</v>
      </c>
      <c r="B975" s="2">
        <v>1700063</v>
      </c>
      <c r="C975" s="2" t="s">
        <v>328</v>
      </c>
      <c r="D975" s="3">
        <f>VLOOKUP(B975,Sheet2!$A:$O,6,0)</f>
        <v>10550</v>
      </c>
    </row>
    <row r="976" spans="1:4">
      <c r="A976" s="7" t="s">
        <v>399</v>
      </c>
      <c r="B976" s="2">
        <v>1700064</v>
      </c>
      <c r="C976" s="2" t="s">
        <v>329</v>
      </c>
      <c r="D976" s="3">
        <f>VLOOKUP(B976,Sheet2!$A:$O,6,0)</f>
        <v>11060</v>
      </c>
    </row>
    <row r="977" spans="1:4">
      <c r="A977" s="7" t="s">
        <v>399</v>
      </c>
      <c r="B977" s="2">
        <v>1700065</v>
      </c>
      <c r="C977" s="2" t="s">
        <v>330</v>
      </c>
      <c r="D977" s="3">
        <f>VLOOKUP(B977,Sheet2!$A:$O,6,0)</f>
        <v>12760</v>
      </c>
    </row>
    <row r="978" spans="1:4">
      <c r="A978" s="7" t="s">
        <v>399</v>
      </c>
      <c r="B978" s="2">
        <v>1700066</v>
      </c>
      <c r="C978" s="2" t="s">
        <v>331</v>
      </c>
      <c r="D978" s="3">
        <f>VLOOKUP(B978,Sheet2!$A:$O,6,0)</f>
        <v>13200</v>
      </c>
    </row>
    <row r="979" spans="1:4">
      <c r="A979" s="7" t="s">
        <v>399</v>
      </c>
      <c r="B979" s="2">
        <v>1700067</v>
      </c>
      <c r="C979" s="2" t="s">
        <v>332</v>
      </c>
      <c r="D979" s="3">
        <f>VLOOKUP(B979,Sheet2!$A:$O,6,0)</f>
        <v>10720</v>
      </c>
    </row>
    <row r="980" spans="1:4">
      <c r="A980" s="7" t="s">
        <v>399</v>
      </c>
      <c r="B980" s="2">
        <v>1700068</v>
      </c>
      <c r="C980" s="2" t="s">
        <v>333</v>
      </c>
      <c r="D980" s="3">
        <f>VLOOKUP(B980,Sheet2!$A:$O,6,0)</f>
        <v>12720</v>
      </c>
    </row>
    <row r="981" spans="1:4">
      <c r="A981" s="7" t="s">
        <v>399</v>
      </c>
      <c r="B981" s="2">
        <v>1700069</v>
      </c>
      <c r="C981" s="2" t="s">
        <v>334</v>
      </c>
      <c r="D981" s="3">
        <f>VLOOKUP(B981,Sheet2!$A:$O,6,0)</f>
        <v>14000</v>
      </c>
    </row>
    <row r="982" spans="1:4">
      <c r="A982" s="7" t="s">
        <v>399</v>
      </c>
      <c r="B982" s="2">
        <v>1700070</v>
      </c>
      <c r="C982" s="2" t="s">
        <v>335</v>
      </c>
      <c r="D982" s="3">
        <f>VLOOKUP(B982,Sheet2!$A:$O,6,0)</f>
        <v>1618</v>
      </c>
    </row>
    <row r="983" spans="1:4">
      <c r="A983" s="7" t="s">
        <v>399</v>
      </c>
      <c r="B983" s="2">
        <v>1700071</v>
      </c>
      <c r="C983" s="2" t="s">
        <v>336</v>
      </c>
      <c r="D983" s="3">
        <f>VLOOKUP(B983,Sheet2!$A:$O,6,0)</f>
        <v>12190</v>
      </c>
    </row>
    <row r="984" spans="1:4">
      <c r="A984" s="7" t="s">
        <v>399</v>
      </c>
      <c r="B984" s="2">
        <v>1700072</v>
      </c>
      <c r="C984" s="2" t="s">
        <v>337</v>
      </c>
      <c r="D984" s="3">
        <f>VLOOKUP(B984,Sheet2!$A:$O,6,0)</f>
        <v>10180</v>
      </c>
    </row>
    <row r="985" spans="1:4">
      <c r="A985" s="7" t="s">
        <v>399</v>
      </c>
      <c r="B985" s="2">
        <v>1700073</v>
      </c>
      <c r="C985" s="2" t="s">
        <v>338</v>
      </c>
      <c r="D985" s="3">
        <f>VLOOKUP(B985,Sheet2!$A:$O,6,0)</f>
        <v>9020</v>
      </c>
    </row>
    <row r="986" spans="1:4">
      <c r="A986" s="7" t="s">
        <v>399</v>
      </c>
      <c r="B986" s="2">
        <v>1700076</v>
      </c>
      <c r="C986" s="2" t="s">
        <v>339</v>
      </c>
      <c r="D986" s="3">
        <f>VLOOKUP(B986,Sheet2!$A:$O,6,0)</f>
        <v>2451</v>
      </c>
    </row>
    <row r="987" spans="1:4">
      <c r="A987" s="7" t="s">
        <v>399</v>
      </c>
      <c r="B987" s="2">
        <v>1700077</v>
      </c>
      <c r="C987" s="2" t="s">
        <v>340</v>
      </c>
      <c r="D987" s="3">
        <f>VLOOKUP(B987,Sheet2!$A:$O,6,0)</f>
        <v>2353</v>
      </c>
    </row>
    <row r="988" spans="1:4">
      <c r="A988" s="7" t="s">
        <v>399</v>
      </c>
      <c r="B988" s="2">
        <v>1700078</v>
      </c>
      <c r="C988" s="2" t="s">
        <v>341</v>
      </c>
      <c r="D988" s="3">
        <f>VLOOKUP(B988,Sheet2!$A:$O,6,0)</f>
        <v>4284</v>
      </c>
    </row>
    <row r="989" spans="1:4">
      <c r="A989" s="7" t="s">
        <v>399</v>
      </c>
      <c r="B989" s="2">
        <v>1700080</v>
      </c>
      <c r="C989" s="2" t="s">
        <v>342</v>
      </c>
      <c r="D989" s="3">
        <f>VLOOKUP(B989,Sheet2!$A:$O,6,0)</f>
        <v>3529</v>
      </c>
    </row>
    <row r="990" spans="1:4">
      <c r="A990" s="7" t="s">
        <v>399</v>
      </c>
      <c r="B990" s="2">
        <v>1700083</v>
      </c>
      <c r="C990" s="2" t="s">
        <v>343</v>
      </c>
      <c r="D990" s="3">
        <f>VLOOKUP(B990,Sheet2!$A:$O,6,0)</f>
        <v>5738</v>
      </c>
    </row>
    <row r="991" spans="1:4">
      <c r="A991" s="7" t="s">
        <v>399</v>
      </c>
      <c r="B991" s="2">
        <v>1700084</v>
      </c>
      <c r="C991" s="2" t="s">
        <v>344</v>
      </c>
      <c r="D991" s="3">
        <f>VLOOKUP(B991,Sheet2!$A:$O,6,0)</f>
        <v>10882</v>
      </c>
    </row>
    <row r="992" spans="1:4">
      <c r="A992" s="7" t="s">
        <v>399</v>
      </c>
      <c r="B992" s="2">
        <v>1700085</v>
      </c>
      <c r="C992" s="2" t="s">
        <v>345</v>
      </c>
      <c r="D992" s="3">
        <f>VLOOKUP(B992,Sheet2!$A:$O,6,0)</f>
        <v>7720</v>
      </c>
    </row>
    <row r="993" spans="1:4">
      <c r="A993" s="7" t="s">
        <v>399</v>
      </c>
      <c r="B993" s="2">
        <v>1700086</v>
      </c>
      <c r="C993" s="2" t="s">
        <v>346</v>
      </c>
      <c r="D993" s="3">
        <f>VLOOKUP(B993,Sheet2!$A:$O,6,0)</f>
        <v>2657</v>
      </c>
    </row>
    <row r="994" spans="1:4">
      <c r="A994" s="7" t="s">
        <v>399</v>
      </c>
      <c r="B994" s="2">
        <v>1700087</v>
      </c>
      <c r="C994" s="2" t="s">
        <v>347</v>
      </c>
      <c r="D994" s="3">
        <f>VLOOKUP(B994,Sheet2!$A:$O,6,0)</f>
        <v>4660</v>
      </c>
    </row>
    <row r="995" spans="1:4">
      <c r="A995" s="7" t="s">
        <v>399</v>
      </c>
      <c r="B995" s="2">
        <v>1700088</v>
      </c>
      <c r="C995" s="2" t="s">
        <v>348</v>
      </c>
      <c r="D995" s="3">
        <f>VLOOKUP(B995,Sheet2!$A:$O,6,0)</f>
        <v>15500</v>
      </c>
    </row>
    <row r="996" spans="1:4">
      <c r="A996" s="7" t="s">
        <v>399</v>
      </c>
      <c r="B996" s="2">
        <v>1700089</v>
      </c>
      <c r="C996" s="2" t="s">
        <v>349</v>
      </c>
      <c r="D996" s="3">
        <f>VLOOKUP(B996,Sheet2!$A:$O,6,0)</f>
        <v>18500</v>
      </c>
    </row>
    <row r="997" spans="1:4">
      <c r="A997" s="7" t="s">
        <v>399</v>
      </c>
      <c r="B997" s="2">
        <v>1700090</v>
      </c>
      <c r="C997" s="2" t="s">
        <v>350</v>
      </c>
      <c r="D997" s="3">
        <f>VLOOKUP(B997,Sheet2!$A:$O,6,0)</f>
        <v>25686</v>
      </c>
    </row>
    <row r="998" spans="1:4">
      <c r="A998" s="7" t="s">
        <v>399</v>
      </c>
      <c r="B998" s="2">
        <v>1700091</v>
      </c>
      <c r="C998" s="2" t="s">
        <v>351</v>
      </c>
      <c r="D998" s="3">
        <f>VLOOKUP(B998,Sheet2!$A:$O,6,0)</f>
        <v>15716</v>
      </c>
    </row>
    <row r="999" spans="1:4">
      <c r="A999" s="7" t="s">
        <v>399</v>
      </c>
      <c r="B999" s="2">
        <v>1700092</v>
      </c>
      <c r="C999" s="2" t="s">
        <v>352</v>
      </c>
      <c r="D999" s="3">
        <f>VLOOKUP(B999,Sheet2!$A:$O,6,0)</f>
        <v>2814</v>
      </c>
    </row>
    <row r="1000" spans="1:4">
      <c r="A1000" s="7" t="s">
        <v>399</v>
      </c>
      <c r="B1000" s="2">
        <v>1700093</v>
      </c>
      <c r="C1000" s="2" t="s">
        <v>353</v>
      </c>
      <c r="D1000" s="3">
        <f>VLOOKUP(B1000,Sheet2!$A:$O,6,0)</f>
        <v>23760</v>
      </c>
    </row>
    <row r="1001" spans="1:4">
      <c r="A1001" s="7" t="s">
        <v>399</v>
      </c>
      <c r="B1001" s="2">
        <v>1700094</v>
      </c>
      <c r="C1001" s="2" t="s">
        <v>354</v>
      </c>
      <c r="D1001" s="3">
        <f>VLOOKUP(B1001,Sheet2!$A:$O,6,0)</f>
        <v>13529</v>
      </c>
    </row>
    <row r="1002" spans="1:4">
      <c r="A1002" s="7" t="s">
        <v>399</v>
      </c>
      <c r="B1002" s="2">
        <v>1700095</v>
      </c>
      <c r="C1002" s="2" t="s">
        <v>355</v>
      </c>
      <c r="D1002" s="3">
        <f>VLOOKUP(B1002,Sheet2!$A:$O,6,0)</f>
        <v>4500</v>
      </c>
    </row>
    <row r="1003" spans="1:4">
      <c r="A1003" s="7" t="s">
        <v>399</v>
      </c>
      <c r="B1003" s="2">
        <v>1700096</v>
      </c>
      <c r="C1003" s="2" t="s">
        <v>356</v>
      </c>
      <c r="D1003" s="3">
        <f>VLOOKUP(B1003,Sheet2!$A:$O,6,0)</f>
        <v>24510</v>
      </c>
    </row>
    <row r="1004" spans="1:4">
      <c r="A1004" s="7" t="s">
        <v>399</v>
      </c>
      <c r="B1004" s="2">
        <v>1700097</v>
      </c>
      <c r="C1004" s="2" t="s">
        <v>357</v>
      </c>
      <c r="D1004" s="3">
        <f>VLOOKUP(B1004,Sheet2!$A:$O,6,0)</f>
        <v>19608</v>
      </c>
    </row>
    <row r="1005" spans="1:4">
      <c r="A1005" s="7" t="s">
        <v>399</v>
      </c>
      <c r="B1005" s="2">
        <v>1700098</v>
      </c>
      <c r="C1005" s="2" t="s">
        <v>358</v>
      </c>
      <c r="D1005" s="3">
        <f>VLOOKUP(B1005,Sheet2!$A:$O,6,0)</f>
        <v>19608</v>
      </c>
    </row>
    <row r="1006" spans="1:4">
      <c r="A1006" s="7" t="s">
        <v>399</v>
      </c>
      <c r="B1006" s="2">
        <v>1700099</v>
      </c>
      <c r="C1006" s="2" t="s">
        <v>359</v>
      </c>
      <c r="D1006" s="3">
        <f>VLOOKUP(B1006,Sheet2!$A:$O,6,0)</f>
        <v>9000</v>
      </c>
    </row>
    <row r="1007" spans="1:4">
      <c r="A1007" s="7" t="s">
        <v>399</v>
      </c>
      <c r="B1007" s="2">
        <v>1700100</v>
      </c>
      <c r="C1007" s="2" t="s">
        <v>360</v>
      </c>
      <c r="D1007" s="3">
        <f>VLOOKUP(B1007,Sheet2!$A:$O,6,0)</f>
        <v>3029</v>
      </c>
    </row>
    <row r="1008" spans="1:4">
      <c r="A1008" s="7" t="s">
        <v>399</v>
      </c>
      <c r="B1008" s="2">
        <v>1700101</v>
      </c>
      <c r="C1008" s="2" t="s">
        <v>361</v>
      </c>
      <c r="D1008" s="3">
        <f>VLOOKUP(B1008,Sheet2!$A:$O,6,0)</f>
        <v>7451</v>
      </c>
    </row>
    <row r="1009" spans="1:4">
      <c r="A1009" s="7" t="s">
        <v>399</v>
      </c>
      <c r="B1009" s="2">
        <v>1700102</v>
      </c>
      <c r="C1009" s="2" t="s">
        <v>362</v>
      </c>
      <c r="D1009" s="3">
        <f>VLOOKUP(B1009,Sheet2!$A:$O,6,0)</f>
        <v>40197</v>
      </c>
    </row>
    <row r="1010" spans="1:4">
      <c r="A1010" s="7" t="s">
        <v>399</v>
      </c>
      <c r="B1010" s="2">
        <v>1700103</v>
      </c>
      <c r="C1010" s="2" t="s">
        <v>363</v>
      </c>
      <c r="D1010" s="3">
        <f>VLOOKUP(B1010,Sheet2!$A:$O,6,0)</f>
        <v>9000</v>
      </c>
    </row>
    <row r="1011" spans="1:4">
      <c r="A1011" s="7" t="s">
        <v>399</v>
      </c>
      <c r="B1011" s="2">
        <v>1700104</v>
      </c>
      <c r="C1011" s="2" t="s">
        <v>364</v>
      </c>
      <c r="D1011" s="3">
        <f>VLOOKUP(B1011,Sheet2!$A:$O,6,0)</f>
        <v>36380</v>
      </c>
    </row>
    <row r="1012" spans="1:4">
      <c r="A1012" s="7" t="s">
        <v>399</v>
      </c>
      <c r="B1012" s="2">
        <v>1700105</v>
      </c>
      <c r="C1012" s="2" t="s">
        <v>365</v>
      </c>
      <c r="D1012" s="3">
        <f>VLOOKUP(B1012,Sheet2!$A:$O,6,0)</f>
        <v>10588</v>
      </c>
    </row>
    <row r="1013" spans="1:4">
      <c r="A1013" s="7" t="s">
        <v>399</v>
      </c>
      <c r="B1013" s="2">
        <v>1700106</v>
      </c>
      <c r="C1013" s="2" t="s">
        <v>366</v>
      </c>
      <c r="D1013" s="3">
        <f>VLOOKUP(B1013,Sheet2!$A:$O,6,0)</f>
        <v>14020</v>
      </c>
    </row>
    <row r="1014" spans="1:4">
      <c r="A1014" s="7" t="s">
        <v>399</v>
      </c>
      <c r="B1014" s="2">
        <v>1700107</v>
      </c>
      <c r="C1014" s="2" t="s">
        <v>367</v>
      </c>
      <c r="D1014" s="3">
        <f>VLOOKUP(B1014,Sheet2!$A:$O,6,0)</f>
        <v>9020</v>
      </c>
    </row>
    <row r="1015" spans="1:4">
      <c r="A1015" s="7" t="s">
        <v>399</v>
      </c>
      <c r="B1015" s="2">
        <v>1800002</v>
      </c>
      <c r="C1015" s="2" t="s">
        <v>368</v>
      </c>
      <c r="D1015" s="3">
        <f>VLOOKUP(B1015,Sheet2!$A:$O,6,0)</f>
        <v>9520</v>
      </c>
    </row>
    <row r="1016" spans="1:4">
      <c r="A1016" s="7" t="s">
        <v>399</v>
      </c>
      <c r="B1016" s="2">
        <v>1800004</v>
      </c>
      <c r="C1016" s="2" t="s">
        <v>369</v>
      </c>
      <c r="D1016" s="3">
        <f>VLOOKUP(B1016,Sheet2!$A:$O,6,0)</f>
        <v>0</v>
      </c>
    </row>
    <row r="1017" spans="1:4">
      <c r="A1017" s="7" t="s">
        <v>399</v>
      </c>
      <c r="B1017" s="2">
        <v>1800005</v>
      </c>
      <c r="C1017" s="2" t="s">
        <v>370</v>
      </c>
      <c r="D1017" s="3">
        <f>VLOOKUP(B1017,Sheet2!$A:$O,6,0)</f>
        <v>0</v>
      </c>
    </row>
    <row r="1018" spans="1:4">
      <c r="A1018" s="7" t="s">
        <v>399</v>
      </c>
      <c r="B1018" s="2">
        <v>1800006</v>
      </c>
      <c r="C1018" s="2" t="s">
        <v>371</v>
      </c>
      <c r="D1018" s="3">
        <f>VLOOKUP(B1018,Sheet2!$A:$O,6,0)</f>
        <v>0</v>
      </c>
    </row>
    <row r="1019" spans="1:4">
      <c r="A1019" s="7" t="s">
        <v>399</v>
      </c>
      <c r="B1019" s="2">
        <v>1800007</v>
      </c>
      <c r="C1019" s="2" t="s">
        <v>372</v>
      </c>
      <c r="D1019" s="3">
        <f>VLOOKUP(B1019,Sheet2!$A:$O,6,0)</f>
        <v>10000</v>
      </c>
    </row>
    <row r="1020" spans="1:4">
      <c r="A1020" s="7" t="s">
        <v>399</v>
      </c>
      <c r="B1020" s="2">
        <v>1800008</v>
      </c>
      <c r="C1020" s="2" t="s">
        <v>373</v>
      </c>
      <c r="D1020" s="3">
        <f>VLOOKUP(B1020,Sheet2!$A:$O,6,0)</f>
        <v>10110</v>
      </c>
    </row>
    <row r="1021" spans="1:4">
      <c r="A1021" s="7" t="s">
        <v>399</v>
      </c>
      <c r="B1021" s="2">
        <v>1800009</v>
      </c>
      <c r="C1021" s="2" t="s">
        <v>374</v>
      </c>
      <c r="D1021" s="3">
        <f>VLOOKUP(B1021,Sheet2!$A:$O,6,0)</f>
        <v>11800</v>
      </c>
    </row>
    <row r="1022" spans="1:4">
      <c r="A1022" s="7" t="s">
        <v>399</v>
      </c>
      <c r="B1022" s="2">
        <v>1800010</v>
      </c>
      <c r="C1022" s="2" t="s">
        <v>375</v>
      </c>
      <c r="D1022" s="3">
        <f>VLOOKUP(B1022,Sheet2!$A:$O,6,0)</f>
        <v>5784</v>
      </c>
    </row>
    <row r="1023" spans="1:4">
      <c r="A1023" s="7" t="s">
        <v>399</v>
      </c>
      <c r="B1023" s="2">
        <v>1800011</v>
      </c>
      <c r="C1023" s="2" t="s">
        <v>376</v>
      </c>
      <c r="D1023" s="3">
        <f>VLOOKUP(B1023,Sheet2!$A:$O,6,0)</f>
        <v>9363</v>
      </c>
    </row>
    <row r="1024" spans="1:4">
      <c r="A1024" s="7" t="s">
        <v>399</v>
      </c>
      <c r="B1024" s="2">
        <v>1800012</v>
      </c>
      <c r="C1024" s="2" t="s">
        <v>377</v>
      </c>
      <c r="D1024" s="3">
        <f>VLOOKUP(B1024,Sheet2!$A:$O,6,0)</f>
        <v>5725</v>
      </c>
    </row>
    <row r="1025" spans="1:4">
      <c r="A1025" s="7" t="s">
        <v>399</v>
      </c>
      <c r="B1025" s="2">
        <v>1800013</v>
      </c>
      <c r="C1025" s="2" t="s">
        <v>378</v>
      </c>
      <c r="D1025" s="3">
        <f>VLOOKUP(B1025,Sheet2!$A:$O,6,0)</f>
        <v>49100</v>
      </c>
    </row>
    <row r="1026" spans="1:4">
      <c r="A1026" s="7" t="s">
        <v>399</v>
      </c>
      <c r="B1026" s="2">
        <v>1800014</v>
      </c>
      <c r="C1026" s="2" t="s">
        <v>379</v>
      </c>
      <c r="D1026" s="3">
        <f>VLOOKUP(B1026,Sheet2!$A:$O,6,0)</f>
        <v>70000</v>
      </c>
    </row>
    <row r="1027" spans="1:4">
      <c r="A1027" s="7" t="s">
        <v>399</v>
      </c>
      <c r="B1027" s="2">
        <v>1800015</v>
      </c>
      <c r="C1027" s="2" t="s">
        <v>380</v>
      </c>
      <c r="D1027" s="3">
        <f>VLOOKUP(B1027,Sheet2!$A:$O,6,0)</f>
        <v>66700</v>
      </c>
    </row>
    <row r="1028" spans="1:4">
      <c r="A1028" s="7" t="s">
        <v>399</v>
      </c>
      <c r="B1028" s="2">
        <v>1900013</v>
      </c>
      <c r="C1028" s="2" t="s">
        <v>381</v>
      </c>
      <c r="D1028" s="3">
        <f>VLOOKUP(B1028,Sheet2!$A:$O,6,0)</f>
        <v>0</v>
      </c>
    </row>
    <row r="1029" spans="1:4">
      <c r="A1029" s="7" t="s">
        <v>399</v>
      </c>
      <c r="B1029" s="2">
        <v>1900018</v>
      </c>
      <c r="C1029" s="2" t="s">
        <v>382</v>
      </c>
      <c r="D1029" s="3">
        <f>VLOOKUP(B1029,Sheet2!$A:$O,6,0)</f>
        <v>0</v>
      </c>
    </row>
    <row r="1030" spans="1:4">
      <c r="A1030" s="8" t="s">
        <v>400</v>
      </c>
      <c r="B1030" s="2">
        <v>1010101</v>
      </c>
      <c r="C1030" s="2" t="s">
        <v>5</v>
      </c>
      <c r="D1030" s="3">
        <f>VLOOKUP(B1030,Sheet2!$A:$O,7,0)</f>
        <v>689</v>
      </c>
    </row>
    <row r="1031" spans="1:4">
      <c r="A1031" s="8" t="s">
        <v>400</v>
      </c>
      <c r="B1031" s="2">
        <v>1010111</v>
      </c>
      <c r="C1031" s="2" t="s">
        <v>9</v>
      </c>
      <c r="D1031" s="3">
        <f>VLOOKUP(B1031,Sheet2!$A:$O,7,0)</f>
        <v>18300</v>
      </c>
    </row>
    <row r="1032" spans="1:4">
      <c r="A1032" s="8" t="s">
        <v>400</v>
      </c>
      <c r="B1032" s="2">
        <v>1010201</v>
      </c>
      <c r="C1032" s="2" t="s">
        <v>11</v>
      </c>
      <c r="D1032" s="3">
        <f>VLOOKUP(B1032,Sheet2!$A:$O,7,0)</f>
        <v>882</v>
      </c>
    </row>
    <row r="1033" spans="1:4">
      <c r="A1033" s="8" t="s">
        <v>400</v>
      </c>
      <c r="B1033" s="2">
        <v>1010300</v>
      </c>
      <c r="C1033" s="2" t="s">
        <v>213</v>
      </c>
      <c r="D1033" s="3">
        <f>VLOOKUP(B1033,Sheet2!$A:$O,7,0)</f>
        <v>5490</v>
      </c>
    </row>
    <row r="1034" spans="1:4">
      <c r="A1034" s="8" t="s">
        <v>400</v>
      </c>
      <c r="B1034" s="2">
        <v>1010301</v>
      </c>
      <c r="C1034" s="2" t="s">
        <v>214</v>
      </c>
      <c r="D1034" s="3">
        <f>VLOOKUP(B1034,Sheet2!$A:$O,7,0)</f>
        <v>5882</v>
      </c>
    </row>
    <row r="1035" spans="1:4">
      <c r="A1035" s="8" t="s">
        <v>400</v>
      </c>
      <c r="B1035" s="2">
        <v>1010302</v>
      </c>
      <c r="C1035" s="2" t="s">
        <v>16</v>
      </c>
      <c r="D1035" s="3">
        <f>VLOOKUP(B1035,Sheet2!$A:$O,7,0)</f>
        <v>4216</v>
      </c>
    </row>
    <row r="1036" spans="1:4">
      <c r="A1036" s="8" t="s">
        <v>400</v>
      </c>
      <c r="B1036" s="2">
        <v>1010303</v>
      </c>
      <c r="C1036" s="2" t="s">
        <v>18</v>
      </c>
      <c r="D1036" s="3">
        <f>VLOOKUP(B1036,Sheet2!$A:$O,7,0)</f>
        <v>882</v>
      </c>
    </row>
    <row r="1037" spans="1:4">
      <c r="A1037" s="8" t="s">
        <v>400</v>
      </c>
      <c r="B1037" s="2">
        <v>1010304</v>
      </c>
      <c r="C1037" s="2" t="s">
        <v>215</v>
      </c>
      <c r="D1037" s="3">
        <f>VLOOKUP(B1037,Sheet2!$A:$O,7,0)</f>
        <v>1225</v>
      </c>
    </row>
    <row r="1038" spans="1:4">
      <c r="A1038" s="8" t="s">
        <v>400</v>
      </c>
      <c r="B1038" s="2">
        <v>1010401</v>
      </c>
      <c r="C1038" s="2" t="s">
        <v>20</v>
      </c>
      <c r="D1038" s="3">
        <f>VLOOKUP(B1038,Sheet2!$A:$O,7,0)</f>
        <v>3627</v>
      </c>
    </row>
    <row r="1039" spans="1:4">
      <c r="A1039" s="8" t="s">
        <v>400</v>
      </c>
      <c r="B1039" s="2">
        <v>1010405</v>
      </c>
      <c r="C1039" s="2" t="s">
        <v>22</v>
      </c>
      <c r="D1039" s="3">
        <f>VLOOKUP(B1039,Sheet2!$A:$O,7,0)</f>
        <v>9975</v>
      </c>
    </row>
    <row r="1040" spans="1:4">
      <c r="A1040" s="8" t="s">
        <v>400</v>
      </c>
      <c r="B1040" s="2">
        <v>1010501</v>
      </c>
      <c r="C1040" s="2" t="s">
        <v>24</v>
      </c>
      <c r="D1040" s="3">
        <f>VLOOKUP(B1040,Sheet2!$A:$O,7,0)</f>
        <v>980</v>
      </c>
    </row>
    <row r="1041" spans="1:4">
      <c r="A1041" s="8" t="s">
        <v>400</v>
      </c>
      <c r="B1041" s="2">
        <v>1010502</v>
      </c>
      <c r="C1041" s="2" t="s">
        <v>216</v>
      </c>
      <c r="D1041" s="3">
        <f>VLOOKUP(B1041,Sheet2!$A:$O,7,0)</f>
        <v>0</v>
      </c>
    </row>
    <row r="1042" spans="1:4">
      <c r="A1042" s="8" t="s">
        <v>400</v>
      </c>
      <c r="B1042" s="2">
        <v>1010601</v>
      </c>
      <c r="C1042" s="2" t="s">
        <v>26</v>
      </c>
      <c r="D1042" s="3">
        <f>VLOOKUP(B1042,Sheet2!$A:$O,7,0)</f>
        <v>0</v>
      </c>
    </row>
    <row r="1043" spans="1:4">
      <c r="A1043" s="8" t="s">
        <v>400</v>
      </c>
      <c r="B1043" s="2">
        <v>1010701</v>
      </c>
      <c r="C1043" s="2" t="s">
        <v>28</v>
      </c>
      <c r="D1043" s="3">
        <f>VLOOKUP(B1043,Sheet2!$A:$O,7,0)</f>
        <v>686</v>
      </c>
    </row>
    <row r="1044" spans="1:4">
      <c r="A1044" s="8" t="s">
        <v>400</v>
      </c>
      <c r="B1044" s="2">
        <v>1010801</v>
      </c>
      <c r="C1044" s="2" t="s">
        <v>30</v>
      </c>
      <c r="D1044" s="3">
        <f>VLOOKUP(B1044,Sheet2!$A:$O,7,0)</f>
        <v>7157</v>
      </c>
    </row>
    <row r="1045" spans="1:4">
      <c r="A1045" s="8" t="s">
        <v>400</v>
      </c>
      <c r="B1045" s="2">
        <v>1010901</v>
      </c>
      <c r="C1045" s="2" t="s">
        <v>32</v>
      </c>
      <c r="D1045" s="3">
        <f>VLOOKUP(B1045,Sheet2!$A:$O,7,0)</f>
        <v>4902</v>
      </c>
    </row>
    <row r="1046" spans="1:4">
      <c r="A1046" s="8" t="s">
        <v>400</v>
      </c>
      <c r="B1046" s="2">
        <v>1020101</v>
      </c>
      <c r="C1046" s="2" t="s">
        <v>34</v>
      </c>
      <c r="D1046" s="3">
        <f>VLOOKUP(B1046,Sheet2!$A:$O,7,0)</f>
        <v>17451</v>
      </c>
    </row>
    <row r="1047" spans="1:4">
      <c r="A1047" s="8" t="s">
        <v>400</v>
      </c>
      <c r="B1047" s="2">
        <v>1020201</v>
      </c>
      <c r="C1047" s="2" t="s">
        <v>217</v>
      </c>
      <c r="D1047" s="3">
        <f>VLOOKUP(B1047,Sheet2!$A:$O,7,0)</f>
        <v>5600</v>
      </c>
    </row>
    <row r="1048" spans="1:4">
      <c r="A1048" s="8" t="s">
        <v>400</v>
      </c>
      <c r="B1048" s="2">
        <v>1020301</v>
      </c>
      <c r="C1048" s="2" t="s">
        <v>38</v>
      </c>
      <c r="D1048" s="3">
        <f>VLOOKUP(B1048,Sheet2!$A:$O,7,0)</f>
        <v>2100</v>
      </c>
    </row>
    <row r="1049" spans="1:4">
      <c r="A1049" s="8" t="s">
        <v>400</v>
      </c>
      <c r="B1049" s="2">
        <v>1020401</v>
      </c>
      <c r="C1049" s="2" t="s">
        <v>40</v>
      </c>
      <c r="D1049" s="3">
        <f>VLOOKUP(B1049,Sheet2!$A:$O,7,0)</f>
        <v>3600</v>
      </c>
    </row>
    <row r="1050" spans="1:4">
      <c r="A1050" s="8" t="s">
        <v>400</v>
      </c>
      <c r="B1050" s="2">
        <v>1030102</v>
      </c>
      <c r="C1050" s="2" t="s">
        <v>218</v>
      </c>
      <c r="D1050" s="3">
        <f>VLOOKUP(B1050,Sheet2!$A:$O,7,0)</f>
        <v>0</v>
      </c>
    </row>
    <row r="1051" spans="1:4">
      <c r="A1051" s="8" t="s">
        <v>400</v>
      </c>
      <c r="B1051" s="2">
        <v>1030201</v>
      </c>
      <c r="C1051" s="2" t="s">
        <v>42</v>
      </c>
      <c r="D1051" s="3">
        <f>VLOOKUP(B1051,Sheet2!$A:$O,7,0)</f>
        <v>2304</v>
      </c>
    </row>
    <row r="1052" spans="1:4">
      <c r="A1052" s="8" t="s">
        <v>400</v>
      </c>
      <c r="B1052" s="2">
        <v>1030203</v>
      </c>
      <c r="C1052" s="2" t="s">
        <v>219</v>
      </c>
      <c r="D1052" s="3">
        <f>VLOOKUP(B1052,Sheet2!$A:$O,7,0)</f>
        <v>0</v>
      </c>
    </row>
    <row r="1053" spans="1:4">
      <c r="A1053" s="8" t="s">
        <v>400</v>
      </c>
      <c r="B1053" s="2">
        <v>1030204</v>
      </c>
      <c r="C1053" s="2" t="s">
        <v>220</v>
      </c>
      <c r="D1053" s="3">
        <f>VLOOKUP(B1053,Sheet2!$A:$O,7,0)</f>
        <v>0</v>
      </c>
    </row>
    <row r="1054" spans="1:4">
      <c r="A1054" s="8" t="s">
        <v>400</v>
      </c>
      <c r="B1054" s="2">
        <v>1030205</v>
      </c>
      <c r="C1054" s="2" t="s">
        <v>44</v>
      </c>
      <c r="D1054" s="3">
        <f>VLOOKUP(B1054,Sheet2!$A:$O,7,0)</f>
        <v>5000</v>
      </c>
    </row>
    <row r="1055" spans="1:4">
      <c r="A1055" s="8" t="s">
        <v>400</v>
      </c>
      <c r="B1055" s="2">
        <v>1030206</v>
      </c>
      <c r="C1055" s="2" t="s">
        <v>46</v>
      </c>
      <c r="D1055" s="3">
        <f>VLOOKUP(B1055,Sheet2!$A:$O,7,0)</f>
        <v>5400</v>
      </c>
    </row>
    <row r="1056" spans="1:4">
      <c r="A1056" s="8" t="s">
        <v>400</v>
      </c>
      <c r="B1056" s="2">
        <v>1030207</v>
      </c>
      <c r="C1056" s="2" t="s">
        <v>48</v>
      </c>
      <c r="D1056" s="3">
        <f>VLOOKUP(B1056,Sheet2!$A:$O,7,0)</f>
        <v>4400</v>
      </c>
    </row>
    <row r="1057" spans="1:4">
      <c r="A1057" s="8" t="s">
        <v>400</v>
      </c>
      <c r="B1057" s="2">
        <v>1030501</v>
      </c>
      <c r="C1057" s="2" t="s">
        <v>50</v>
      </c>
      <c r="D1057" s="3">
        <f>VLOOKUP(B1057,Sheet2!$A:$O,7,0)</f>
        <v>1137</v>
      </c>
    </row>
    <row r="1058" spans="1:4">
      <c r="A1058" s="8" t="s">
        <v>400</v>
      </c>
      <c r="B1058" s="2">
        <v>1030601</v>
      </c>
      <c r="C1058" s="2" t="s">
        <v>52</v>
      </c>
      <c r="D1058" s="3">
        <f>VLOOKUP(B1058,Sheet2!$A:$O,7,0)</f>
        <v>3000</v>
      </c>
    </row>
    <row r="1059" spans="1:4">
      <c r="A1059" s="8" t="s">
        <v>400</v>
      </c>
      <c r="B1059" s="2">
        <v>1030701</v>
      </c>
      <c r="C1059" s="2" t="s">
        <v>221</v>
      </c>
      <c r="D1059" s="3">
        <f>VLOOKUP(B1059,Sheet2!$A:$O,7,0)</f>
        <v>3000</v>
      </c>
    </row>
    <row r="1060" spans="1:4">
      <c r="A1060" s="8" t="s">
        <v>400</v>
      </c>
      <c r="B1060" s="2">
        <v>1030705</v>
      </c>
      <c r="C1060" s="2" t="s">
        <v>222</v>
      </c>
      <c r="D1060" s="3">
        <f>VLOOKUP(B1060,Sheet2!$A:$O,7,0)</f>
        <v>0</v>
      </c>
    </row>
    <row r="1061" spans="1:4">
      <c r="A1061" s="8" t="s">
        <v>400</v>
      </c>
      <c r="B1061" s="2">
        <v>1030801</v>
      </c>
      <c r="C1061" s="2" t="s">
        <v>54</v>
      </c>
      <c r="D1061" s="3">
        <f>VLOOKUP(B1061,Sheet2!$A:$O,7,0)</f>
        <v>1376</v>
      </c>
    </row>
    <row r="1062" spans="1:4">
      <c r="A1062" s="8" t="s">
        <v>400</v>
      </c>
      <c r="B1062" s="2">
        <v>1030901</v>
      </c>
      <c r="C1062" s="2" t="s">
        <v>223</v>
      </c>
      <c r="D1062" s="3">
        <f>VLOOKUP(B1062,Sheet2!$A:$O,7,0)</f>
        <v>0</v>
      </c>
    </row>
    <row r="1063" spans="1:4">
      <c r="A1063" s="8" t="s">
        <v>400</v>
      </c>
      <c r="B1063" s="2">
        <v>1040201</v>
      </c>
      <c r="C1063" s="2" t="s">
        <v>56</v>
      </c>
      <c r="D1063" s="3">
        <f>VLOOKUP(B1063,Sheet2!$A:$O,7,0)</f>
        <v>1486</v>
      </c>
    </row>
    <row r="1064" spans="1:4">
      <c r="A1064" s="8" t="s">
        <v>400</v>
      </c>
      <c r="B1064" s="2">
        <v>1040202</v>
      </c>
      <c r="C1064" s="2" t="s">
        <v>224</v>
      </c>
      <c r="D1064" s="3">
        <f>VLOOKUP(B1064,Sheet2!$A:$O,7,0)</f>
        <v>0</v>
      </c>
    </row>
    <row r="1065" spans="1:4">
      <c r="A1065" s="8" t="s">
        <v>400</v>
      </c>
      <c r="B1065" s="2">
        <v>1040203</v>
      </c>
      <c r="C1065" s="2" t="s">
        <v>225</v>
      </c>
      <c r="D1065" s="3">
        <f>VLOOKUP(B1065,Sheet2!$A:$O,7,0)</f>
        <v>0</v>
      </c>
    </row>
    <row r="1066" spans="1:4">
      <c r="A1066" s="8" t="s">
        <v>400</v>
      </c>
      <c r="B1066" s="2">
        <v>1040204</v>
      </c>
      <c r="C1066" s="2" t="s">
        <v>226</v>
      </c>
      <c r="D1066" s="3">
        <f>VLOOKUP(B1066,Sheet2!$A:$O,7,0)</f>
        <v>7917</v>
      </c>
    </row>
    <row r="1067" spans="1:4">
      <c r="A1067" s="8" t="s">
        <v>400</v>
      </c>
      <c r="B1067" s="2">
        <v>1040301</v>
      </c>
      <c r="C1067" s="2" t="s">
        <v>58</v>
      </c>
      <c r="D1067" s="3">
        <f>VLOOKUP(B1067,Sheet2!$A:$O,7,0)</f>
        <v>1673</v>
      </c>
    </row>
    <row r="1068" spans="1:4">
      <c r="A1068" s="8" t="s">
        <v>400</v>
      </c>
      <c r="B1068" s="2">
        <v>1040401</v>
      </c>
      <c r="C1068" s="2" t="s">
        <v>227</v>
      </c>
      <c r="D1068" s="3">
        <f>VLOOKUP(B1068,Sheet2!$A:$O,7,0)</f>
        <v>0</v>
      </c>
    </row>
    <row r="1069" spans="1:4">
      <c r="A1069" s="8" t="s">
        <v>400</v>
      </c>
      <c r="B1069" s="2">
        <v>1050102</v>
      </c>
      <c r="C1069" s="2" t="s">
        <v>60</v>
      </c>
      <c r="D1069" s="3">
        <f>VLOOKUP(B1069,Sheet2!$A:$O,7,0)</f>
        <v>29500</v>
      </c>
    </row>
    <row r="1070" spans="1:4">
      <c r="A1070" s="8" t="s">
        <v>400</v>
      </c>
      <c r="B1070" s="2">
        <v>1050103</v>
      </c>
      <c r="C1070" s="2" t="s">
        <v>228</v>
      </c>
      <c r="D1070" s="3">
        <f>VLOOKUP(B1070,Sheet2!$A:$O,7,0)</f>
        <v>11275</v>
      </c>
    </row>
    <row r="1071" spans="1:4">
      <c r="A1071" s="8" t="s">
        <v>400</v>
      </c>
      <c r="B1071" s="2">
        <v>1050301</v>
      </c>
      <c r="C1071" s="2" t="s">
        <v>62</v>
      </c>
      <c r="D1071" s="3">
        <f>VLOOKUP(B1071,Sheet2!$A:$O,7,0)</f>
        <v>9804</v>
      </c>
    </row>
    <row r="1072" spans="1:4">
      <c r="A1072" s="8" t="s">
        <v>400</v>
      </c>
      <c r="B1072" s="2">
        <v>1050401</v>
      </c>
      <c r="C1072" s="2" t="s">
        <v>64</v>
      </c>
      <c r="D1072" s="3">
        <f>VLOOKUP(B1072,Sheet2!$A:$O,7,0)</f>
        <v>8824</v>
      </c>
    </row>
    <row r="1073" spans="1:4">
      <c r="A1073" s="8" t="s">
        <v>400</v>
      </c>
      <c r="B1073" s="2">
        <v>1050501</v>
      </c>
      <c r="C1073" s="2" t="s">
        <v>66</v>
      </c>
      <c r="D1073" s="3">
        <f>VLOOKUP(B1073,Sheet2!$A:$O,7,0)</f>
        <v>10784</v>
      </c>
    </row>
    <row r="1074" spans="1:4">
      <c r="A1074" s="8" t="s">
        <v>400</v>
      </c>
      <c r="B1074" s="2">
        <v>1050511</v>
      </c>
      <c r="C1074" s="2" t="s">
        <v>68</v>
      </c>
      <c r="D1074" s="3">
        <f>VLOOKUP(B1074,Sheet2!$A:$O,7,0)</f>
        <v>18000</v>
      </c>
    </row>
    <row r="1075" spans="1:4">
      <c r="A1075" s="8" t="s">
        <v>400</v>
      </c>
      <c r="B1075" s="2">
        <v>1050512</v>
      </c>
      <c r="C1075" s="2" t="s">
        <v>229</v>
      </c>
      <c r="D1075" s="3">
        <f>VLOOKUP(B1075,Sheet2!$A:$O,7,0)</f>
        <v>0</v>
      </c>
    </row>
    <row r="1076" spans="1:4">
      <c r="A1076" s="8" t="s">
        <v>400</v>
      </c>
      <c r="B1076" s="2">
        <v>1050521</v>
      </c>
      <c r="C1076" s="2" t="s">
        <v>70</v>
      </c>
      <c r="D1076" s="3">
        <f>VLOOKUP(B1076,Sheet2!$A:$O,7,0)</f>
        <v>14706</v>
      </c>
    </row>
    <row r="1077" spans="1:4">
      <c r="A1077" s="8" t="s">
        <v>400</v>
      </c>
      <c r="B1077" s="2">
        <v>1050531</v>
      </c>
      <c r="C1077" s="2" t="s">
        <v>72</v>
      </c>
      <c r="D1077" s="3">
        <f>VLOOKUP(B1077,Sheet2!$A:$O,7,0)</f>
        <v>21000</v>
      </c>
    </row>
    <row r="1078" spans="1:4">
      <c r="A1078" s="8" t="s">
        <v>400</v>
      </c>
      <c r="B1078" s="2">
        <v>1050541</v>
      </c>
      <c r="C1078" s="2" t="s">
        <v>74</v>
      </c>
      <c r="D1078" s="3">
        <f>VLOOKUP(B1078,Sheet2!$A:$O,7,0)</f>
        <v>11000</v>
      </c>
    </row>
    <row r="1079" spans="1:4">
      <c r="A1079" s="8" t="s">
        <v>400</v>
      </c>
      <c r="B1079" s="2">
        <v>1050551</v>
      </c>
      <c r="C1079" s="2" t="s">
        <v>76</v>
      </c>
      <c r="D1079" s="3">
        <f>VLOOKUP(B1079,Sheet2!$A:$O,7,0)</f>
        <v>54000</v>
      </c>
    </row>
    <row r="1080" spans="1:4">
      <c r="A1080" s="8" t="s">
        <v>400</v>
      </c>
      <c r="B1080" s="2">
        <v>1050561</v>
      </c>
      <c r="C1080" s="2" t="s">
        <v>78</v>
      </c>
      <c r="D1080" s="3">
        <f>VLOOKUP(B1080,Sheet2!$A:$O,7,0)</f>
        <v>98000</v>
      </c>
    </row>
    <row r="1081" spans="1:4">
      <c r="A1081" s="8" t="s">
        <v>400</v>
      </c>
      <c r="B1081" s="2">
        <v>1050571</v>
      </c>
      <c r="C1081" s="2" t="s">
        <v>80</v>
      </c>
      <c r="D1081" s="3">
        <f>VLOOKUP(B1081,Sheet2!$A:$O,7,0)</f>
        <v>58000</v>
      </c>
    </row>
    <row r="1082" spans="1:4">
      <c r="A1082" s="8" t="s">
        <v>400</v>
      </c>
      <c r="B1082" s="2">
        <v>1050581</v>
      </c>
      <c r="C1082" s="2" t="s">
        <v>82</v>
      </c>
      <c r="D1082" s="3">
        <f>VLOOKUP(B1082,Sheet2!$A:$O,7,0)</f>
        <v>57000</v>
      </c>
    </row>
    <row r="1083" spans="1:4">
      <c r="A1083" s="8" t="s">
        <v>400</v>
      </c>
      <c r="B1083" s="2">
        <v>1050591</v>
      </c>
      <c r="C1083" s="2" t="s">
        <v>84</v>
      </c>
      <c r="D1083" s="3">
        <f>VLOOKUP(B1083,Sheet2!$A:$O,7,0)</f>
        <v>97750</v>
      </c>
    </row>
    <row r="1084" spans="1:4">
      <c r="A1084" s="8" t="s">
        <v>400</v>
      </c>
      <c r="B1084" s="2">
        <v>1050601</v>
      </c>
      <c r="C1084" s="2" t="s">
        <v>86</v>
      </c>
      <c r="D1084" s="3">
        <f>VLOOKUP(B1084,Sheet2!$A:$O,7,0)</f>
        <v>5900</v>
      </c>
    </row>
    <row r="1085" spans="1:4">
      <c r="A1085" s="8" t="s">
        <v>400</v>
      </c>
      <c r="B1085" s="2">
        <v>1050701</v>
      </c>
      <c r="C1085" s="2" t="s">
        <v>88</v>
      </c>
      <c r="D1085" s="3">
        <f>VLOOKUP(B1085,Sheet2!$A:$O,7,0)</f>
        <v>5700</v>
      </c>
    </row>
    <row r="1086" spans="1:4">
      <c r="A1086" s="8" t="s">
        <v>400</v>
      </c>
      <c r="B1086" s="2">
        <v>1050702</v>
      </c>
      <c r="C1086" s="2" t="s">
        <v>90</v>
      </c>
      <c r="D1086" s="3">
        <f>VLOOKUP(B1086,Sheet2!$A:$O,7,0)</f>
        <v>5700</v>
      </c>
    </row>
    <row r="1087" spans="1:4">
      <c r="A1087" s="8" t="s">
        <v>400</v>
      </c>
      <c r="B1087" s="2">
        <v>1050711</v>
      </c>
      <c r="C1087" s="2" t="s">
        <v>92</v>
      </c>
      <c r="D1087" s="3">
        <f>VLOOKUP(B1087,Sheet2!$A:$O,7,0)</f>
        <v>2900</v>
      </c>
    </row>
    <row r="1088" spans="1:4">
      <c r="A1088" s="8" t="s">
        <v>400</v>
      </c>
      <c r="B1088" s="2">
        <v>1050721</v>
      </c>
      <c r="C1088" s="2" t="s">
        <v>94</v>
      </c>
      <c r="D1088" s="3">
        <f>VLOOKUP(B1088,Sheet2!$A:$O,7,0)</f>
        <v>14300</v>
      </c>
    </row>
    <row r="1089" spans="1:4">
      <c r="A1089" s="8" t="s">
        <v>400</v>
      </c>
      <c r="B1089" s="2">
        <v>1050801</v>
      </c>
      <c r="C1089" s="2" t="s">
        <v>7</v>
      </c>
      <c r="D1089" s="3">
        <f>VLOOKUP(B1089,Sheet2!$A:$O,7,0)</f>
        <v>1048</v>
      </c>
    </row>
    <row r="1090" spans="1:4">
      <c r="A1090" s="8" t="s">
        <v>400</v>
      </c>
      <c r="B1090" s="2">
        <v>1050901</v>
      </c>
      <c r="C1090" s="2" t="s">
        <v>96</v>
      </c>
      <c r="D1090" s="3">
        <f>VLOOKUP(B1090,Sheet2!$A:$O,7,0)</f>
        <v>1510</v>
      </c>
    </row>
    <row r="1091" spans="1:4">
      <c r="A1091" s="8" t="s">
        <v>400</v>
      </c>
      <c r="B1091" s="2">
        <v>1060101</v>
      </c>
      <c r="C1091" s="2" t="s">
        <v>98</v>
      </c>
      <c r="D1091" s="3">
        <f>VLOOKUP(B1091,Sheet2!$A:$O,7,0)</f>
        <v>2200</v>
      </c>
    </row>
    <row r="1092" spans="1:4">
      <c r="A1092" s="8" t="s">
        <v>400</v>
      </c>
      <c r="B1092" s="2">
        <v>1060401</v>
      </c>
      <c r="C1092" s="2" t="s">
        <v>100</v>
      </c>
      <c r="D1092" s="3">
        <f>VLOOKUP(B1092,Sheet2!$A:$O,7,0)</f>
        <v>71000</v>
      </c>
    </row>
    <row r="1093" spans="1:4">
      <c r="A1093" s="8" t="s">
        <v>400</v>
      </c>
      <c r="B1093" s="2">
        <v>1060412</v>
      </c>
      <c r="C1093" s="2" t="s">
        <v>230</v>
      </c>
      <c r="D1093" s="3">
        <f>VLOOKUP(B1093,Sheet2!$A:$O,7,0)</f>
        <v>33000</v>
      </c>
    </row>
    <row r="1094" spans="1:4">
      <c r="A1094" s="8" t="s">
        <v>400</v>
      </c>
      <c r="B1094" s="2">
        <v>1060421</v>
      </c>
      <c r="C1094" s="2" t="s">
        <v>104</v>
      </c>
      <c r="D1094" s="3">
        <f>VLOOKUP(B1094,Sheet2!$A:$O,7,0)</f>
        <v>76000</v>
      </c>
    </row>
    <row r="1095" spans="1:4">
      <c r="A1095" s="8" t="s">
        <v>400</v>
      </c>
      <c r="B1095" s="2">
        <v>1060441</v>
      </c>
      <c r="C1095" s="2" t="s">
        <v>106</v>
      </c>
      <c r="D1095" s="3">
        <f>VLOOKUP(B1095,Sheet2!$A:$O,7,0)</f>
        <v>5200</v>
      </c>
    </row>
    <row r="1096" spans="1:4">
      <c r="A1096" s="8" t="s">
        <v>400</v>
      </c>
      <c r="B1096" s="2">
        <v>1060451</v>
      </c>
      <c r="C1096" s="2" t="s">
        <v>108</v>
      </c>
      <c r="D1096" s="3">
        <f>VLOOKUP(B1096,Sheet2!$A:$O,7,0)</f>
        <v>38235</v>
      </c>
    </row>
    <row r="1097" spans="1:4">
      <c r="A1097" s="8" t="s">
        <v>400</v>
      </c>
      <c r="B1097" s="2">
        <v>1070101</v>
      </c>
      <c r="C1097" s="2" t="s">
        <v>110</v>
      </c>
      <c r="D1097" s="3">
        <f>VLOOKUP(B1097,Sheet2!$A:$O,7,0)</f>
        <v>3650</v>
      </c>
    </row>
    <row r="1098" spans="1:4">
      <c r="A1098" s="8" t="s">
        <v>400</v>
      </c>
      <c r="B1098" s="2">
        <v>1070301</v>
      </c>
      <c r="C1098" s="2" t="s">
        <v>112</v>
      </c>
      <c r="D1098" s="3">
        <f>VLOOKUP(B1098,Sheet2!$A:$O,7,0)</f>
        <v>37000</v>
      </c>
    </row>
    <row r="1099" spans="1:4">
      <c r="A1099" s="8" t="s">
        <v>400</v>
      </c>
      <c r="B1099" s="2">
        <v>1070401</v>
      </c>
      <c r="C1099" s="2" t="s">
        <v>114</v>
      </c>
      <c r="D1099" s="3">
        <f>VLOOKUP(B1099,Sheet2!$A:$O,7,0)</f>
        <v>12000</v>
      </c>
    </row>
    <row r="1100" spans="1:4">
      <c r="A1100" s="8" t="s">
        <v>400</v>
      </c>
      <c r="B1100" s="2">
        <v>1070501</v>
      </c>
      <c r="C1100" s="2" t="s">
        <v>231</v>
      </c>
      <c r="D1100" s="3">
        <f>VLOOKUP(B1100,Sheet2!$A:$O,7,0)</f>
        <v>5500</v>
      </c>
    </row>
    <row r="1101" spans="1:4">
      <c r="A1101" s="8" t="s">
        <v>400</v>
      </c>
      <c r="B1101" s="2">
        <v>1070701</v>
      </c>
      <c r="C1101" s="2" t="s">
        <v>118</v>
      </c>
      <c r="D1101" s="3">
        <f>VLOOKUP(B1101,Sheet2!$A:$O,7,0)</f>
        <v>36000</v>
      </c>
    </row>
    <row r="1102" spans="1:4">
      <c r="A1102" s="8" t="s">
        <v>400</v>
      </c>
      <c r="B1102" s="2">
        <v>1070801</v>
      </c>
      <c r="C1102" s="2" t="s">
        <v>232</v>
      </c>
      <c r="D1102" s="3">
        <f>VLOOKUP(B1102,Sheet2!$A:$O,7,0)</f>
        <v>35000</v>
      </c>
    </row>
    <row r="1103" spans="1:4">
      <c r="A1103" s="8" t="s">
        <v>400</v>
      </c>
      <c r="B1103" s="2">
        <v>1080101</v>
      </c>
      <c r="C1103" s="2" t="s">
        <v>120</v>
      </c>
      <c r="D1103" s="3">
        <f>VLOOKUP(B1103,Sheet2!$A:$O,7,0)</f>
        <v>11000</v>
      </c>
    </row>
    <row r="1104" spans="1:4">
      <c r="A1104" s="8" t="s">
        <v>400</v>
      </c>
      <c r="B1104" s="2">
        <v>1080201</v>
      </c>
      <c r="C1104" s="2" t="s">
        <v>122</v>
      </c>
      <c r="D1104" s="3">
        <f>VLOOKUP(B1104,Sheet2!$A:$O,7,0)</f>
        <v>540</v>
      </c>
    </row>
    <row r="1105" spans="1:4">
      <c r="A1105" s="8" t="s">
        <v>400</v>
      </c>
      <c r="B1105" s="2">
        <v>1080301</v>
      </c>
      <c r="C1105" s="2" t="s">
        <v>124</v>
      </c>
      <c r="D1105" s="3">
        <f>VLOOKUP(B1105,Sheet2!$A:$O,7,0)</f>
        <v>1550</v>
      </c>
    </row>
    <row r="1106" spans="1:4">
      <c r="A1106" s="8" t="s">
        <v>400</v>
      </c>
      <c r="B1106" s="2">
        <v>1080401</v>
      </c>
      <c r="C1106" s="2" t="s">
        <v>233</v>
      </c>
      <c r="D1106" s="3">
        <f>VLOOKUP(B1106,Sheet2!$A:$O,7,0)</f>
        <v>3300</v>
      </c>
    </row>
    <row r="1107" spans="1:4">
      <c r="A1107" s="8" t="s">
        <v>400</v>
      </c>
      <c r="B1107" s="2">
        <v>1080411</v>
      </c>
      <c r="C1107" s="2" t="s">
        <v>128</v>
      </c>
      <c r="D1107" s="3">
        <f>VLOOKUP(B1107,Sheet2!$A:$O,7,0)</f>
        <v>3300</v>
      </c>
    </row>
    <row r="1108" spans="1:4">
      <c r="A1108" s="8" t="s">
        <v>400</v>
      </c>
      <c r="B1108" s="2">
        <v>1080501</v>
      </c>
      <c r="C1108" s="2" t="s">
        <v>130</v>
      </c>
      <c r="D1108" s="3">
        <f>VLOOKUP(B1108,Sheet2!$A:$O,7,0)</f>
        <v>3800</v>
      </c>
    </row>
    <row r="1109" spans="1:4">
      <c r="A1109" s="8" t="s">
        <v>400</v>
      </c>
      <c r="B1109" s="2">
        <v>1080602</v>
      </c>
      <c r="C1109" s="2" t="s">
        <v>234</v>
      </c>
      <c r="D1109" s="3">
        <f>VLOOKUP(B1109,Sheet2!$A:$O,7,0)</f>
        <v>37600</v>
      </c>
    </row>
    <row r="1110" spans="1:4">
      <c r="A1110" s="8" t="s">
        <v>400</v>
      </c>
      <c r="B1110" s="2">
        <v>1080604</v>
      </c>
      <c r="C1110" s="2" t="s">
        <v>235</v>
      </c>
      <c r="D1110" s="3">
        <f>VLOOKUP(B1110,Sheet2!$A:$O,7,0)</f>
        <v>0</v>
      </c>
    </row>
    <row r="1111" spans="1:4">
      <c r="A1111" s="8" t="s">
        <v>400</v>
      </c>
      <c r="B1111" s="2">
        <v>1080702</v>
      </c>
      <c r="C1111" s="2" t="s">
        <v>236</v>
      </c>
      <c r="D1111" s="3">
        <f>VLOOKUP(B1111,Sheet2!$A:$O,7,0)</f>
        <v>42500</v>
      </c>
    </row>
    <row r="1112" spans="1:4">
      <c r="A1112" s="8" t="s">
        <v>400</v>
      </c>
      <c r="B1112" s="2">
        <v>1080704</v>
      </c>
      <c r="C1112" s="2" t="s">
        <v>237</v>
      </c>
      <c r="D1112" s="3">
        <f>VLOOKUP(B1112,Sheet2!$A:$O,7,0)</f>
        <v>0</v>
      </c>
    </row>
    <row r="1113" spans="1:4">
      <c r="A1113" s="8" t="s">
        <v>400</v>
      </c>
      <c r="B1113" s="2">
        <v>1090104</v>
      </c>
      <c r="C1113" s="2" t="s">
        <v>136</v>
      </c>
      <c r="D1113" s="3">
        <f>VLOOKUP(B1113,Sheet2!$A:$O,7,0)</f>
        <v>40000</v>
      </c>
    </row>
    <row r="1114" spans="1:4">
      <c r="A1114" s="8" t="s">
        <v>400</v>
      </c>
      <c r="B1114" s="2">
        <v>1090112</v>
      </c>
      <c r="C1114" s="2" t="s">
        <v>138</v>
      </c>
      <c r="D1114" s="3">
        <f>VLOOKUP(B1114,Sheet2!$A:$O,7,0)</f>
        <v>35000</v>
      </c>
    </row>
    <row r="1115" spans="1:4">
      <c r="A1115" s="8" t="s">
        <v>400</v>
      </c>
      <c r="B1115" s="2">
        <v>1090201</v>
      </c>
      <c r="C1115" s="2" t="s">
        <v>140</v>
      </c>
      <c r="D1115" s="3">
        <f>VLOOKUP(B1115,Sheet2!$A:$O,7,0)</f>
        <v>15800</v>
      </c>
    </row>
    <row r="1116" spans="1:4">
      <c r="A1116" s="8" t="s">
        <v>400</v>
      </c>
      <c r="B1116" s="2">
        <v>1090202</v>
      </c>
      <c r="C1116" s="2" t="s">
        <v>142</v>
      </c>
      <c r="D1116" s="3">
        <f>VLOOKUP(B1116,Sheet2!$A:$O,7,0)</f>
        <v>98000</v>
      </c>
    </row>
    <row r="1117" spans="1:4">
      <c r="A1117" s="8" t="s">
        <v>400</v>
      </c>
      <c r="B1117" s="2">
        <v>1090203</v>
      </c>
      <c r="C1117" s="2" t="s">
        <v>144</v>
      </c>
      <c r="D1117" s="3">
        <f>VLOOKUP(B1117,Sheet2!$A:$O,7,0)</f>
        <v>23000</v>
      </c>
    </row>
    <row r="1118" spans="1:4">
      <c r="A1118" s="8" t="s">
        <v>400</v>
      </c>
      <c r="B1118" s="2">
        <v>1090211</v>
      </c>
      <c r="C1118" s="2" t="s">
        <v>146</v>
      </c>
      <c r="D1118" s="3">
        <f>VLOOKUP(B1118,Sheet2!$A:$O,7,0)</f>
        <v>67647</v>
      </c>
    </row>
    <row r="1119" spans="1:4">
      <c r="A1119" s="8" t="s">
        <v>400</v>
      </c>
      <c r="B1119" s="2">
        <v>1090301</v>
      </c>
      <c r="C1119" s="2" t="s">
        <v>238</v>
      </c>
      <c r="D1119" s="3">
        <f>VLOOKUP(B1119,Sheet2!$A:$O,7,0)</f>
        <v>32000</v>
      </c>
    </row>
    <row r="1120" spans="1:4">
      <c r="A1120" s="8" t="s">
        <v>400</v>
      </c>
      <c r="B1120" s="2">
        <v>1090311</v>
      </c>
      <c r="C1120" s="2" t="s">
        <v>150</v>
      </c>
      <c r="D1120" s="3">
        <f>VLOOKUP(B1120,Sheet2!$A:$O,7,0)</f>
        <v>37000</v>
      </c>
    </row>
    <row r="1121" spans="1:4">
      <c r="A1121" s="8" t="s">
        <v>400</v>
      </c>
      <c r="B1121" s="2">
        <v>1090321</v>
      </c>
      <c r="C1121" s="2" t="s">
        <v>152</v>
      </c>
      <c r="D1121" s="3">
        <f>VLOOKUP(B1121,Sheet2!$A:$O,7,0)</f>
        <v>75000</v>
      </c>
    </row>
    <row r="1122" spans="1:4">
      <c r="A1122" s="8" t="s">
        <v>400</v>
      </c>
      <c r="B1122" s="2">
        <v>1090401</v>
      </c>
      <c r="C1122" s="2" t="s">
        <v>154</v>
      </c>
      <c r="D1122" s="3">
        <f>VLOOKUP(B1122,Sheet2!$A:$O,7,0)</f>
        <v>8300</v>
      </c>
    </row>
    <row r="1123" spans="1:4">
      <c r="A1123" s="8" t="s">
        <v>400</v>
      </c>
      <c r="B1123" s="2">
        <v>1090411</v>
      </c>
      <c r="C1123" s="2" t="s">
        <v>156</v>
      </c>
      <c r="D1123" s="3">
        <f>VLOOKUP(B1123,Sheet2!$A:$O,7,0)</f>
        <v>45000</v>
      </c>
    </row>
    <row r="1124" spans="1:4">
      <c r="A1124" s="8" t="s">
        <v>400</v>
      </c>
      <c r="B1124" s="2">
        <v>1090421</v>
      </c>
      <c r="C1124" s="2" t="s">
        <v>158</v>
      </c>
      <c r="D1124" s="3">
        <f>VLOOKUP(B1124,Sheet2!$A:$O,7,0)</f>
        <v>36000</v>
      </c>
    </row>
    <row r="1125" spans="1:4">
      <c r="A1125" s="8" t="s">
        <v>400</v>
      </c>
      <c r="B1125" s="2">
        <v>1090551</v>
      </c>
      <c r="C1125" s="2" t="s">
        <v>239</v>
      </c>
      <c r="D1125" s="3">
        <f>VLOOKUP(B1125,Sheet2!$A:$O,7,0)</f>
        <v>4900</v>
      </c>
    </row>
    <row r="1126" spans="1:4">
      <c r="A1126" s="8" t="s">
        <v>400</v>
      </c>
      <c r="B1126" s="2">
        <v>1090602</v>
      </c>
      <c r="C1126" s="2" t="s">
        <v>162</v>
      </c>
      <c r="D1126" s="3">
        <f>VLOOKUP(B1126,Sheet2!$A:$O,7,0)</f>
        <v>5130</v>
      </c>
    </row>
    <row r="1127" spans="1:4">
      <c r="A1127" s="8" t="s">
        <v>400</v>
      </c>
      <c r="B1127" s="2">
        <v>1090611</v>
      </c>
      <c r="C1127" s="2" t="s">
        <v>164</v>
      </c>
      <c r="D1127" s="3">
        <f>VLOOKUP(B1127,Sheet2!$A:$O,7,0)</f>
        <v>4212</v>
      </c>
    </row>
    <row r="1128" spans="1:4">
      <c r="A1128" s="8" t="s">
        <v>400</v>
      </c>
      <c r="B1128" s="2">
        <v>1090701</v>
      </c>
      <c r="C1128" s="2" t="s">
        <v>166</v>
      </c>
      <c r="D1128" s="3">
        <f>VLOOKUP(B1128,Sheet2!$A:$O,7,0)</f>
        <v>21000</v>
      </c>
    </row>
    <row r="1129" spans="1:4">
      <c r="A1129" s="8" t="s">
        <v>400</v>
      </c>
      <c r="B1129" s="2">
        <v>1090901</v>
      </c>
      <c r="C1129" s="2" t="s">
        <v>168</v>
      </c>
      <c r="D1129" s="3">
        <f>VLOOKUP(B1129,Sheet2!$A:$O,7,0)</f>
        <v>4300</v>
      </c>
    </row>
    <row r="1130" spans="1:4">
      <c r="A1130" s="8" t="s">
        <v>400</v>
      </c>
      <c r="B1130" s="2">
        <v>1091001</v>
      </c>
      <c r="C1130" s="2" t="s">
        <v>170</v>
      </c>
      <c r="D1130" s="3">
        <f>VLOOKUP(B1130,Sheet2!$A:$O,7,0)</f>
        <v>7000</v>
      </c>
    </row>
    <row r="1131" spans="1:4">
      <c r="A1131" s="8" t="s">
        <v>400</v>
      </c>
      <c r="B1131" s="2">
        <v>1091002</v>
      </c>
      <c r="C1131" s="2" t="s">
        <v>172</v>
      </c>
      <c r="D1131" s="3">
        <f>VLOOKUP(B1131,Sheet2!$A:$O,7,0)</f>
        <v>6373</v>
      </c>
    </row>
    <row r="1132" spans="1:4">
      <c r="A1132" s="8" t="s">
        <v>400</v>
      </c>
      <c r="B1132" s="2">
        <v>1091003</v>
      </c>
      <c r="C1132" s="2" t="s">
        <v>174</v>
      </c>
      <c r="D1132" s="3">
        <f>VLOOKUP(B1132,Sheet2!$A:$O,7,0)</f>
        <v>8983</v>
      </c>
    </row>
    <row r="1133" spans="1:4">
      <c r="A1133" s="8" t="s">
        <v>400</v>
      </c>
      <c r="B1133" s="2">
        <v>1091004</v>
      </c>
      <c r="C1133" s="2" t="s">
        <v>240</v>
      </c>
      <c r="D1133" s="3">
        <f>VLOOKUP(B1133,Sheet2!$A:$O,7,0)</f>
        <v>0</v>
      </c>
    </row>
    <row r="1134" spans="1:4">
      <c r="A1134" s="8" t="s">
        <v>400</v>
      </c>
      <c r="B1134" s="2">
        <v>1091005</v>
      </c>
      <c r="C1134" s="2" t="s">
        <v>241</v>
      </c>
      <c r="D1134" s="3">
        <f>VLOOKUP(B1134,Sheet2!$A:$O,7,0)</f>
        <v>0</v>
      </c>
    </row>
    <row r="1135" spans="1:4">
      <c r="A1135" s="8" t="s">
        <v>400</v>
      </c>
      <c r="B1135" s="2">
        <v>1091006</v>
      </c>
      <c r="C1135" s="2" t="s">
        <v>242</v>
      </c>
      <c r="D1135" s="3">
        <f>VLOOKUP(B1135,Sheet2!$A:$O,7,0)</f>
        <v>0</v>
      </c>
    </row>
    <row r="1136" spans="1:4">
      <c r="A1136" s="8" t="s">
        <v>400</v>
      </c>
      <c r="B1136" s="2">
        <v>1091007</v>
      </c>
      <c r="C1136" s="2" t="s">
        <v>243</v>
      </c>
      <c r="D1136" s="3">
        <f>VLOOKUP(B1136,Sheet2!$A:$O,7,0)</f>
        <v>2640</v>
      </c>
    </row>
    <row r="1137" spans="1:4">
      <c r="A1137" s="8" t="s">
        <v>400</v>
      </c>
      <c r="B1137" s="2">
        <v>1091008</v>
      </c>
      <c r="C1137" s="2" t="s">
        <v>176</v>
      </c>
      <c r="D1137" s="3">
        <f>VLOOKUP(B1137,Sheet2!$A:$O,7,0)</f>
        <v>0</v>
      </c>
    </row>
    <row r="1138" spans="1:4">
      <c r="A1138" s="8" t="s">
        <v>400</v>
      </c>
      <c r="B1138" s="2">
        <v>1091009</v>
      </c>
      <c r="C1138" s="2" t="s">
        <v>178</v>
      </c>
      <c r="D1138" s="3">
        <f>VLOOKUP(B1138,Sheet2!$A:$O,7,0)</f>
        <v>0</v>
      </c>
    </row>
    <row r="1139" spans="1:4">
      <c r="A1139" s="8" t="s">
        <v>400</v>
      </c>
      <c r="B1139" s="2">
        <v>1091010</v>
      </c>
      <c r="C1139" s="2" t="s">
        <v>180</v>
      </c>
      <c r="D1139" s="3">
        <f>VLOOKUP(B1139,Sheet2!$A:$O,7,0)</f>
        <v>27000</v>
      </c>
    </row>
    <row r="1140" spans="1:4">
      <c r="A1140" s="8" t="s">
        <v>400</v>
      </c>
      <c r="B1140" s="2">
        <v>1091011</v>
      </c>
      <c r="C1140" s="2" t="s">
        <v>182</v>
      </c>
      <c r="D1140" s="3">
        <f>VLOOKUP(B1140,Sheet2!$A:$O,7,0)</f>
        <v>33000</v>
      </c>
    </row>
    <row r="1141" spans="1:4">
      <c r="A1141" s="8" t="s">
        <v>400</v>
      </c>
      <c r="B1141" s="2">
        <v>1091012</v>
      </c>
      <c r="C1141" s="2" t="s">
        <v>184</v>
      </c>
      <c r="D1141" s="3">
        <f>VLOOKUP(B1141,Sheet2!$A:$O,7,0)</f>
        <v>47000</v>
      </c>
    </row>
    <row r="1142" spans="1:4">
      <c r="A1142" s="8" t="s">
        <v>400</v>
      </c>
      <c r="B1142" s="2">
        <v>1091013</v>
      </c>
      <c r="C1142" s="2" t="s">
        <v>186</v>
      </c>
      <c r="D1142" s="3">
        <f>VLOOKUP(B1142,Sheet2!$A:$O,7,0)</f>
        <v>33000</v>
      </c>
    </row>
    <row r="1143" spans="1:4">
      <c r="A1143" s="8" t="s">
        <v>400</v>
      </c>
      <c r="B1143" s="2">
        <v>1091014</v>
      </c>
      <c r="C1143" s="2" t="s">
        <v>244</v>
      </c>
      <c r="D1143" s="3">
        <f>VLOOKUP(B1143,Sheet2!$A:$O,7,0)</f>
        <v>6961</v>
      </c>
    </row>
    <row r="1144" spans="1:4">
      <c r="A1144" s="8" t="s">
        <v>400</v>
      </c>
      <c r="B1144" s="2">
        <v>1091015</v>
      </c>
      <c r="C1144" s="2" t="s">
        <v>245</v>
      </c>
      <c r="D1144" s="3">
        <f>VLOOKUP(B1144,Sheet2!$A:$O,7,0)</f>
        <v>25490</v>
      </c>
    </row>
    <row r="1145" spans="1:4">
      <c r="A1145" s="8" t="s">
        <v>400</v>
      </c>
      <c r="B1145" s="2">
        <v>1091016</v>
      </c>
      <c r="C1145" s="2" t="s">
        <v>246</v>
      </c>
      <c r="D1145" s="3">
        <f>VLOOKUP(B1145,Sheet2!$A:$O,7,0)</f>
        <v>54594</v>
      </c>
    </row>
    <row r="1146" spans="1:4">
      <c r="A1146" s="8" t="s">
        <v>400</v>
      </c>
      <c r="B1146" s="2">
        <v>1091017</v>
      </c>
      <c r="C1146" s="2" t="s">
        <v>247</v>
      </c>
      <c r="D1146" s="3">
        <f>VLOOKUP(B1146,Sheet2!$A:$O,7,0)</f>
        <v>0</v>
      </c>
    </row>
    <row r="1147" spans="1:4">
      <c r="A1147" s="8" t="s">
        <v>400</v>
      </c>
      <c r="B1147" s="2">
        <v>1091018</v>
      </c>
      <c r="C1147" s="2" t="s">
        <v>248</v>
      </c>
      <c r="D1147" s="3">
        <f>VLOOKUP(B1147,Sheet2!$A:$O,7,0)</f>
        <v>0</v>
      </c>
    </row>
    <row r="1148" spans="1:4">
      <c r="A1148" s="8" t="s">
        <v>400</v>
      </c>
      <c r="B1148" s="2">
        <v>1091019</v>
      </c>
      <c r="C1148" s="2" t="s">
        <v>249</v>
      </c>
      <c r="D1148" s="3">
        <f>VLOOKUP(B1148,Sheet2!$A:$O,7,0)</f>
        <v>53387</v>
      </c>
    </row>
    <row r="1149" spans="1:4">
      <c r="A1149" s="8" t="s">
        <v>400</v>
      </c>
      <c r="B1149" s="2">
        <v>1091020</v>
      </c>
      <c r="C1149" s="2" t="s">
        <v>250</v>
      </c>
      <c r="D1149" s="3">
        <f>VLOOKUP(B1149,Sheet2!$A:$O,7,0)</f>
        <v>62745</v>
      </c>
    </row>
    <row r="1150" spans="1:4">
      <c r="A1150" s="8" t="s">
        <v>400</v>
      </c>
      <c r="B1150" s="2">
        <v>1091021</v>
      </c>
      <c r="C1150" s="2" t="s">
        <v>251</v>
      </c>
      <c r="D1150" s="3">
        <f>VLOOKUP(B1150,Sheet2!$A:$O,7,0)</f>
        <v>53922</v>
      </c>
    </row>
    <row r="1151" spans="1:4">
      <c r="A1151" s="8" t="s">
        <v>400</v>
      </c>
      <c r="B1151" s="2">
        <v>1091022</v>
      </c>
      <c r="C1151" s="2" t="s">
        <v>252</v>
      </c>
      <c r="D1151" s="3">
        <f>VLOOKUP(B1151,Sheet2!$A:$O,7,0)</f>
        <v>3235</v>
      </c>
    </row>
    <row r="1152" spans="1:4">
      <c r="A1152" s="8" t="s">
        <v>400</v>
      </c>
      <c r="B1152" s="2">
        <v>1091023</v>
      </c>
      <c r="C1152" s="2" t="s">
        <v>253</v>
      </c>
      <c r="D1152" s="3">
        <f>VLOOKUP(B1152,Sheet2!$A:$O,7,0)</f>
        <v>4412</v>
      </c>
    </row>
    <row r="1153" spans="1:4">
      <c r="A1153" s="8" t="s">
        <v>400</v>
      </c>
      <c r="B1153" s="2">
        <v>1091024</v>
      </c>
      <c r="C1153" s="2" t="s">
        <v>254</v>
      </c>
      <c r="D1153" s="3">
        <f>VLOOKUP(B1153,Sheet2!$A:$O,7,0)</f>
        <v>3922</v>
      </c>
    </row>
    <row r="1154" spans="1:4">
      <c r="A1154" s="8" t="s">
        <v>400</v>
      </c>
      <c r="B1154" s="2">
        <v>1091025</v>
      </c>
      <c r="C1154" s="2" t="s">
        <v>255</v>
      </c>
      <c r="D1154" s="3">
        <f>VLOOKUP(B1154,Sheet2!$A:$O,7,0)</f>
        <v>6373</v>
      </c>
    </row>
    <row r="1155" spans="1:4">
      <c r="A1155" s="8" t="s">
        <v>400</v>
      </c>
      <c r="B1155" s="2">
        <v>1091026</v>
      </c>
      <c r="C1155" s="2" t="s">
        <v>256</v>
      </c>
      <c r="D1155" s="3">
        <f>VLOOKUP(B1155,Sheet2!$A:$O,7,0)</f>
        <v>30196</v>
      </c>
    </row>
    <row r="1156" spans="1:4">
      <c r="A1156" s="8" t="s">
        <v>400</v>
      </c>
      <c r="B1156" s="2">
        <v>1600101</v>
      </c>
      <c r="C1156" s="2" t="s">
        <v>188</v>
      </c>
      <c r="D1156" s="3">
        <f>VLOOKUP(B1156,Sheet2!$A:$O,7,0)</f>
        <v>2304</v>
      </c>
    </row>
    <row r="1157" spans="1:4">
      <c r="A1157" s="8" t="s">
        <v>400</v>
      </c>
      <c r="B1157" s="2">
        <v>1600102</v>
      </c>
      <c r="C1157" s="2" t="s">
        <v>257</v>
      </c>
      <c r="D1157" s="3">
        <f>VLOOKUP(B1157,Sheet2!$A:$O,7,0)</f>
        <v>34314</v>
      </c>
    </row>
    <row r="1158" spans="1:4">
      <c r="A1158" s="8" t="s">
        <v>400</v>
      </c>
      <c r="B1158" s="2">
        <v>1600103</v>
      </c>
      <c r="C1158" s="2" t="s">
        <v>258</v>
      </c>
      <c r="D1158" s="3">
        <f>VLOOKUP(B1158,Sheet2!$A:$O,7,0)</f>
        <v>19800</v>
      </c>
    </row>
    <row r="1159" spans="1:4">
      <c r="A1159" s="8" t="s">
        <v>400</v>
      </c>
      <c r="B1159" s="2">
        <v>1600104</v>
      </c>
      <c r="C1159" s="2" t="s">
        <v>259</v>
      </c>
      <c r="D1159" s="3">
        <f>VLOOKUP(B1159,Sheet2!$A:$O,7,0)</f>
        <v>65000</v>
      </c>
    </row>
    <row r="1160" spans="1:4">
      <c r="A1160" s="8" t="s">
        <v>400</v>
      </c>
      <c r="B1160" s="2">
        <v>1600105</v>
      </c>
      <c r="C1160" s="2" t="s">
        <v>260</v>
      </c>
      <c r="D1160" s="3">
        <f>VLOOKUP(B1160,Sheet2!$A:$O,7,0)</f>
        <v>73000</v>
      </c>
    </row>
    <row r="1161" spans="1:4">
      <c r="A1161" s="8" t="s">
        <v>400</v>
      </c>
      <c r="B1161" s="2">
        <v>1600106</v>
      </c>
      <c r="C1161" s="2" t="s">
        <v>261</v>
      </c>
      <c r="D1161" s="3">
        <f>VLOOKUP(B1161,Sheet2!$A:$O,7,0)</f>
        <v>66667</v>
      </c>
    </row>
    <row r="1162" spans="1:4">
      <c r="A1162" s="8" t="s">
        <v>400</v>
      </c>
      <c r="B1162" s="2">
        <v>1600107</v>
      </c>
      <c r="C1162" s="2" t="s">
        <v>262</v>
      </c>
      <c r="D1162" s="3">
        <f>VLOOKUP(B1162,Sheet2!$A:$O,7,0)</f>
        <v>67647</v>
      </c>
    </row>
    <row r="1163" spans="1:4">
      <c r="A1163" s="8" t="s">
        <v>400</v>
      </c>
      <c r="B1163" s="2">
        <v>1600108</v>
      </c>
      <c r="C1163" s="2" t="s">
        <v>263</v>
      </c>
      <c r="D1163" s="3">
        <f>VLOOKUP(B1163,Sheet2!$A:$O,7,0)</f>
        <v>67647</v>
      </c>
    </row>
    <row r="1164" spans="1:4">
      <c r="A1164" s="8" t="s">
        <v>400</v>
      </c>
      <c r="B1164" s="2">
        <v>1600109</v>
      </c>
      <c r="C1164" s="2" t="s">
        <v>264</v>
      </c>
      <c r="D1164" s="3">
        <f>VLOOKUP(B1164,Sheet2!$A:$O,7,0)</f>
        <v>4657</v>
      </c>
    </row>
    <row r="1165" spans="1:4">
      <c r="A1165" s="8" t="s">
        <v>400</v>
      </c>
      <c r="B1165" s="2">
        <v>1600110</v>
      </c>
      <c r="C1165" s="2" t="s">
        <v>265</v>
      </c>
      <c r="D1165" s="3">
        <f>VLOOKUP(B1165,Sheet2!$A:$O,7,0)</f>
        <v>7917</v>
      </c>
    </row>
    <row r="1166" spans="1:4">
      <c r="A1166" s="8" t="s">
        <v>400</v>
      </c>
      <c r="B1166" s="2">
        <v>1600111</v>
      </c>
      <c r="C1166" s="2" t="s">
        <v>266</v>
      </c>
      <c r="D1166" s="3">
        <f>VLOOKUP(B1166,Sheet2!$A:$O,7,0)</f>
        <v>2266</v>
      </c>
    </row>
    <row r="1167" spans="1:4">
      <c r="A1167" s="8" t="s">
        <v>400</v>
      </c>
      <c r="B1167" s="2">
        <v>1600112</v>
      </c>
      <c r="C1167" s="2" t="s">
        <v>190</v>
      </c>
      <c r="D1167" s="3">
        <f>VLOOKUP(B1167,Sheet2!$A:$O,7,0)</f>
        <v>4800</v>
      </c>
    </row>
    <row r="1168" spans="1:4">
      <c r="A1168" s="8" t="s">
        <v>400</v>
      </c>
      <c r="B1168" s="2">
        <v>1600113</v>
      </c>
      <c r="C1168" s="2" t="s">
        <v>267</v>
      </c>
      <c r="D1168" s="3">
        <f>VLOOKUP(B1168,Sheet2!$A:$O,7,0)</f>
        <v>0</v>
      </c>
    </row>
    <row r="1169" spans="1:4">
      <c r="A1169" s="8" t="s">
        <v>400</v>
      </c>
      <c r="B1169" s="2">
        <v>1600114</v>
      </c>
      <c r="C1169" s="2" t="s">
        <v>268</v>
      </c>
      <c r="D1169" s="3">
        <f>VLOOKUP(B1169,Sheet2!$A:$O,7,0)</f>
        <v>10140</v>
      </c>
    </row>
    <row r="1170" spans="1:4">
      <c r="A1170" s="8" t="s">
        <v>400</v>
      </c>
      <c r="B1170" s="2">
        <v>1700001</v>
      </c>
      <c r="C1170" s="2" t="s">
        <v>269</v>
      </c>
      <c r="D1170" s="3">
        <f>VLOOKUP(B1170,Sheet2!$A:$O,7,0)</f>
        <v>3452</v>
      </c>
    </row>
    <row r="1171" spans="1:4">
      <c r="A1171" s="8" t="s">
        <v>400</v>
      </c>
      <c r="B1171" s="2">
        <v>1700002</v>
      </c>
      <c r="C1171" s="2" t="s">
        <v>270</v>
      </c>
      <c r="D1171" s="3">
        <f>VLOOKUP(B1171,Sheet2!$A:$O,7,0)</f>
        <v>3726</v>
      </c>
    </row>
    <row r="1172" spans="1:4">
      <c r="A1172" s="8" t="s">
        <v>400</v>
      </c>
      <c r="B1172" s="2">
        <v>1700003</v>
      </c>
      <c r="C1172" s="2" t="s">
        <v>271</v>
      </c>
      <c r="D1172" s="3">
        <f>VLOOKUP(B1172,Sheet2!$A:$O,7,0)</f>
        <v>4902</v>
      </c>
    </row>
    <row r="1173" spans="1:4">
      <c r="A1173" s="8" t="s">
        <v>400</v>
      </c>
      <c r="B1173" s="2">
        <v>1700004</v>
      </c>
      <c r="C1173" s="2" t="s">
        <v>272</v>
      </c>
      <c r="D1173" s="3">
        <f>VLOOKUP(B1173,Sheet2!$A:$O,7,0)</f>
        <v>13137</v>
      </c>
    </row>
    <row r="1174" spans="1:4">
      <c r="A1174" s="8" t="s">
        <v>400</v>
      </c>
      <c r="B1174" s="2">
        <v>1700005</v>
      </c>
      <c r="C1174" s="2" t="s">
        <v>192</v>
      </c>
      <c r="D1174" s="3">
        <f>VLOOKUP(B1174,Sheet2!$A:$O,7,0)</f>
        <v>1710</v>
      </c>
    </row>
    <row r="1175" spans="1:4">
      <c r="A1175" s="8" t="s">
        <v>400</v>
      </c>
      <c r="B1175" s="2">
        <v>1700006</v>
      </c>
      <c r="C1175" s="2" t="s">
        <v>273</v>
      </c>
      <c r="D1175" s="3">
        <f>VLOOKUP(B1175,Sheet2!$A:$O,7,0)</f>
        <v>6373</v>
      </c>
    </row>
    <row r="1176" spans="1:4">
      <c r="A1176" s="8" t="s">
        <v>400</v>
      </c>
      <c r="B1176" s="2">
        <v>1700007</v>
      </c>
      <c r="C1176" s="2" t="s">
        <v>274</v>
      </c>
      <c r="D1176" s="3">
        <f>VLOOKUP(B1176,Sheet2!$A:$O,7,0)</f>
        <v>0</v>
      </c>
    </row>
    <row r="1177" spans="1:4">
      <c r="A1177" s="8" t="s">
        <v>400</v>
      </c>
      <c r="B1177" s="2">
        <v>1700008</v>
      </c>
      <c r="C1177" s="2" t="s">
        <v>275</v>
      </c>
      <c r="D1177" s="3">
        <f>VLOOKUP(B1177,Sheet2!$A:$O,7,0)</f>
        <v>0</v>
      </c>
    </row>
    <row r="1178" spans="1:4">
      <c r="A1178" s="8" t="s">
        <v>400</v>
      </c>
      <c r="B1178" s="2">
        <v>1700009</v>
      </c>
      <c r="C1178" s="2" t="s">
        <v>276</v>
      </c>
      <c r="D1178" s="3">
        <f>VLOOKUP(B1178,Sheet2!$A:$O,7,0)</f>
        <v>0</v>
      </c>
    </row>
    <row r="1179" spans="1:4">
      <c r="A1179" s="8" t="s">
        <v>400</v>
      </c>
      <c r="B1179" s="2">
        <v>1700010</v>
      </c>
      <c r="C1179" s="2" t="s">
        <v>277</v>
      </c>
      <c r="D1179" s="3">
        <f>VLOOKUP(B1179,Sheet2!$A:$O,7,0)</f>
        <v>3620</v>
      </c>
    </row>
    <row r="1180" spans="1:4">
      <c r="A1180" s="8" t="s">
        <v>400</v>
      </c>
      <c r="B1180" s="2">
        <v>1700011</v>
      </c>
      <c r="C1180" s="2" t="s">
        <v>278</v>
      </c>
      <c r="D1180" s="3">
        <f>VLOOKUP(B1180,Sheet2!$A:$O,7,0)</f>
        <v>11961</v>
      </c>
    </row>
    <row r="1181" spans="1:4">
      <c r="A1181" s="8" t="s">
        <v>400</v>
      </c>
      <c r="B1181" s="2">
        <v>1700012</v>
      </c>
      <c r="C1181" s="2" t="s">
        <v>279</v>
      </c>
      <c r="D1181" s="3">
        <f>VLOOKUP(B1181,Sheet2!$A:$O,7,0)</f>
        <v>12255</v>
      </c>
    </row>
    <row r="1182" spans="1:4">
      <c r="A1182" s="8" t="s">
        <v>400</v>
      </c>
      <c r="B1182" s="2">
        <v>1700013</v>
      </c>
      <c r="C1182" s="2" t="s">
        <v>280</v>
      </c>
      <c r="D1182" s="3">
        <f>VLOOKUP(B1182,Sheet2!$A:$O,7,0)</f>
        <v>657</v>
      </c>
    </row>
    <row r="1183" spans="1:4">
      <c r="A1183" s="8" t="s">
        <v>400</v>
      </c>
      <c r="B1183" s="2">
        <v>1700014</v>
      </c>
      <c r="C1183" s="2" t="s">
        <v>194</v>
      </c>
      <c r="D1183" s="3">
        <f>VLOOKUP(B1183,Sheet2!$A:$O,7,0)</f>
        <v>2255</v>
      </c>
    </row>
    <row r="1184" spans="1:4">
      <c r="A1184" s="8" t="s">
        <v>400</v>
      </c>
      <c r="B1184" s="2">
        <v>1700015</v>
      </c>
      <c r="C1184" s="2" t="s">
        <v>281</v>
      </c>
      <c r="D1184" s="3">
        <f>VLOOKUP(B1184,Sheet2!$A:$O,7,0)</f>
        <v>2552</v>
      </c>
    </row>
    <row r="1185" spans="1:4">
      <c r="A1185" s="8" t="s">
        <v>400</v>
      </c>
      <c r="B1185" s="2">
        <v>1700016</v>
      </c>
      <c r="C1185" s="2" t="s">
        <v>282</v>
      </c>
      <c r="D1185" s="3">
        <f>VLOOKUP(B1185,Sheet2!$A:$O,7,0)</f>
        <v>3951</v>
      </c>
    </row>
    <row r="1186" spans="1:4">
      <c r="A1186" s="8" t="s">
        <v>400</v>
      </c>
      <c r="B1186" s="2">
        <v>1700017</v>
      </c>
      <c r="C1186" s="2" t="s">
        <v>283</v>
      </c>
      <c r="D1186" s="3">
        <f>VLOOKUP(B1186,Sheet2!$A:$O,7,0)</f>
        <v>8922</v>
      </c>
    </row>
    <row r="1187" spans="1:4">
      <c r="A1187" s="8" t="s">
        <v>400</v>
      </c>
      <c r="B1187" s="2">
        <v>1700018</v>
      </c>
      <c r="C1187" s="2" t="s">
        <v>284</v>
      </c>
      <c r="D1187" s="3">
        <f>VLOOKUP(B1187,Sheet2!$A:$O,7,0)</f>
        <v>3992</v>
      </c>
    </row>
    <row r="1188" spans="1:4">
      <c r="A1188" s="8" t="s">
        <v>400</v>
      </c>
      <c r="B1188" s="2">
        <v>1700019</v>
      </c>
      <c r="C1188" s="2" t="s">
        <v>285</v>
      </c>
      <c r="D1188" s="3">
        <f>VLOOKUP(B1188,Sheet2!$A:$O,7,0)</f>
        <v>0</v>
      </c>
    </row>
    <row r="1189" spans="1:4">
      <c r="A1189" s="8" t="s">
        <v>400</v>
      </c>
      <c r="B1189" s="2">
        <v>1700020</v>
      </c>
      <c r="C1189" s="2" t="s">
        <v>286</v>
      </c>
      <c r="D1189" s="3">
        <f>VLOOKUP(B1189,Sheet2!$A:$O,7,0)</f>
        <v>49412</v>
      </c>
    </row>
    <row r="1190" spans="1:4">
      <c r="A1190" s="8" t="s">
        <v>400</v>
      </c>
      <c r="B1190" s="2">
        <v>1700021</v>
      </c>
      <c r="C1190" s="2" t="s">
        <v>287</v>
      </c>
      <c r="D1190" s="3">
        <f>VLOOKUP(B1190,Sheet2!$A:$O,7,0)</f>
        <v>73216</v>
      </c>
    </row>
    <row r="1191" spans="1:4">
      <c r="A1191" s="8" t="s">
        <v>400</v>
      </c>
      <c r="B1191" s="2">
        <v>1700022</v>
      </c>
      <c r="C1191" s="2" t="s">
        <v>288</v>
      </c>
      <c r="D1191" s="3">
        <f>VLOOKUP(B1191,Sheet2!$A:$O,7,0)</f>
        <v>33706</v>
      </c>
    </row>
    <row r="1192" spans="1:4">
      <c r="A1192" s="8" t="s">
        <v>400</v>
      </c>
      <c r="B1192" s="2">
        <v>1700023</v>
      </c>
      <c r="C1192" s="2" t="s">
        <v>289</v>
      </c>
      <c r="D1192" s="3">
        <f>VLOOKUP(B1192,Sheet2!$A:$O,7,0)</f>
        <v>6343</v>
      </c>
    </row>
    <row r="1193" spans="1:4">
      <c r="A1193" s="8" t="s">
        <v>400</v>
      </c>
      <c r="B1193" s="2">
        <v>1700024</v>
      </c>
      <c r="C1193" s="2" t="s">
        <v>290</v>
      </c>
      <c r="D1193" s="3">
        <f>VLOOKUP(B1193,Sheet2!$A:$O,7,0)</f>
        <v>0</v>
      </c>
    </row>
    <row r="1194" spans="1:4">
      <c r="A1194" s="8" t="s">
        <v>400</v>
      </c>
      <c r="B1194" s="2">
        <v>1700025</v>
      </c>
      <c r="C1194" s="2" t="s">
        <v>291</v>
      </c>
      <c r="D1194" s="3">
        <f>VLOOKUP(B1194,Sheet2!$A:$O,7,0)</f>
        <v>0</v>
      </c>
    </row>
    <row r="1195" spans="1:4">
      <c r="A1195" s="8" t="s">
        <v>400</v>
      </c>
      <c r="B1195" s="2">
        <v>1700026</v>
      </c>
      <c r="C1195" s="2" t="s">
        <v>292</v>
      </c>
      <c r="D1195" s="3">
        <f>VLOOKUP(B1195,Sheet2!$A:$O,7,0)</f>
        <v>4412</v>
      </c>
    </row>
    <row r="1196" spans="1:4">
      <c r="A1196" s="8" t="s">
        <v>400</v>
      </c>
      <c r="B1196" s="2">
        <v>1700027</v>
      </c>
      <c r="C1196" s="2" t="s">
        <v>293</v>
      </c>
      <c r="D1196" s="3">
        <f>VLOOKUP(B1196,Sheet2!$A:$O,7,0)</f>
        <v>4700</v>
      </c>
    </row>
    <row r="1197" spans="1:4">
      <c r="A1197" s="8" t="s">
        <v>400</v>
      </c>
      <c r="B1197" s="2">
        <v>1700028</v>
      </c>
      <c r="C1197" s="2" t="s">
        <v>294</v>
      </c>
      <c r="D1197" s="3">
        <f>VLOOKUP(B1197,Sheet2!$A:$O,7,0)</f>
        <v>9500</v>
      </c>
    </row>
    <row r="1198" spans="1:4">
      <c r="A1198" s="8" t="s">
        <v>400</v>
      </c>
      <c r="B1198" s="2">
        <v>1700029</v>
      </c>
      <c r="C1198" s="2" t="s">
        <v>295</v>
      </c>
      <c r="D1198" s="3">
        <f>VLOOKUP(B1198,Sheet2!$A:$O,7,0)</f>
        <v>10670</v>
      </c>
    </row>
    <row r="1199" spans="1:4">
      <c r="A1199" s="8" t="s">
        <v>400</v>
      </c>
      <c r="B1199" s="2">
        <v>1700030</v>
      </c>
      <c r="C1199" s="2" t="s">
        <v>296</v>
      </c>
      <c r="D1199" s="3">
        <f>VLOOKUP(B1199,Sheet2!$A:$O,7,0)</f>
        <v>12720</v>
      </c>
    </row>
    <row r="1200" spans="1:4">
      <c r="A1200" s="8" t="s">
        <v>400</v>
      </c>
      <c r="B1200" s="2">
        <v>1700031</v>
      </c>
      <c r="C1200" s="2" t="s">
        <v>196</v>
      </c>
      <c r="D1200" s="3">
        <f>VLOOKUP(B1200,Sheet2!$A:$O,7,0)</f>
        <v>1961</v>
      </c>
    </row>
    <row r="1201" spans="1:4">
      <c r="A1201" s="8" t="s">
        <v>400</v>
      </c>
      <c r="B1201" s="2">
        <v>1700032</v>
      </c>
      <c r="C1201" s="2" t="s">
        <v>297</v>
      </c>
      <c r="D1201" s="3">
        <f>VLOOKUP(B1201,Sheet2!$A:$O,7,0)</f>
        <v>0</v>
      </c>
    </row>
    <row r="1202" spans="1:4">
      <c r="A1202" s="8" t="s">
        <v>400</v>
      </c>
      <c r="B1202" s="2">
        <v>1700033</v>
      </c>
      <c r="C1202" s="2" t="s">
        <v>298</v>
      </c>
      <c r="D1202" s="3">
        <f>VLOOKUP(B1202,Sheet2!$A:$O,7,0)</f>
        <v>0</v>
      </c>
    </row>
    <row r="1203" spans="1:4">
      <c r="A1203" s="8" t="s">
        <v>400</v>
      </c>
      <c r="B1203" s="2">
        <v>1700034</v>
      </c>
      <c r="C1203" s="2" t="s">
        <v>299</v>
      </c>
      <c r="D1203" s="3">
        <f>VLOOKUP(B1203,Sheet2!$A:$O,7,0)</f>
        <v>15125</v>
      </c>
    </row>
    <row r="1204" spans="1:4">
      <c r="A1204" s="8" t="s">
        <v>400</v>
      </c>
      <c r="B1204" s="2">
        <v>1700035</v>
      </c>
      <c r="C1204" s="2" t="s">
        <v>300</v>
      </c>
      <c r="D1204" s="3">
        <f>VLOOKUP(B1204,Sheet2!$A:$O,7,0)</f>
        <v>34000</v>
      </c>
    </row>
    <row r="1205" spans="1:4">
      <c r="A1205" s="8" t="s">
        <v>400</v>
      </c>
      <c r="B1205" s="2">
        <v>1700036</v>
      </c>
      <c r="C1205" s="2" t="s">
        <v>301</v>
      </c>
      <c r="D1205" s="3">
        <f>VLOOKUP(B1205,Sheet2!$A:$O,7,0)</f>
        <v>5200</v>
      </c>
    </row>
    <row r="1206" spans="1:4">
      <c r="A1206" s="8" t="s">
        <v>400</v>
      </c>
      <c r="B1206" s="2">
        <v>1700037</v>
      </c>
      <c r="C1206" s="2" t="s">
        <v>302</v>
      </c>
      <c r="D1206" s="3">
        <f>VLOOKUP(B1206,Sheet2!$A:$O,7,0)</f>
        <v>7533</v>
      </c>
    </row>
    <row r="1207" spans="1:4">
      <c r="A1207" s="8" t="s">
        <v>400</v>
      </c>
      <c r="B1207" s="2">
        <v>1700038</v>
      </c>
      <c r="C1207" s="2" t="s">
        <v>303</v>
      </c>
      <c r="D1207" s="3">
        <f>VLOOKUP(B1207,Sheet2!$A:$O,7,0)</f>
        <v>2559</v>
      </c>
    </row>
    <row r="1208" spans="1:4">
      <c r="A1208" s="8" t="s">
        <v>400</v>
      </c>
      <c r="B1208" s="2">
        <v>1700039</v>
      </c>
      <c r="C1208" s="2" t="s">
        <v>304</v>
      </c>
      <c r="D1208" s="3">
        <f>VLOOKUP(B1208,Sheet2!$A:$O,7,0)</f>
        <v>2000</v>
      </c>
    </row>
    <row r="1209" spans="1:4">
      <c r="A1209" s="8" t="s">
        <v>400</v>
      </c>
      <c r="B1209" s="2">
        <v>1700040</v>
      </c>
      <c r="C1209" s="2" t="s">
        <v>305</v>
      </c>
      <c r="D1209" s="3">
        <f>VLOOKUP(B1209,Sheet2!$A:$O,7,0)</f>
        <v>1967</v>
      </c>
    </row>
    <row r="1210" spans="1:4">
      <c r="A1210" s="8" t="s">
        <v>400</v>
      </c>
      <c r="B1210" s="2">
        <v>1700041</v>
      </c>
      <c r="C1210" s="2" t="s">
        <v>306</v>
      </c>
      <c r="D1210" s="3">
        <f>VLOOKUP(B1210,Sheet2!$A:$O,7,0)</f>
        <v>3000</v>
      </c>
    </row>
    <row r="1211" spans="1:4">
      <c r="A1211" s="8" t="s">
        <v>400</v>
      </c>
      <c r="B1211" s="2">
        <v>1700042</v>
      </c>
      <c r="C1211" s="2" t="s">
        <v>307</v>
      </c>
      <c r="D1211" s="3">
        <f>VLOOKUP(B1211,Sheet2!$A:$O,7,0)</f>
        <v>3220</v>
      </c>
    </row>
    <row r="1212" spans="1:4">
      <c r="A1212" s="8" t="s">
        <v>400</v>
      </c>
      <c r="B1212" s="2">
        <v>1700043</v>
      </c>
      <c r="C1212" s="2" t="s">
        <v>308</v>
      </c>
      <c r="D1212" s="3">
        <f>VLOOKUP(B1212,Sheet2!$A:$O,7,0)</f>
        <v>4652</v>
      </c>
    </row>
    <row r="1213" spans="1:4">
      <c r="A1213" s="8" t="s">
        <v>400</v>
      </c>
      <c r="B1213" s="2">
        <v>1700044</v>
      </c>
      <c r="C1213" s="2" t="s">
        <v>309</v>
      </c>
      <c r="D1213" s="3">
        <f>VLOOKUP(B1213,Sheet2!$A:$O,7,0)</f>
        <v>7000</v>
      </c>
    </row>
    <row r="1214" spans="1:4">
      <c r="A1214" s="8" t="s">
        <v>400</v>
      </c>
      <c r="B1214" s="2">
        <v>1700045</v>
      </c>
      <c r="C1214" s="2" t="s">
        <v>310</v>
      </c>
      <c r="D1214" s="3">
        <f>VLOOKUP(B1214,Sheet2!$A:$O,7,0)</f>
        <v>4180</v>
      </c>
    </row>
    <row r="1215" spans="1:4">
      <c r="A1215" s="8" t="s">
        <v>400</v>
      </c>
      <c r="B1215" s="2">
        <v>1700046</v>
      </c>
      <c r="C1215" s="2" t="s">
        <v>311</v>
      </c>
      <c r="D1215" s="3">
        <f>VLOOKUP(B1215,Sheet2!$A:$O,7,0)</f>
        <v>6176</v>
      </c>
    </row>
    <row r="1216" spans="1:4">
      <c r="A1216" s="8" t="s">
        <v>400</v>
      </c>
      <c r="B1216" s="2">
        <v>1700047</v>
      </c>
      <c r="C1216" s="2" t="s">
        <v>312</v>
      </c>
      <c r="D1216" s="3">
        <f>VLOOKUP(B1216,Sheet2!$A:$O,7,0)</f>
        <v>22150</v>
      </c>
    </row>
    <row r="1217" spans="1:4">
      <c r="A1217" s="8" t="s">
        <v>400</v>
      </c>
      <c r="B1217" s="2">
        <v>1700048</v>
      </c>
      <c r="C1217" s="2" t="s">
        <v>313</v>
      </c>
      <c r="D1217" s="3">
        <f>VLOOKUP(B1217,Sheet2!$A:$O,7,0)</f>
        <v>13330</v>
      </c>
    </row>
    <row r="1218" spans="1:4">
      <c r="A1218" s="8" t="s">
        <v>400</v>
      </c>
      <c r="B1218" s="2">
        <v>1700049</v>
      </c>
      <c r="C1218" s="2" t="s">
        <v>314</v>
      </c>
      <c r="D1218" s="3">
        <f>VLOOKUP(B1218,Sheet2!$A:$O,7,0)</f>
        <v>5785</v>
      </c>
    </row>
    <row r="1219" spans="1:4">
      <c r="A1219" s="8" t="s">
        <v>400</v>
      </c>
      <c r="B1219" s="2">
        <v>1700050</v>
      </c>
      <c r="C1219" s="2" t="s">
        <v>315</v>
      </c>
      <c r="D1219" s="3">
        <f>VLOOKUP(B1219,Sheet2!$A:$O,7,0)</f>
        <v>39000</v>
      </c>
    </row>
    <row r="1220" spans="1:4">
      <c r="A1220" s="8" t="s">
        <v>400</v>
      </c>
      <c r="B1220" s="2">
        <v>1700051</v>
      </c>
      <c r="C1220" s="2" t="s">
        <v>316</v>
      </c>
      <c r="D1220" s="3">
        <f>VLOOKUP(B1220,Sheet2!$A:$O,7,0)</f>
        <v>11500</v>
      </c>
    </row>
    <row r="1221" spans="1:4">
      <c r="A1221" s="8" t="s">
        <v>400</v>
      </c>
      <c r="B1221" s="2">
        <v>1700052</v>
      </c>
      <c r="C1221" s="2" t="s">
        <v>317</v>
      </c>
      <c r="D1221" s="3">
        <f>VLOOKUP(B1221,Sheet2!$A:$O,7,0)</f>
        <v>3444</v>
      </c>
    </row>
    <row r="1222" spans="1:4">
      <c r="A1222" s="8" t="s">
        <v>400</v>
      </c>
      <c r="B1222" s="2">
        <v>1700053</v>
      </c>
      <c r="C1222" s="2" t="s">
        <v>318</v>
      </c>
      <c r="D1222" s="3">
        <f>VLOOKUP(B1222,Sheet2!$A:$O,7,0)</f>
        <v>15530</v>
      </c>
    </row>
    <row r="1223" spans="1:4">
      <c r="A1223" s="8" t="s">
        <v>400</v>
      </c>
      <c r="B1223" s="2">
        <v>1700054</v>
      </c>
      <c r="C1223" s="2" t="s">
        <v>319</v>
      </c>
      <c r="D1223" s="3">
        <f>VLOOKUP(B1223,Sheet2!$A:$O,7,0)</f>
        <v>11670</v>
      </c>
    </row>
    <row r="1224" spans="1:4">
      <c r="A1224" s="8" t="s">
        <v>400</v>
      </c>
      <c r="B1224" s="2">
        <v>1700055</v>
      </c>
      <c r="C1224" s="2" t="s">
        <v>320</v>
      </c>
      <c r="D1224" s="3">
        <f>VLOOKUP(B1224,Sheet2!$A:$O,7,0)</f>
        <v>11940</v>
      </c>
    </row>
    <row r="1225" spans="1:4">
      <c r="A1225" s="8" t="s">
        <v>400</v>
      </c>
      <c r="B1225" s="2">
        <v>1700056</v>
      </c>
      <c r="C1225" s="2" t="s">
        <v>321</v>
      </c>
      <c r="D1225" s="3">
        <f>VLOOKUP(B1225,Sheet2!$A:$O,7,0)</f>
        <v>6147</v>
      </c>
    </row>
    <row r="1226" spans="1:4">
      <c r="A1226" s="8" t="s">
        <v>400</v>
      </c>
      <c r="B1226" s="2">
        <v>1700057</v>
      </c>
      <c r="C1226" s="2" t="s">
        <v>322</v>
      </c>
      <c r="D1226" s="3">
        <f>VLOOKUP(B1226,Sheet2!$A:$O,7,0)</f>
        <v>2098</v>
      </c>
    </row>
    <row r="1227" spans="1:4">
      <c r="A1227" s="8" t="s">
        <v>400</v>
      </c>
      <c r="B1227" s="2">
        <v>1700058</v>
      </c>
      <c r="C1227" s="2" t="s">
        <v>323</v>
      </c>
      <c r="D1227" s="3">
        <f>VLOOKUP(B1227,Sheet2!$A:$O,7,0)</f>
        <v>5800</v>
      </c>
    </row>
    <row r="1228" spans="1:4">
      <c r="A1228" s="8" t="s">
        <v>400</v>
      </c>
      <c r="B1228" s="2">
        <v>1700059</v>
      </c>
      <c r="C1228" s="2" t="s">
        <v>324</v>
      </c>
      <c r="D1228" s="3">
        <f>VLOOKUP(B1228,Sheet2!$A:$O,7,0)</f>
        <v>27667</v>
      </c>
    </row>
    <row r="1229" spans="1:4">
      <c r="A1229" s="8" t="s">
        <v>400</v>
      </c>
      <c r="B1229" s="2">
        <v>1700060</v>
      </c>
      <c r="C1229" s="2" t="s">
        <v>325</v>
      </c>
      <c r="D1229" s="3">
        <f>VLOOKUP(B1229,Sheet2!$A:$O,7,0)</f>
        <v>5314</v>
      </c>
    </row>
    <row r="1230" spans="1:4">
      <c r="A1230" s="8" t="s">
        <v>400</v>
      </c>
      <c r="B1230" s="2">
        <v>1700061</v>
      </c>
      <c r="C1230" s="2" t="s">
        <v>326</v>
      </c>
      <c r="D1230" s="3">
        <f>VLOOKUP(B1230,Sheet2!$A:$O,7,0)</f>
        <v>8920</v>
      </c>
    </row>
    <row r="1231" spans="1:4">
      <c r="A1231" s="8" t="s">
        <v>400</v>
      </c>
      <c r="B1231" s="2">
        <v>1700062</v>
      </c>
      <c r="C1231" s="2" t="s">
        <v>327</v>
      </c>
      <c r="D1231" s="3">
        <f>VLOOKUP(B1231,Sheet2!$A:$O,7,0)</f>
        <v>10520</v>
      </c>
    </row>
    <row r="1232" spans="1:4">
      <c r="A1232" s="8" t="s">
        <v>400</v>
      </c>
      <c r="B1232" s="2">
        <v>1700063</v>
      </c>
      <c r="C1232" s="2" t="s">
        <v>328</v>
      </c>
      <c r="D1232" s="3">
        <f>VLOOKUP(B1232,Sheet2!$A:$O,7,0)</f>
        <v>10550</v>
      </c>
    </row>
    <row r="1233" spans="1:4">
      <c r="A1233" s="8" t="s">
        <v>400</v>
      </c>
      <c r="B1233" s="2">
        <v>1700064</v>
      </c>
      <c r="C1233" s="2" t="s">
        <v>329</v>
      </c>
      <c r="D1233" s="3">
        <f>VLOOKUP(B1233,Sheet2!$A:$O,7,0)</f>
        <v>11060</v>
      </c>
    </row>
    <row r="1234" spans="1:4">
      <c r="A1234" s="8" t="s">
        <v>400</v>
      </c>
      <c r="B1234" s="2">
        <v>1700065</v>
      </c>
      <c r="C1234" s="2" t="s">
        <v>330</v>
      </c>
      <c r="D1234" s="3">
        <f>VLOOKUP(B1234,Sheet2!$A:$O,7,0)</f>
        <v>12760</v>
      </c>
    </row>
    <row r="1235" spans="1:4">
      <c r="A1235" s="8" t="s">
        <v>400</v>
      </c>
      <c r="B1235" s="2">
        <v>1700066</v>
      </c>
      <c r="C1235" s="2" t="s">
        <v>331</v>
      </c>
      <c r="D1235" s="3">
        <f>VLOOKUP(B1235,Sheet2!$A:$O,7,0)</f>
        <v>13200</v>
      </c>
    </row>
    <row r="1236" spans="1:4">
      <c r="A1236" s="8" t="s">
        <v>400</v>
      </c>
      <c r="B1236" s="2">
        <v>1700067</v>
      </c>
      <c r="C1236" s="2" t="s">
        <v>332</v>
      </c>
      <c r="D1236" s="3">
        <f>VLOOKUP(B1236,Sheet2!$A:$O,7,0)</f>
        <v>10720</v>
      </c>
    </row>
    <row r="1237" spans="1:4">
      <c r="A1237" s="8" t="s">
        <v>400</v>
      </c>
      <c r="B1237" s="2">
        <v>1700068</v>
      </c>
      <c r="C1237" s="2" t="s">
        <v>333</v>
      </c>
      <c r="D1237" s="3">
        <f>VLOOKUP(B1237,Sheet2!$A:$O,7,0)</f>
        <v>12720</v>
      </c>
    </row>
    <row r="1238" spans="1:4">
      <c r="A1238" s="8" t="s">
        <v>400</v>
      </c>
      <c r="B1238" s="2">
        <v>1700069</v>
      </c>
      <c r="C1238" s="2" t="s">
        <v>334</v>
      </c>
      <c r="D1238" s="3">
        <f>VLOOKUP(B1238,Sheet2!$A:$O,7,0)</f>
        <v>14000</v>
      </c>
    </row>
    <row r="1239" spans="1:4">
      <c r="A1239" s="8" t="s">
        <v>400</v>
      </c>
      <c r="B1239" s="2">
        <v>1700070</v>
      </c>
      <c r="C1239" s="2" t="s">
        <v>335</v>
      </c>
      <c r="D1239" s="3">
        <f>VLOOKUP(B1239,Sheet2!$A:$O,7,0)</f>
        <v>1618</v>
      </c>
    </row>
    <row r="1240" spans="1:4">
      <c r="A1240" s="8" t="s">
        <v>400</v>
      </c>
      <c r="B1240" s="2">
        <v>1700071</v>
      </c>
      <c r="C1240" s="2" t="s">
        <v>336</v>
      </c>
      <c r="D1240" s="3">
        <f>VLOOKUP(B1240,Sheet2!$A:$O,7,0)</f>
        <v>12190</v>
      </c>
    </row>
    <row r="1241" spans="1:4">
      <c r="A1241" s="8" t="s">
        <v>400</v>
      </c>
      <c r="B1241" s="2">
        <v>1700072</v>
      </c>
      <c r="C1241" s="2" t="s">
        <v>337</v>
      </c>
      <c r="D1241" s="3">
        <f>VLOOKUP(B1241,Sheet2!$A:$O,7,0)</f>
        <v>10180</v>
      </c>
    </row>
    <row r="1242" spans="1:4">
      <c r="A1242" s="8" t="s">
        <v>400</v>
      </c>
      <c r="B1242" s="2">
        <v>1700073</v>
      </c>
      <c r="C1242" s="2" t="s">
        <v>338</v>
      </c>
      <c r="D1242" s="3">
        <f>VLOOKUP(B1242,Sheet2!$A:$O,7,0)</f>
        <v>9020</v>
      </c>
    </row>
    <row r="1243" spans="1:4">
      <c r="A1243" s="8" t="s">
        <v>400</v>
      </c>
      <c r="B1243" s="2">
        <v>1700076</v>
      </c>
      <c r="C1243" s="2" t="s">
        <v>339</v>
      </c>
      <c r="D1243" s="3">
        <f>VLOOKUP(B1243,Sheet2!$A:$O,7,0)</f>
        <v>3735</v>
      </c>
    </row>
    <row r="1244" spans="1:4">
      <c r="A1244" s="8" t="s">
        <v>400</v>
      </c>
      <c r="B1244" s="2">
        <v>1700077</v>
      </c>
      <c r="C1244" s="2" t="s">
        <v>340</v>
      </c>
      <c r="D1244" s="3">
        <f>VLOOKUP(B1244,Sheet2!$A:$O,7,0)</f>
        <v>3490</v>
      </c>
    </row>
    <row r="1245" spans="1:4">
      <c r="A1245" s="8" t="s">
        <v>400</v>
      </c>
      <c r="B1245" s="2">
        <v>1700078</v>
      </c>
      <c r="C1245" s="2" t="s">
        <v>341</v>
      </c>
      <c r="D1245" s="3">
        <f>VLOOKUP(B1245,Sheet2!$A:$O,7,0)</f>
        <v>4284</v>
      </c>
    </row>
    <row r="1246" spans="1:4">
      <c r="A1246" s="8" t="s">
        <v>400</v>
      </c>
      <c r="B1246" s="2">
        <v>1700080</v>
      </c>
      <c r="C1246" s="2" t="s">
        <v>342</v>
      </c>
      <c r="D1246" s="3">
        <f>VLOOKUP(B1246,Sheet2!$A:$O,7,0)</f>
        <v>3529</v>
      </c>
    </row>
    <row r="1247" spans="1:4">
      <c r="A1247" s="8" t="s">
        <v>400</v>
      </c>
      <c r="B1247" s="2">
        <v>1700083</v>
      </c>
      <c r="C1247" s="2" t="s">
        <v>343</v>
      </c>
      <c r="D1247" s="3">
        <f>VLOOKUP(B1247,Sheet2!$A:$O,7,0)</f>
        <v>5738</v>
      </c>
    </row>
    <row r="1248" spans="1:4">
      <c r="A1248" s="8" t="s">
        <v>400</v>
      </c>
      <c r="B1248" s="2">
        <v>1700084</v>
      </c>
      <c r="C1248" s="2" t="s">
        <v>344</v>
      </c>
      <c r="D1248" s="3">
        <f>VLOOKUP(B1248,Sheet2!$A:$O,7,0)</f>
        <v>10882</v>
      </c>
    </row>
    <row r="1249" spans="1:4">
      <c r="A1249" s="8" t="s">
        <v>400</v>
      </c>
      <c r="B1249" s="2">
        <v>1700085</v>
      </c>
      <c r="C1249" s="2" t="s">
        <v>345</v>
      </c>
      <c r="D1249" s="3">
        <f>VLOOKUP(B1249,Sheet2!$A:$O,7,0)</f>
        <v>7860</v>
      </c>
    </row>
    <row r="1250" spans="1:4">
      <c r="A1250" s="8" t="s">
        <v>400</v>
      </c>
      <c r="B1250" s="2">
        <v>1700086</v>
      </c>
      <c r="C1250" s="2" t="s">
        <v>346</v>
      </c>
      <c r="D1250" s="3">
        <f>VLOOKUP(B1250,Sheet2!$A:$O,7,0)</f>
        <v>2657</v>
      </c>
    </row>
    <row r="1251" spans="1:4">
      <c r="A1251" s="8" t="s">
        <v>400</v>
      </c>
      <c r="B1251" s="2">
        <v>1700087</v>
      </c>
      <c r="C1251" s="2" t="s">
        <v>347</v>
      </c>
      <c r="D1251" s="3">
        <f>VLOOKUP(B1251,Sheet2!$A:$O,7,0)</f>
        <v>4660</v>
      </c>
    </row>
    <row r="1252" spans="1:4">
      <c r="A1252" s="8" t="s">
        <v>400</v>
      </c>
      <c r="B1252" s="2">
        <v>1700088</v>
      </c>
      <c r="C1252" s="2" t="s">
        <v>348</v>
      </c>
      <c r="D1252" s="3">
        <f>VLOOKUP(B1252,Sheet2!$A:$O,7,0)</f>
        <v>15500</v>
      </c>
    </row>
    <row r="1253" spans="1:4">
      <c r="A1253" s="8" t="s">
        <v>400</v>
      </c>
      <c r="B1253" s="2">
        <v>1700089</v>
      </c>
      <c r="C1253" s="2" t="s">
        <v>349</v>
      </c>
      <c r="D1253" s="3">
        <f>VLOOKUP(B1253,Sheet2!$A:$O,7,0)</f>
        <v>18500</v>
      </c>
    </row>
    <row r="1254" spans="1:4">
      <c r="A1254" s="8" t="s">
        <v>400</v>
      </c>
      <c r="B1254" s="2">
        <v>1700090</v>
      </c>
      <c r="C1254" s="2" t="s">
        <v>350</v>
      </c>
      <c r="D1254" s="3">
        <f>VLOOKUP(B1254,Sheet2!$A:$O,7,0)</f>
        <v>25490</v>
      </c>
    </row>
    <row r="1255" spans="1:4">
      <c r="A1255" s="8" t="s">
        <v>400</v>
      </c>
      <c r="B1255" s="2">
        <v>1700091</v>
      </c>
      <c r="C1255" s="2" t="s">
        <v>351</v>
      </c>
      <c r="D1255" s="3">
        <f>VLOOKUP(B1255,Sheet2!$A:$O,7,0)</f>
        <v>18000</v>
      </c>
    </row>
    <row r="1256" spans="1:4">
      <c r="A1256" s="8" t="s">
        <v>400</v>
      </c>
      <c r="B1256" s="2">
        <v>1700092</v>
      </c>
      <c r="C1256" s="2" t="s">
        <v>352</v>
      </c>
      <c r="D1256" s="3">
        <f>VLOOKUP(B1256,Sheet2!$A:$O,7,0)</f>
        <v>2961</v>
      </c>
    </row>
    <row r="1257" spans="1:4">
      <c r="A1257" s="8" t="s">
        <v>400</v>
      </c>
      <c r="B1257" s="2">
        <v>1700093</v>
      </c>
      <c r="C1257" s="2" t="s">
        <v>353</v>
      </c>
      <c r="D1257" s="3">
        <f>VLOOKUP(B1257,Sheet2!$A:$O,7,0)</f>
        <v>23760</v>
      </c>
    </row>
    <row r="1258" spans="1:4">
      <c r="A1258" s="8" t="s">
        <v>400</v>
      </c>
      <c r="B1258" s="2">
        <v>1700094</v>
      </c>
      <c r="C1258" s="2" t="s">
        <v>354</v>
      </c>
      <c r="D1258" s="3">
        <f>VLOOKUP(B1258,Sheet2!$A:$O,7,0)</f>
        <v>13529</v>
      </c>
    </row>
    <row r="1259" spans="1:4">
      <c r="A1259" s="8" t="s">
        <v>400</v>
      </c>
      <c r="B1259" s="2">
        <v>1700095</v>
      </c>
      <c r="C1259" s="2" t="s">
        <v>355</v>
      </c>
      <c r="D1259" s="3">
        <f>VLOOKUP(B1259,Sheet2!$A:$O,7,0)</f>
        <v>4500</v>
      </c>
    </row>
    <row r="1260" spans="1:4">
      <c r="A1260" s="8" t="s">
        <v>400</v>
      </c>
      <c r="B1260" s="2">
        <v>1700096</v>
      </c>
      <c r="C1260" s="2" t="s">
        <v>356</v>
      </c>
      <c r="D1260" s="3">
        <f>VLOOKUP(B1260,Sheet2!$A:$O,7,0)</f>
        <v>24510</v>
      </c>
    </row>
    <row r="1261" spans="1:4">
      <c r="A1261" s="8" t="s">
        <v>400</v>
      </c>
      <c r="B1261" s="2">
        <v>1700097</v>
      </c>
      <c r="C1261" s="2" t="s">
        <v>357</v>
      </c>
      <c r="D1261" s="3">
        <f>VLOOKUP(B1261,Sheet2!$A:$O,7,0)</f>
        <v>19608</v>
      </c>
    </row>
    <row r="1262" spans="1:4">
      <c r="A1262" s="8" t="s">
        <v>400</v>
      </c>
      <c r="B1262" s="2">
        <v>1700098</v>
      </c>
      <c r="C1262" s="2" t="s">
        <v>358</v>
      </c>
      <c r="D1262" s="3">
        <f>VLOOKUP(B1262,Sheet2!$A:$O,7,0)</f>
        <v>19608</v>
      </c>
    </row>
    <row r="1263" spans="1:4">
      <c r="A1263" s="8" t="s">
        <v>400</v>
      </c>
      <c r="B1263" s="2">
        <v>1700099</v>
      </c>
      <c r="C1263" s="2" t="s">
        <v>359</v>
      </c>
      <c r="D1263" s="3">
        <f>VLOOKUP(B1263,Sheet2!$A:$O,7,0)</f>
        <v>9000</v>
      </c>
    </row>
    <row r="1264" spans="1:4">
      <c r="A1264" s="8" t="s">
        <v>400</v>
      </c>
      <c r="B1264" s="2">
        <v>1700100</v>
      </c>
      <c r="C1264" s="2" t="s">
        <v>360</v>
      </c>
      <c r="D1264" s="3">
        <f>VLOOKUP(B1264,Sheet2!$A:$O,7,0)</f>
        <v>3030</v>
      </c>
    </row>
    <row r="1265" spans="1:4">
      <c r="A1265" s="8" t="s">
        <v>400</v>
      </c>
      <c r="B1265" s="2">
        <v>1700101</v>
      </c>
      <c r="C1265" s="2" t="s">
        <v>361</v>
      </c>
      <c r="D1265" s="3">
        <f>VLOOKUP(B1265,Sheet2!$A:$O,7,0)</f>
        <v>7451</v>
      </c>
    </row>
    <row r="1266" spans="1:4">
      <c r="A1266" s="8" t="s">
        <v>400</v>
      </c>
      <c r="B1266" s="2">
        <v>1700102</v>
      </c>
      <c r="C1266" s="2" t="s">
        <v>362</v>
      </c>
      <c r="D1266" s="3">
        <f>VLOOKUP(B1266,Sheet2!$A:$O,7,0)</f>
        <v>40197</v>
      </c>
    </row>
    <row r="1267" spans="1:4">
      <c r="A1267" s="8" t="s">
        <v>400</v>
      </c>
      <c r="B1267" s="2">
        <v>1700103</v>
      </c>
      <c r="C1267" s="2" t="s">
        <v>363</v>
      </c>
      <c r="D1267" s="3">
        <f>VLOOKUP(B1267,Sheet2!$A:$O,7,0)</f>
        <v>9000</v>
      </c>
    </row>
    <row r="1268" spans="1:4">
      <c r="A1268" s="8" t="s">
        <v>400</v>
      </c>
      <c r="B1268" s="2">
        <v>1700104</v>
      </c>
      <c r="C1268" s="2" t="s">
        <v>364</v>
      </c>
      <c r="D1268" s="3">
        <f>VLOOKUP(B1268,Sheet2!$A:$O,7,0)</f>
        <v>36380</v>
      </c>
    </row>
    <row r="1269" spans="1:4">
      <c r="A1269" s="8" t="s">
        <v>400</v>
      </c>
      <c r="B1269" s="2">
        <v>1700105</v>
      </c>
      <c r="C1269" s="2" t="s">
        <v>365</v>
      </c>
      <c r="D1269" s="3">
        <f>VLOOKUP(B1269,Sheet2!$A:$O,7,0)</f>
        <v>10588</v>
      </c>
    </row>
    <row r="1270" spans="1:4">
      <c r="A1270" s="8" t="s">
        <v>400</v>
      </c>
      <c r="B1270" s="2">
        <v>1700106</v>
      </c>
      <c r="C1270" s="2" t="s">
        <v>366</v>
      </c>
      <c r="D1270" s="3">
        <f>VLOOKUP(B1270,Sheet2!$A:$O,7,0)</f>
        <v>14020</v>
      </c>
    </row>
    <row r="1271" spans="1:4">
      <c r="A1271" s="8" t="s">
        <v>400</v>
      </c>
      <c r="B1271" s="2">
        <v>1700107</v>
      </c>
      <c r="C1271" s="2" t="s">
        <v>367</v>
      </c>
      <c r="D1271" s="3">
        <f>VLOOKUP(B1271,Sheet2!$A:$O,7,0)</f>
        <v>9020</v>
      </c>
    </row>
    <row r="1272" spans="1:4">
      <c r="A1272" s="8" t="s">
        <v>400</v>
      </c>
      <c r="B1272" s="2">
        <v>1800002</v>
      </c>
      <c r="C1272" s="2" t="s">
        <v>368</v>
      </c>
      <c r="D1272" s="3">
        <f>VLOOKUP(B1272,Sheet2!$A:$O,7,0)</f>
        <v>9520</v>
      </c>
    </row>
    <row r="1273" spans="1:4">
      <c r="A1273" s="8" t="s">
        <v>400</v>
      </c>
      <c r="B1273" s="2">
        <v>1800004</v>
      </c>
      <c r="C1273" s="2" t="s">
        <v>369</v>
      </c>
      <c r="D1273" s="3">
        <f>VLOOKUP(B1273,Sheet2!$A:$O,7,0)</f>
        <v>0</v>
      </c>
    </row>
    <row r="1274" spans="1:4">
      <c r="A1274" s="8" t="s">
        <v>400</v>
      </c>
      <c r="B1274" s="2">
        <v>1800005</v>
      </c>
      <c r="C1274" s="2" t="s">
        <v>370</v>
      </c>
      <c r="D1274" s="3">
        <f>VLOOKUP(B1274,Sheet2!$A:$O,7,0)</f>
        <v>0</v>
      </c>
    </row>
    <row r="1275" spans="1:4">
      <c r="A1275" s="8" t="s">
        <v>400</v>
      </c>
      <c r="B1275" s="2">
        <v>1800006</v>
      </c>
      <c r="C1275" s="2" t="s">
        <v>371</v>
      </c>
      <c r="D1275" s="3">
        <f>VLOOKUP(B1275,Sheet2!$A:$O,7,0)</f>
        <v>0</v>
      </c>
    </row>
    <row r="1276" spans="1:4">
      <c r="A1276" s="8" t="s">
        <v>400</v>
      </c>
      <c r="B1276" s="2">
        <v>1800007</v>
      </c>
      <c r="C1276" s="2" t="s">
        <v>372</v>
      </c>
      <c r="D1276" s="3">
        <f>VLOOKUP(B1276,Sheet2!$A:$O,7,0)</f>
        <v>10000</v>
      </c>
    </row>
    <row r="1277" spans="1:4">
      <c r="A1277" s="8" t="s">
        <v>400</v>
      </c>
      <c r="B1277" s="2">
        <v>1800008</v>
      </c>
      <c r="C1277" s="2" t="s">
        <v>373</v>
      </c>
      <c r="D1277" s="3">
        <f>VLOOKUP(B1277,Sheet2!$A:$O,7,0)</f>
        <v>10110</v>
      </c>
    </row>
    <row r="1278" spans="1:4">
      <c r="A1278" s="8" t="s">
        <v>400</v>
      </c>
      <c r="B1278" s="2">
        <v>1800009</v>
      </c>
      <c r="C1278" s="2" t="s">
        <v>374</v>
      </c>
      <c r="D1278" s="3">
        <f>VLOOKUP(B1278,Sheet2!$A:$O,7,0)</f>
        <v>11800</v>
      </c>
    </row>
    <row r="1279" spans="1:4">
      <c r="A1279" s="8" t="s">
        <v>400</v>
      </c>
      <c r="B1279" s="2">
        <v>1800010</v>
      </c>
      <c r="C1279" s="2" t="s">
        <v>375</v>
      </c>
      <c r="D1279" s="3">
        <f>VLOOKUP(B1279,Sheet2!$A:$O,7,0)</f>
        <v>5784</v>
      </c>
    </row>
    <row r="1280" spans="1:4">
      <c r="A1280" s="8" t="s">
        <v>400</v>
      </c>
      <c r="B1280" s="2">
        <v>1800011</v>
      </c>
      <c r="C1280" s="2" t="s">
        <v>376</v>
      </c>
      <c r="D1280" s="3">
        <f>VLOOKUP(B1280,Sheet2!$A:$O,7,0)</f>
        <v>9363</v>
      </c>
    </row>
    <row r="1281" spans="1:4">
      <c r="A1281" s="8" t="s">
        <v>400</v>
      </c>
      <c r="B1281" s="2">
        <v>1800012</v>
      </c>
      <c r="C1281" s="2" t="s">
        <v>377</v>
      </c>
      <c r="D1281" s="3">
        <f>VLOOKUP(B1281,Sheet2!$A:$O,7,0)</f>
        <v>5725</v>
      </c>
    </row>
    <row r="1282" spans="1:4">
      <c r="A1282" s="8" t="s">
        <v>400</v>
      </c>
      <c r="B1282" s="2">
        <v>1800013</v>
      </c>
      <c r="C1282" s="2" t="s">
        <v>378</v>
      </c>
      <c r="D1282" s="3">
        <f>VLOOKUP(B1282,Sheet2!$A:$O,7,0)</f>
        <v>49100</v>
      </c>
    </row>
    <row r="1283" spans="1:4">
      <c r="A1283" s="8" t="s">
        <v>400</v>
      </c>
      <c r="B1283" s="2">
        <v>1800014</v>
      </c>
      <c r="C1283" s="2" t="s">
        <v>379</v>
      </c>
      <c r="D1283" s="3">
        <f>VLOOKUP(B1283,Sheet2!$A:$O,7,0)</f>
        <v>70000</v>
      </c>
    </row>
    <row r="1284" spans="1:4">
      <c r="A1284" s="8" t="s">
        <v>400</v>
      </c>
      <c r="B1284" s="2">
        <v>1800015</v>
      </c>
      <c r="C1284" s="2" t="s">
        <v>380</v>
      </c>
      <c r="D1284" s="3">
        <f>VLOOKUP(B1284,Sheet2!$A:$O,7,0)</f>
        <v>66700</v>
      </c>
    </row>
    <row r="1285" spans="1:4">
      <c r="A1285" s="8" t="s">
        <v>400</v>
      </c>
      <c r="B1285" s="2">
        <v>1900013</v>
      </c>
      <c r="C1285" s="2" t="s">
        <v>381</v>
      </c>
      <c r="D1285" s="3">
        <f>VLOOKUP(B1285,Sheet2!$A:$O,7,0)</f>
        <v>0</v>
      </c>
    </row>
    <row r="1286" spans="1:4">
      <c r="A1286" s="8" t="s">
        <v>400</v>
      </c>
      <c r="B1286" s="2">
        <v>1900018</v>
      </c>
      <c r="C1286" s="2" t="s">
        <v>382</v>
      </c>
      <c r="D1286" s="3">
        <f>VLOOKUP(B1286,Sheet2!$A:$O,7,0)</f>
        <v>0</v>
      </c>
    </row>
    <row r="1287" spans="1:4">
      <c r="A1287" s="8" t="s">
        <v>401</v>
      </c>
      <c r="B1287" s="2">
        <v>1010101</v>
      </c>
      <c r="C1287" s="2" t="s">
        <v>5</v>
      </c>
      <c r="D1287" s="3">
        <f>VLOOKUP(B1287,Sheet2!$A:$O,8,0)</f>
        <v>696</v>
      </c>
    </row>
    <row r="1288" spans="1:4">
      <c r="A1288" s="8" t="s">
        <v>401</v>
      </c>
      <c r="B1288" s="2">
        <v>1010111</v>
      </c>
      <c r="C1288" s="2" t="s">
        <v>9</v>
      </c>
      <c r="D1288" s="3">
        <f>VLOOKUP(B1288,Sheet2!$A:$O,8,0)</f>
        <v>18300</v>
      </c>
    </row>
    <row r="1289" spans="1:4">
      <c r="A1289" s="8" t="s">
        <v>401</v>
      </c>
      <c r="B1289" s="2">
        <v>1010201</v>
      </c>
      <c r="C1289" s="2" t="s">
        <v>11</v>
      </c>
      <c r="D1289" s="3">
        <f>VLOOKUP(B1289,Sheet2!$A:$O,8,0)</f>
        <v>882</v>
      </c>
    </row>
    <row r="1290" spans="1:4">
      <c r="A1290" s="8" t="s">
        <v>401</v>
      </c>
      <c r="B1290" s="2">
        <v>1010300</v>
      </c>
      <c r="C1290" s="2" t="s">
        <v>213</v>
      </c>
      <c r="D1290" s="3">
        <f>VLOOKUP(B1290,Sheet2!$A:$O,8,0)</f>
        <v>5490</v>
      </c>
    </row>
    <row r="1291" spans="1:4">
      <c r="A1291" s="8" t="s">
        <v>401</v>
      </c>
      <c r="B1291" s="2">
        <v>1010301</v>
      </c>
      <c r="C1291" s="2" t="s">
        <v>214</v>
      </c>
      <c r="D1291" s="3">
        <f>VLOOKUP(B1291,Sheet2!$A:$O,8,0)</f>
        <v>5882</v>
      </c>
    </row>
    <row r="1292" spans="1:4">
      <c r="A1292" s="8" t="s">
        <v>401</v>
      </c>
      <c r="B1292" s="2">
        <v>1010302</v>
      </c>
      <c r="C1292" s="2" t="s">
        <v>16</v>
      </c>
      <c r="D1292" s="3">
        <f>VLOOKUP(B1292,Sheet2!$A:$O,8,0)</f>
        <v>4216</v>
      </c>
    </row>
    <row r="1293" spans="1:4">
      <c r="A1293" s="8" t="s">
        <v>401</v>
      </c>
      <c r="B1293" s="2">
        <v>1010303</v>
      </c>
      <c r="C1293" s="2" t="s">
        <v>18</v>
      </c>
      <c r="D1293" s="3">
        <f>VLOOKUP(B1293,Sheet2!$A:$O,8,0)</f>
        <v>882</v>
      </c>
    </row>
    <row r="1294" spans="1:4">
      <c r="A1294" s="8" t="s">
        <v>401</v>
      </c>
      <c r="B1294" s="2">
        <v>1010304</v>
      </c>
      <c r="C1294" s="2" t="s">
        <v>215</v>
      </c>
      <c r="D1294" s="3">
        <f>VLOOKUP(B1294,Sheet2!$A:$O,8,0)</f>
        <v>1225</v>
      </c>
    </row>
    <row r="1295" spans="1:4">
      <c r="A1295" s="8" t="s">
        <v>401</v>
      </c>
      <c r="B1295" s="2">
        <v>1010401</v>
      </c>
      <c r="C1295" s="2" t="s">
        <v>20</v>
      </c>
      <c r="D1295" s="3">
        <f>VLOOKUP(B1295,Sheet2!$A:$O,8,0)</f>
        <v>3627</v>
      </c>
    </row>
    <row r="1296" spans="1:4">
      <c r="A1296" s="8" t="s">
        <v>401</v>
      </c>
      <c r="B1296" s="2">
        <v>1010405</v>
      </c>
      <c r="C1296" s="2" t="s">
        <v>22</v>
      </c>
      <c r="D1296" s="3">
        <f>VLOOKUP(B1296,Sheet2!$A:$O,8,0)</f>
        <v>9975</v>
      </c>
    </row>
    <row r="1297" spans="1:4">
      <c r="A1297" s="8" t="s">
        <v>401</v>
      </c>
      <c r="B1297" s="2">
        <v>1010501</v>
      </c>
      <c r="C1297" s="2" t="s">
        <v>24</v>
      </c>
      <c r="D1297" s="3">
        <f>VLOOKUP(B1297,Sheet2!$A:$O,8,0)</f>
        <v>980</v>
      </c>
    </row>
    <row r="1298" spans="1:4">
      <c r="A1298" s="8" t="s">
        <v>401</v>
      </c>
      <c r="B1298" s="2">
        <v>1010502</v>
      </c>
      <c r="C1298" s="2" t="s">
        <v>216</v>
      </c>
      <c r="D1298" s="3">
        <f>VLOOKUP(B1298,Sheet2!$A:$O,8,0)</f>
        <v>0</v>
      </c>
    </row>
    <row r="1299" spans="1:4">
      <c r="A1299" s="8" t="s">
        <v>401</v>
      </c>
      <c r="B1299" s="2">
        <v>1010601</v>
      </c>
      <c r="C1299" s="2" t="s">
        <v>26</v>
      </c>
      <c r="D1299" s="3">
        <f>VLOOKUP(B1299,Sheet2!$A:$O,8,0)</f>
        <v>0</v>
      </c>
    </row>
    <row r="1300" spans="1:4">
      <c r="A1300" s="8" t="s">
        <v>401</v>
      </c>
      <c r="B1300" s="2">
        <v>1010701</v>
      </c>
      <c r="C1300" s="2" t="s">
        <v>28</v>
      </c>
      <c r="D1300" s="3">
        <f>VLOOKUP(B1300,Sheet2!$A:$O,8,0)</f>
        <v>686</v>
      </c>
    </row>
    <row r="1301" spans="1:4">
      <c r="A1301" s="8" t="s">
        <v>401</v>
      </c>
      <c r="B1301" s="2">
        <v>1010801</v>
      </c>
      <c r="C1301" s="2" t="s">
        <v>30</v>
      </c>
      <c r="D1301" s="3">
        <f>VLOOKUP(B1301,Sheet2!$A:$O,8,0)</f>
        <v>7157</v>
      </c>
    </row>
    <row r="1302" spans="1:4">
      <c r="A1302" s="8" t="s">
        <v>401</v>
      </c>
      <c r="B1302" s="2">
        <v>1010901</v>
      </c>
      <c r="C1302" s="2" t="s">
        <v>32</v>
      </c>
      <c r="D1302" s="3">
        <f>VLOOKUP(B1302,Sheet2!$A:$O,8,0)</f>
        <v>4902</v>
      </c>
    </row>
    <row r="1303" spans="1:4">
      <c r="A1303" s="8" t="s">
        <v>401</v>
      </c>
      <c r="B1303" s="2">
        <v>1020101</v>
      </c>
      <c r="C1303" s="2" t="s">
        <v>34</v>
      </c>
      <c r="D1303" s="3">
        <f>VLOOKUP(B1303,Sheet2!$A:$O,8,0)</f>
        <v>17451</v>
      </c>
    </row>
    <row r="1304" spans="1:4">
      <c r="A1304" s="8" t="s">
        <v>401</v>
      </c>
      <c r="B1304" s="2">
        <v>1020201</v>
      </c>
      <c r="C1304" s="2" t="s">
        <v>217</v>
      </c>
      <c r="D1304" s="3">
        <f>VLOOKUP(B1304,Sheet2!$A:$O,8,0)</f>
        <v>5600</v>
      </c>
    </row>
    <row r="1305" spans="1:4">
      <c r="A1305" s="8" t="s">
        <v>401</v>
      </c>
      <c r="B1305" s="2">
        <v>1020301</v>
      </c>
      <c r="C1305" s="2" t="s">
        <v>38</v>
      </c>
      <c r="D1305" s="3">
        <f>VLOOKUP(B1305,Sheet2!$A:$O,8,0)</f>
        <v>2100</v>
      </c>
    </row>
    <row r="1306" spans="1:4">
      <c r="A1306" s="8" t="s">
        <v>401</v>
      </c>
      <c r="B1306" s="2">
        <v>1020401</v>
      </c>
      <c r="C1306" s="2" t="s">
        <v>40</v>
      </c>
      <c r="D1306" s="3">
        <f>VLOOKUP(B1306,Sheet2!$A:$O,8,0)</f>
        <v>3500</v>
      </c>
    </row>
    <row r="1307" spans="1:4">
      <c r="A1307" s="8" t="s">
        <v>401</v>
      </c>
      <c r="B1307" s="2">
        <v>1030102</v>
      </c>
      <c r="C1307" s="2" t="s">
        <v>218</v>
      </c>
      <c r="D1307" s="3">
        <f>VLOOKUP(B1307,Sheet2!$A:$O,8,0)</f>
        <v>0</v>
      </c>
    </row>
    <row r="1308" spans="1:4">
      <c r="A1308" s="8" t="s">
        <v>401</v>
      </c>
      <c r="B1308" s="2">
        <v>1030201</v>
      </c>
      <c r="C1308" s="2" t="s">
        <v>42</v>
      </c>
      <c r="D1308" s="3">
        <f>VLOOKUP(B1308,Sheet2!$A:$O,8,0)</f>
        <v>2304</v>
      </c>
    </row>
    <row r="1309" spans="1:4">
      <c r="A1309" s="8" t="s">
        <v>401</v>
      </c>
      <c r="B1309" s="2">
        <v>1030203</v>
      </c>
      <c r="C1309" s="2" t="s">
        <v>219</v>
      </c>
      <c r="D1309" s="3">
        <f>VLOOKUP(B1309,Sheet2!$A:$O,8,0)</f>
        <v>0</v>
      </c>
    </row>
    <row r="1310" spans="1:4">
      <c r="A1310" s="8" t="s">
        <v>401</v>
      </c>
      <c r="B1310" s="2">
        <v>1030204</v>
      </c>
      <c r="C1310" s="2" t="s">
        <v>220</v>
      </c>
      <c r="D1310" s="3">
        <f>VLOOKUP(B1310,Sheet2!$A:$O,8,0)</f>
        <v>0</v>
      </c>
    </row>
    <row r="1311" spans="1:4">
      <c r="A1311" s="8" t="s">
        <v>401</v>
      </c>
      <c r="B1311" s="2">
        <v>1030205</v>
      </c>
      <c r="C1311" s="2" t="s">
        <v>44</v>
      </c>
      <c r="D1311" s="3">
        <f>VLOOKUP(B1311,Sheet2!$A:$O,8,0)</f>
        <v>5000</v>
      </c>
    </row>
    <row r="1312" spans="1:4">
      <c r="A1312" s="8" t="s">
        <v>401</v>
      </c>
      <c r="B1312" s="2">
        <v>1030206</v>
      </c>
      <c r="C1312" s="2" t="s">
        <v>46</v>
      </c>
      <c r="D1312" s="3">
        <f>VLOOKUP(B1312,Sheet2!$A:$O,8,0)</f>
        <v>5400</v>
      </c>
    </row>
    <row r="1313" spans="1:4">
      <c r="A1313" s="8" t="s">
        <v>401</v>
      </c>
      <c r="B1313" s="2">
        <v>1030207</v>
      </c>
      <c r="C1313" s="2" t="s">
        <v>48</v>
      </c>
      <c r="D1313" s="3">
        <f>VLOOKUP(B1313,Sheet2!$A:$O,8,0)</f>
        <v>4400</v>
      </c>
    </row>
    <row r="1314" spans="1:4">
      <c r="A1314" s="8" t="s">
        <v>401</v>
      </c>
      <c r="B1314" s="2">
        <v>1030501</v>
      </c>
      <c r="C1314" s="2" t="s">
        <v>50</v>
      </c>
      <c r="D1314" s="3">
        <f>VLOOKUP(B1314,Sheet2!$A:$O,8,0)</f>
        <v>1127</v>
      </c>
    </row>
    <row r="1315" spans="1:4">
      <c r="A1315" s="8" t="s">
        <v>401</v>
      </c>
      <c r="B1315" s="2">
        <v>1030601</v>
      </c>
      <c r="C1315" s="2" t="s">
        <v>52</v>
      </c>
      <c r="D1315" s="3">
        <f>VLOOKUP(B1315,Sheet2!$A:$O,8,0)</f>
        <v>3000</v>
      </c>
    </row>
    <row r="1316" spans="1:4">
      <c r="A1316" s="8" t="s">
        <v>401</v>
      </c>
      <c r="B1316" s="2">
        <v>1030701</v>
      </c>
      <c r="C1316" s="2" t="s">
        <v>221</v>
      </c>
      <c r="D1316" s="3">
        <f>VLOOKUP(B1316,Sheet2!$A:$O,8,0)</f>
        <v>3000</v>
      </c>
    </row>
    <row r="1317" spans="1:4">
      <c r="A1317" s="8" t="s">
        <v>401</v>
      </c>
      <c r="B1317" s="2">
        <v>1030705</v>
      </c>
      <c r="C1317" s="2" t="s">
        <v>222</v>
      </c>
      <c r="D1317" s="3">
        <f>VLOOKUP(B1317,Sheet2!$A:$O,8,0)</f>
        <v>0</v>
      </c>
    </row>
    <row r="1318" spans="1:4">
      <c r="A1318" s="8" t="s">
        <v>401</v>
      </c>
      <c r="B1318" s="2">
        <v>1030801</v>
      </c>
      <c r="C1318" s="2" t="s">
        <v>54</v>
      </c>
      <c r="D1318" s="3">
        <f>VLOOKUP(B1318,Sheet2!$A:$O,8,0)</f>
        <v>1373</v>
      </c>
    </row>
    <row r="1319" spans="1:4">
      <c r="A1319" s="8" t="s">
        <v>401</v>
      </c>
      <c r="B1319" s="2">
        <v>1030901</v>
      </c>
      <c r="C1319" s="2" t="s">
        <v>223</v>
      </c>
      <c r="D1319" s="3">
        <f>VLOOKUP(B1319,Sheet2!$A:$O,8,0)</f>
        <v>0</v>
      </c>
    </row>
    <row r="1320" spans="1:4">
      <c r="A1320" s="8" t="s">
        <v>401</v>
      </c>
      <c r="B1320" s="2">
        <v>1040201</v>
      </c>
      <c r="C1320" s="2" t="s">
        <v>56</v>
      </c>
      <c r="D1320" s="3">
        <f>VLOOKUP(B1320,Sheet2!$A:$O,8,0)</f>
        <v>1500</v>
      </c>
    </row>
    <row r="1321" spans="1:4">
      <c r="A1321" s="8" t="s">
        <v>401</v>
      </c>
      <c r="B1321" s="2">
        <v>1040202</v>
      </c>
      <c r="C1321" s="2" t="s">
        <v>224</v>
      </c>
      <c r="D1321" s="3">
        <f>VLOOKUP(B1321,Sheet2!$A:$O,8,0)</f>
        <v>0</v>
      </c>
    </row>
    <row r="1322" spans="1:4">
      <c r="A1322" s="8" t="s">
        <v>401</v>
      </c>
      <c r="B1322" s="2">
        <v>1040203</v>
      </c>
      <c r="C1322" s="2" t="s">
        <v>225</v>
      </c>
      <c r="D1322" s="3">
        <f>VLOOKUP(B1322,Sheet2!$A:$O,8,0)</f>
        <v>0</v>
      </c>
    </row>
    <row r="1323" spans="1:4">
      <c r="A1323" s="8" t="s">
        <v>401</v>
      </c>
      <c r="B1323" s="2">
        <v>1040204</v>
      </c>
      <c r="C1323" s="2" t="s">
        <v>226</v>
      </c>
      <c r="D1323" s="3">
        <f>VLOOKUP(B1323,Sheet2!$A:$O,8,0)</f>
        <v>7917</v>
      </c>
    </row>
    <row r="1324" spans="1:4">
      <c r="A1324" s="8" t="s">
        <v>401</v>
      </c>
      <c r="B1324" s="2">
        <v>1040301</v>
      </c>
      <c r="C1324" s="2" t="s">
        <v>58</v>
      </c>
      <c r="D1324" s="3">
        <f>VLOOKUP(B1324,Sheet2!$A:$O,8,0)</f>
        <v>1675</v>
      </c>
    </row>
    <row r="1325" spans="1:4">
      <c r="A1325" s="8" t="s">
        <v>401</v>
      </c>
      <c r="B1325" s="2">
        <v>1040401</v>
      </c>
      <c r="C1325" s="2" t="s">
        <v>227</v>
      </c>
      <c r="D1325" s="3">
        <f>VLOOKUP(B1325,Sheet2!$A:$O,8,0)</f>
        <v>0</v>
      </c>
    </row>
    <row r="1326" spans="1:4">
      <c r="A1326" s="8" t="s">
        <v>401</v>
      </c>
      <c r="B1326" s="2">
        <v>1050102</v>
      </c>
      <c r="C1326" s="2" t="s">
        <v>60</v>
      </c>
      <c r="D1326" s="3">
        <f>VLOOKUP(B1326,Sheet2!$A:$O,8,0)</f>
        <v>29500</v>
      </c>
    </row>
    <row r="1327" spans="1:4">
      <c r="A1327" s="8" t="s">
        <v>401</v>
      </c>
      <c r="B1327" s="2">
        <v>1050103</v>
      </c>
      <c r="C1327" s="2" t="s">
        <v>228</v>
      </c>
      <c r="D1327" s="3">
        <f>VLOOKUP(B1327,Sheet2!$A:$O,8,0)</f>
        <v>11275</v>
      </c>
    </row>
    <row r="1328" spans="1:4">
      <c r="A1328" s="8" t="s">
        <v>401</v>
      </c>
      <c r="B1328" s="2">
        <v>1050301</v>
      </c>
      <c r="C1328" s="2" t="s">
        <v>62</v>
      </c>
      <c r="D1328" s="3">
        <f>VLOOKUP(B1328,Sheet2!$A:$O,8,0)</f>
        <v>9804</v>
      </c>
    </row>
    <row r="1329" spans="1:4">
      <c r="A1329" s="8" t="s">
        <v>401</v>
      </c>
      <c r="B1329" s="2">
        <v>1050401</v>
      </c>
      <c r="C1329" s="2" t="s">
        <v>64</v>
      </c>
      <c r="D1329" s="3">
        <f>VLOOKUP(B1329,Sheet2!$A:$O,8,0)</f>
        <v>8824</v>
      </c>
    </row>
    <row r="1330" spans="1:4">
      <c r="A1330" s="8" t="s">
        <v>401</v>
      </c>
      <c r="B1330" s="2">
        <v>1050501</v>
      </c>
      <c r="C1330" s="2" t="s">
        <v>66</v>
      </c>
      <c r="D1330" s="3">
        <f>VLOOKUP(B1330,Sheet2!$A:$O,8,0)</f>
        <v>10784</v>
      </c>
    </row>
    <row r="1331" spans="1:4">
      <c r="A1331" s="8" t="s">
        <v>401</v>
      </c>
      <c r="B1331" s="2">
        <v>1050511</v>
      </c>
      <c r="C1331" s="2" t="s">
        <v>68</v>
      </c>
      <c r="D1331" s="3">
        <f>VLOOKUP(B1331,Sheet2!$A:$O,8,0)</f>
        <v>18000</v>
      </c>
    </row>
    <row r="1332" spans="1:4">
      <c r="A1332" s="8" t="s">
        <v>401</v>
      </c>
      <c r="B1332" s="2">
        <v>1050512</v>
      </c>
      <c r="C1332" s="2" t="s">
        <v>229</v>
      </c>
      <c r="D1332" s="3">
        <f>VLOOKUP(B1332,Sheet2!$A:$O,8,0)</f>
        <v>0</v>
      </c>
    </row>
    <row r="1333" spans="1:4">
      <c r="A1333" s="8" t="s">
        <v>401</v>
      </c>
      <c r="B1333" s="2">
        <v>1050521</v>
      </c>
      <c r="C1333" s="2" t="s">
        <v>70</v>
      </c>
      <c r="D1333" s="3">
        <f>VLOOKUP(B1333,Sheet2!$A:$O,8,0)</f>
        <v>14706</v>
      </c>
    </row>
    <row r="1334" spans="1:4">
      <c r="A1334" s="8" t="s">
        <v>401</v>
      </c>
      <c r="B1334" s="2">
        <v>1050531</v>
      </c>
      <c r="C1334" s="2" t="s">
        <v>72</v>
      </c>
      <c r="D1334" s="3">
        <f>VLOOKUP(B1334,Sheet2!$A:$O,8,0)</f>
        <v>21000</v>
      </c>
    </row>
    <row r="1335" spans="1:4">
      <c r="A1335" s="8" t="s">
        <v>401</v>
      </c>
      <c r="B1335" s="2">
        <v>1050541</v>
      </c>
      <c r="C1335" s="2" t="s">
        <v>74</v>
      </c>
      <c r="D1335" s="3">
        <f>VLOOKUP(B1335,Sheet2!$A:$O,8,0)</f>
        <v>11000</v>
      </c>
    </row>
    <row r="1336" spans="1:4">
      <c r="A1336" s="8" t="s">
        <v>401</v>
      </c>
      <c r="B1336" s="2">
        <v>1050551</v>
      </c>
      <c r="C1336" s="2" t="s">
        <v>76</v>
      </c>
      <c r="D1336" s="3">
        <f>VLOOKUP(B1336,Sheet2!$A:$O,8,0)</f>
        <v>54000</v>
      </c>
    </row>
    <row r="1337" spans="1:4">
      <c r="A1337" s="8" t="s">
        <v>401</v>
      </c>
      <c r="B1337" s="2">
        <v>1050561</v>
      </c>
      <c r="C1337" s="2" t="s">
        <v>78</v>
      </c>
      <c r="D1337" s="3">
        <f>VLOOKUP(B1337,Sheet2!$A:$O,8,0)</f>
        <v>98000</v>
      </c>
    </row>
    <row r="1338" spans="1:4">
      <c r="A1338" s="8" t="s">
        <v>401</v>
      </c>
      <c r="B1338" s="2">
        <v>1050571</v>
      </c>
      <c r="C1338" s="2" t="s">
        <v>80</v>
      </c>
      <c r="D1338" s="3">
        <f>VLOOKUP(B1338,Sheet2!$A:$O,8,0)</f>
        <v>58600</v>
      </c>
    </row>
    <row r="1339" spans="1:4">
      <c r="A1339" s="8" t="s">
        <v>401</v>
      </c>
      <c r="B1339" s="2">
        <v>1050581</v>
      </c>
      <c r="C1339" s="2" t="s">
        <v>82</v>
      </c>
      <c r="D1339" s="3">
        <f>VLOOKUP(B1339,Sheet2!$A:$O,8,0)</f>
        <v>57000</v>
      </c>
    </row>
    <row r="1340" spans="1:4">
      <c r="A1340" s="8" t="s">
        <v>401</v>
      </c>
      <c r="B1340" s="2">
        <v>1050591</v>
      </c>
      <c r="C1340" s="2" t="s">
        <v>84</v>
      </c>
      <c r="D1340" s="3">
        <f>VLOOKUP(B1340,Sheet2!$A:$O,8,0)</f>
        <v>97750</v>
      </c>
    </row>
    <row r="1341" spans="1:4">
      <c r="A1341" s="8" t="s">
        <v>401</v>
      </c>
      <c r="B1341" s="2">
        <v>1050601</v>
      </c>
      <c r="C1341" s="2" t="s">
        <v>86</v>
      </c>
      <c r="D1341" s="3">
        <f>VLOOKUP(B1341,Sheet2!$A:$O,8,0)</f>
        <v>5900</v>
      </c>
    </row>
    <row r="1342" spans="1:4">
      <c r="A1342" s="8" t="s">
        <v>401</v>
      </c>
      <c r="B1342" s="2">
        <v>1050701</v>
      </c>
      <c r="C1342" s="2" t="s">
        <v>88</v>
      </c>
      <c r="D1342" s="3">
        <f>VLOOKUP(B1342,Sheet2!$A:$O,8,0)</f>
        <v>5700</v>
      </c>
    </row>
    <row r="1343" spans="1:4">
      <c r="A1343" s="8" t="s">
        <v>401</v>
      </c>
      <c r="B1343" s="2">
        <v>1050702</v>
      </c>
      <c r="C1343" s="2" t="s">
        <v>90</v>
      </c>
      <c r="D1343" s="3">
        <f>VLOOKUP(B1343,Sheet2!$A:$O,8,0)</f>
        <v>5700</v>
      </c>
    </row>
    <row r="1344" spans="1:4">
      <c r="A1344" s="8" t="s">
        <v>401</v>
      </c>
      <c r="B1344" s="2">
        <v>1050711</v>
      </c>
      <c r="C1344" s="2" t="s">
        <v>92</v>
      </c>
      <c r="D1344" s="3">
        <f>VLOOKUP(B1344,Sheet2!$A:$O,8,0)</f>
        <v>2900</v>
      </c>
    </row>
    <row r="1345" spans="1:4">
      <c r="A1345" s="8" t="s">
        <v>401</v>
      </c>
      <c r="B1345" s="2">
        <v>1050721</v>
      </c>
      <c r="C1345" s="2" t="s">
        <v>94</v>
      </c>
      <c r="D1345" s="3">
        <f>VLOOKUP(B1345,Sheet2!$A:$O,8,0)</f>
        <v>14800</v>
      </c>
    </row>
    <row r="1346" spans="1:4">
      <c r="A1346" s="8" t="s">
        <v>401</v>
      </c>
      <c r="B1346" s="2">
        <v>1050801</v>
      </c>
      <c r="C1346" s="2" t="s">
        <v>7</v>
      </c>
      <c r="D1346" s="3">
        <f>VLOOKUP(B1346,Sheet2!$A:$O,8,0)</f>
        <v>1046</v>
      </c>
    </row>
    <row r="1347" spans="1:4">
      <c r="A1347" s="8" t="s">
        <v>401</v>
      </c>
      <c r="B1347" s="2">
        <v>1050901</v>
      </c>
      <c r="C1347" s="2" t="s">
        <v>96</v>
      </c>
      <c r="D1347" s="3">
        <f>VLOOKUP(B1347,Sheet2!$A:$O,8,0)</f>
        <v>1452</v>
      </c>
    </row>
    <row r="1348" spans="1:4">
      <c r="A1348" s="8" t="s">
        <v>401</v>
      </c>
      <c r="B1348" s="2">
        <v>1060101</v>
      </c>
      <c r="C1348" s="2" t="s">
        <v>98</v>
      </c>
      <c r="D1348" s="3">
        <f>VLOOKUP(B1348,Sheet2!$A:$O,8,0)</f>
        <v>2201</v>
      </c>
    </row>
    <row r="1349" spans="1:4">
      <c r="A1349" s="8" t="s">
        <v>401</v>
      </c>
      <c r="B1349" s="2">
        <v>1060401</v>
      </c>
      <c r="C1349" s="2" t="s">
        <v>100</v>
      </c>
      <c r="D1349" s="3">
        <f>VLOOKUP(B1349,Sheet2!$A:$O,8,0)</f>
        <v>71000</v>
      </c>
    </row>
    <row r="1350" spans="1:4">
      <c r="A1350" s="8" t="s">
        <v>401</v>
      </c>
      <c r="B1350" s="2">
        <v>1060412</v>
      </c>
      <c r="C1350" s="2" t="s">
        <v>230</v>
      </c>
      <c r="D1350" s="3">
        <f>VLOOKUP(B1350,Sheet2!$A:$O,8,0)</f>
        <v>33000</v>
      </c>
    </row>
    <row r="1351" spans="1:4">
      <c r="A1351" s="8" t="s">
        <v>401</v>
      </c>
      <c r="B1351" s="2">
        <v>1060421</v>
      </c>
      <c r="C1351" s="2" t="s">
        <v>104</v>
      </c>
      <c r="D1351" s="3">
        <f>VLOOKUP(B1351,Sheet2!$A:$O,8,0)</f>
        <v>76000</v>
      </c>
    </row>
    <row r="1352" spans="1:4">
      <c r="A1352" s="8" t="s">
        <v>401</v>
      </c>
      <c r="B1352" s="2">
        <v>1060441</v>
      </c>
      <c r="C1352" s="2" t="s">
        <v>106</v>
      </c>
      <c r="D1352" s="3">
        <f>VLOOKUP(B1352,Sheet2!$A:$O,8,0)</f>
        <v>5200</v>
      </c>
    </row>
    <row r="1353" spans="1:4">
      <c r="A1353" s="8" t="s">
        <v>401</v>
      </c>
      <c r="B1353" s="2">
        <v>1060451</v>
      </c>
      <c r="C1353" s="2" t="s">
        <v>108</v>
      </c>
      <c r="D1353" s="3">
        <f>VLOOKUP(B1353,Sheet2!$A:$O,8,0)</f>
        <v>38235</v>
      </c>
    </row>
    <row r="1354" spans="1:4">
      <c r="A1354" s="8" t="s">
        <v>401</v>
      </c>
      <c r="B1354" s="2">
        <v>1070101</v>
      </c>
      <c r="C1354" s="2" t="s">
        <v>110</v>
      </c>
      <c r="D1354" s="3">
        <f>VLOOKUP(B1354,Sheet2!$A:$O,8,0)</f>
        <v>3620</v>
      </c>
    </row>
    <row r="1355" spans="1:4">
      <c r="A1355" s="8" t="s">
        <v>401</v>
      </c>
      <c r="B1355" s="2">
        <v>1070301</v>
      </c>
      <c r="C1355" s="2" t="s">
        <v>112</v>
      </c>
      <c r="D1355" s="3">
        <f>VLOOKUP(B1355,Sheet2!$A:$O,8,0)</f>
        <v>35000</v>
      </c>
    </row>
    <row r="1356" spans="1:4">
      <c r="A1356" s="8" t="s">
        <v>401</v>
      </c>
      <c r="B1356" s="2">
        <v>1070401</v>
      </c>
      <c r="C1356" s="2" t="s">
        <v>114</v>
      </c>
      <c r="D1356" s="3">
        <f>VLOOKUP(B1356,Sheet2!$A:$O,8,0)</f>
        <v>12000</v>
      </c>
    </row>
    <row r="1357" spans="1:4">
      <c r="A1357" s="8" t="s">
        <v>401</v>
      </c>
      <c r="B1357" s="2">
        <v>1070501</v>
      </c>
      <c r="C1357" s="2" t="s">
        <v>231</v>
      </c>
      <c r="D1357" s="3">
        <f>VLOOKUP(B1357,Sheet2!$A:$O,8,0)</f>
        <v>5500</v>
      </c>
    </row>
    <row r="1358" spans="1:4">
      <c r="A1358" s="8" t="s">
        <v>401</v>
      </c>
      <c r="B1358" s="2">
        <v>1070701</v>
      </c>
      <c r="C1358" s="2" t="s">
        <v>118</v>
      </c>
      <c r="D1358" s="3">
        <f>VLOOKUP(B1358,Sheet2!$A:$O,8,0)</f>
        <v>36000</v>
      </c>
    </row>
    <row r="1359" spans="1:4">
      <c r="A1359" s="8" t="s">
        <v>401</v>
      </c>
      <c r="B1359" s="2">
        <v>1070801</v>
      </c>
      <c r="C1359" s="2" t="s">
        <v>232</v>
      </c>
      <c r="D1359" s="3">
        <f>VLOOKUP(B1359,Sheet2!$A:$O,8,0)</f>
        <v>35000</v>
      </c>
    </row>
    <row r="1360" spans="1:4">
      <c r="A1360" s="8" t="s">
        <v>401</v>
      </c>
      <c r="B1360" s="2">
        <v>1080101</v>
      </c>
      <c r="C1360" s="2" t="s">
        <v>120</v>
      </c>
      <c r="D1360" s="3">
        <f>VLOOKUP(B1360,Sheet2!$A:$O,8,0)</f>
        <v>11000</v>
      </c>
    </row>
    <row r="1361" spans="1:4">
      <c r="A1361" s="8" t="s">
        <v>401</v>
      </c>
      <c r="B1361" s="2">
        <v>1080201</v>
      </c>
      <c r="C1361" s="2" t="s">
        <v>122</v>
      </c>
      <c r="D1361" s="3">
        <f>VLOOKUP(B1361,Sheet2!$A:$O,8,0)</f>
        <v>540</v>
      </c>
    </row>
    <row r="1362" spans="1:4">
      <c r="A1362" s="8" t="s">
        <v>401</v>
      </c>
      <c r="B1362" s="2">
        <v>1080301</v>
      </c>
      <c r="C1362" s="2" t="s">
        <v>124</v>
      </c>
      <c r="D1362" s="3">
        <f>VLOOKUP(B1362,Sheet2!$A:$O,8,0)</f>
        <v>1550</v>
      </c>
    </row>
    <row r="1363" spans="1:4">
      <c r="A1363" s="8" t="s">
        <v>401</v>
      </c>
      <c r="B1363" s="2">
        <v>1080401</v>
      </c>
      <c r="C1363" s="2" t="s">
        <v>233</v>
      </c>
      <c r="D1363" s="3">
        <f>VLOOKUP(B1363,Sheet2!$A:$O,8,0)</f>
        <v>3300</v>
      </c>
    </row>
    <row r="1364" spans="1:4">
      <c r="A1364" s="8" t="s">
        <v>401</v>
      </c>
      <c r="B1364" s="2">
        <v>1080411</v>
      </c>
      <c r="C1364" s="2" t="s">
        <v>128</v>
      </c>
      <c r="D1364" s="3">
        <f>VLOOKUP(B1364,Sheet2!$A:$O,8,0)</f>
        <v>3300</v>
      </c>
    </row>
    <row r="1365" spans="1:4">
      <c r="A1365" s="8" t="s">
        <v>401</v>
      </c>
      <c r="B1365" s="2">
        <v>1080501</v>
      </c>
      <c r="C1365" s="2" t="s">
        <v>130</v>
      </c>
      <c r="D1365" s="3">
        <f>VLOOKUP(B1365,Sheet2!$A:$O,8,0)</f>
        <v>3800</v>
      </c>
    </row>
    <row r="1366" spans="1:4">
      <c r="A1366" s="8" t="s">
        <v>401</v>
      </c>
      <c r="B1366" s="2">
        <v>1080602</v>
      </c>
      <c r="C1366" s="2" t="s">
        <v>234</v>
      </c>
      <c r="D1366" s="3">
        <f>VLOOKUP(B1366,Sheet2!$A:$O,8,0)</f>
        <v>37600</v>
      </c>
    </row>
    <row r="1367" spans="1:4">
      <c r="A1367" s="8" t="s">
        <v>401</v>
      </c>
      <c r="B1367" s="2">
        <v>1080604</v>
      </c>
      <c r="C1367" s="2" t="s">
        <v>235</v>
      </c>
      <c r="D1367" s="3">
        <f>VLOOKUP(B1367,Sheet2!$A:$O,8,0)</f>
        <v>0</v>
      </c>
    </row>
    <row r="1368" spans="1:4">
      <c r="A1368" s="8" t="s">
        <v>401</v>
      </c>
      <c r="B1368" s="2">
        <v>1080702</v>
      </c>
      <c r="C1368" s="2" t="s">
        <v>236</v>
      </c>
      <c r="D1368" s="3">
        <f>VLOOKUP(B1368,Sheet2!$A:$O,8,0)</f>
        <v>42500</v>
      </c>
    </row>
    <row r="1369" spans="1:4">
      <c r="A1369" s="8" t="s">
        <v>401</v>
      </c>
      <c r="B1369" s="2">
        <v>1080704</v>
      </c>
      <c r="C1369" s="2" t="s">
        <v>237</v>
      </c>
      <c r="D1369" s="3">
        <f>VLOOKUP(B1369,Sheet2!$A:$O,8,0)</f>
        <v>0</v>
      </c>
    </row>
    <row r="1370" spans="1:4">
      <c r="A1370" s="8" t="s">
        <v>401</v>
      </c>
      <c r="B1370" s="2">
        <v>1090104</v>
      </c>
      <c r="C1370" s="2" t="s">
        <v>136</v>
      </c>
      <c r="D1370" s="3">
        <f>VLOOKUP(B1370,Sheet2!$A:$O,8,0)</f>
        <v>40000</v>
      </c>
    </row>
    <row r="1371" spans="1:4">
      <c r="A1371" s="8" t="s">
        <v>401</v>
      </c>
      <c r="B1371" s="2">
        <v>1090112</v>
      </c>
      <c r="C1371" s="2" t="s">
        <v>138</v>
      </c>
      <c r="D1371" s="3">
        <f>VLOOKUP(B1371,Sheet2!$A:$O,8,0)</f>
        <v>35000</v>
      </c>
    </row>
    <row r="1372" spans="1:4">
      <c r="A1372" s="8" t="s">
        <v>401</v>
      </c>
      <c r="B1372" s="2">
        <v>1090201</v>
      </c>
      <c r="C1372" s="2" t="s">
        <v>140</v>
      </c>
      <c r="D1372" s="3">
        <f>VLOOKUP(B1372,Sheet2!$A:$O,8,0)</f>
        <v>15800</v>
      </c>
    </row>
    <row r="1373" spans="1:4">
      <c r="A1373" s="8" t="s">
        <v>401</v>
      </c>
      <c r="B1373" s="2">
        <v>1090202</v>
      </c>
      <c r="C1373" s="2" t="s">
        <v>142</v>
      </c>
      <c r="D1373" s="3">
        <f>VLOOKUP(B1373,Sheet2!$A:$O,8,0)</f>
        <v>98000</v>
      </c>
    </row>
    <row r="1374" spans="1:4">
      <c r="A1374" s="8" t="s">
        <v>401</v>
      </c>
      <c r="B1374" s="2">
        <v>1090203</v>
      </c>
      <c r="C1374" s="2" t="s">
        <v>144</v>
      </c>
      <c r="D1374" s="3">
        <f>VLOOKUP(B1374,Sheet2!$A:$O,8,0)</f>
        <v>23000</v>
      </c>
    </row>
    <row r="1375" spans="1:4">
      <c r="A1375" s="8" t="s">
        <v>401</v>
      </c>
      <c r="B1375" s="2">
        <v>1090211</v>
      </c>
      <c r="C1375" s="2" t="s">
        <v>146</v>
      </c>
      <c r="D1375" s="3">
        <f>VLOOKUP(B1375,Sheet2!$A:$O,8,0)</f>
        <v>67647</v>
      </c>
    </row>
    <row r="1376" spans="1:4">
      <c r="A1376" s="8" t="s">
        <v>401</v>
      </c>
      <c r="B1376" s="2">
        <v>1090301</v>
      </c>
      <c r="C1376" s="2" t="s">
        <v>238</v>
      </c>
      <c r="D1376" s="3">
        <f>VLOOKUP(B1376,Sheet2!$A:$O,8,0)</f>
        <v>32000</v>
      </c>
    </row>
    <row r="1377" spans="1:4">
      <c r="A1377" s="8" t="s">
        <v>401</v>
      </c>
      <c r="B1377" s="2">
        <v>1090311</v>
      </c>
      <c r="C1377" s="2" t="s">
        <v>150</v>
      </c>
      <c r="D1377" s="3">
        <f>VLOOKUP(B1377,Sheet2!$A:$O,8,0)</f>
        <v>37000</v>
      </c>
    </row>
    <row r="1378" spans="1:4">
      <c r="A1378" s="8" t="s">
        <v>401</v>
      </c>
      <c r="B1378" s="2">
        <v>1090321</v>
      </c>
      <c r="C1378" s="2" t="s">
        <v>152</v>
      </c>
      <c r="D1378" s="3">
        <f>VLOOKUP(B1378,Sheet2!$A:$O,8,0)</f>
        <v>75000</v>
      </c>
    </row>
    <row r="1379" spans="1:4">
      <c r="A1379" s="8" t="s">
        <v>401</v>
      </c>
      <c r="B1379" s="2">
        <v>1090401</v>
      </c>
      <c r="C1379" s="2" t="s">
        <v>154</v>
      </c>
      <c r="D1379" s="3">
        <f>VLOOKUP(B1379,Sheet2!$A:$O,8,0)</f>
        <v>8300</v>
      </c>
    </row>
    <row r="1380" spans="1:4">
      <c r="A1380" s="8" t="s">
        <v>401</v>
      </c>
      <c r="B1380" s="2">
        <v>1090411</v>
      </c>
      <c r="C1380" s="2" t="s">
        <v>156</v>
      </c>
      <c r="D1380" s="3">
        <f>VLOOKUP(B1380,Sheet2!$A:$O,8,0)</f>
        <v>45000</v>
      </c>
    </row>
    <row r="1381" spans="1:4">
      <c r="A1381" s="8" t="s">
        <v>401</v>
      </c>
      <c r="B1381" s="2">
        <v>1090421</v>
      </c>
      <c r="C1381" s="2" t="s">
        <v>158</v>
      </c>
      <c r="D1381" s="3">
        <f>VLOOKUP(B1381,Sheet2!$A:$O,8,0)</f>
        <v>36000</v>
      </c>
    </row>
    <row r="1382" spans="1:4">
      <c r="A1382" s="8" t="s">
        <v>401</v>
      </c>
      <c r="B1382" s="2">
        <v>1090551</v>
      </c>
      <c r="C1382" s="2" t="s">
        <v>239</v>
      </c>
      <c r="D1382" s="3">
        <f>VLOOKUP(B1382,Sheet2!$A:$O,8,0)</f>
        <v>4900</v>
      </c>
    </row>
    <row r="1383" spans="1:4">
      <c r="A1383" s="8" t="s">
        <v>401</v>
      </c>
      <c r="B1383" s="2">
        <v>1090602</v>
      </c>
      <c r="C1383" s="2" t="s">
        <v>162</v>
      </c>
      <c r="D1383" s="3">
        <f>VLOOKUP(B1383,Sheet2!$A:$O,8,0)</f>
        <v>5130</v>
      </c>
    </row>
    <row r="1384" spans="1:4">
      <c r="A1384" s="8" t="s">
        <v>401</v>
      </c>
      <c r="B1384" s="2">
        <v>1090611</v>
      </c>
      <c r="C1384" s="2" t="s">
        <v>164</v>
      </c>
      <c r="D1384" s="3">
        <f>VLOOKUP(B1384,Sheet2!$A:$O,8,0)</f>
        <v>4203</v>
      </c>
    </row>
    <row r="1385" spans="1:4">
      <c r="A1385" s="8" t="s">
        <v>401</v>
      </c>
      <c r="B1385" s="2">
        <v>1090701</v>
      </c>
      <c r="C1385" s="2" t="s">
        <v>166</v>
      </c>
      <c r="D1385" s="3">
        <f>VLOOKUP(B1385,Sheet2!$A:$O,8,0)</f>
        <v>21000</v>
      </c>
    </row>
    <row r="1386" spans="1:4">
      <c r="A1386" s="8" t="s">
        <v>401</v>
      </c>
      <c r="B1386" s="2">
        <v>1090901</v>
      </c>
      <c r="C1386" s="2" t="s">
        <v>168</v>
      </c>
      <c r="D1386" s="3">
        <f>VLOOKUP(B1386,Sheet2!$A:$O,8,0)</f>
        <v>4300</v>
      </c>
    </row>
    <row r="1387" spans="1:4">
      <c r="A1387" s="8" t="s">
        <v>401</v>
      </c>
      <c r="B1387" s="2">
        <v>1091001</v>
      </c>
      <c r="C1387" s="2" t="s">
        <v>170</v>
      </c>
      <c r="D1387" s="3">
        <f>VLOOKUP(B1387,Sheet2!$A:$O,8,0)</f>
        <v>7000</v>
      </c>
    </row>
    <row r="1388" spans="1:4">
      <c r="A1388" s="8" t="s">
        <v>401</v>
      </c>
      <c r="B1388" s="2">
        <v>1091002</v>
      </c>
      <c r="C1388" s="2" t="s">
        <v>172</v>
      </c>
      <c r="D1388" s="3">
        <f>VLOOKUP(B1388,Sheet2!$A:$O,8,0)</f>
        <v>6373</v>
      </c>
    </row>
    <row r="1389" spans="1:4">
      <c r="A1389" s="8" t="s">
        <v>401</v>
      </c>
      <c r="B1389" s="2">
        <v>1091003</v>
      </c>
      <c r="C1389" s="2" t="s">
        <v>174</v>
      </c>
      <c r="D1389" s="3">
        <f>VLOOKUP(B1389,Sheet2!$A:$O,8,0)</f>
        <v>10354</v>
      </c>
    </row>
    <row r="1390" spans="1:4">
      <c r="A1390" s="8" t="s">
        <v>401</v>
      </c>
      <c r="B1390" s="2">
        <v>1091004</v>
      </c>
      <c r="C1390" s="2" t="s">
        <v>240</v>
      </c>
      <c r="D1390" s="3">
        <f>VLOOKUP(B1390,Sheet2!$A:$O,8,0)</f>
        <v>0</v>
      </c>
    </row>
    <row r="1391" spans="1:4">
      <c r="A1391" s="8" t="s">
        <v>401</v>
      </c>
      <c r="B1391" s="2">
        <v>1091005</v>
      </c>
      <c r="C1391" s="2" t="s">
        <v>241</v>
      </c>
      <c r="D1391" s="3">
        <f>VLOOKUP(B1391,Sheet2!$A:$O,8,0)</f>
        <v>0</v>
      </c>
    </row>
    <row r="1392" spans="1:4">
      <c r="A1392" s="8" t="s">
        <v>401</v>
      </c>
      <c r="B1392" s="2">
        <v>1091006</v>
      </c>
      <c r="C1392" s="2" t="s">
        <v>242</v>
      </c>
      <c r="D1392" s="3">
        <f>VLOOKUP(B1392,Sheet2!$A:$O,8,0)</f>
        <v>0</v>
      </c>
    </row>
    <row r="1393" spans="1:4">
      <c r="A1393" s="8" t="s">
        <v>401</v>
      </c>
      <c r="B1393" s="2">
        <v>1091007</v>
      </c>
      <c r="C1393" s="2" t="s">
        <v>243</v>
      </c>
      <c r="D1393" s="3">
        <f>VLOOKUP(B1393,Sheet2!$A:$O,8,0)</f>
        <v>2640</v>
      </c>
    </row>
    <row r="1394" spans="1:4">
      <c r="A1394" s="8" t="s">
        <v>401</v>
      </c>
      <c r="B1394" s="2">
        <v>1091008</v>
      </c>
      <c r="C1394" s="2" t="s">
        <v>176</v>
      </c>
      <c r="D1394" s="3">
        <f>VLOOKUP(B1394,Sheet2!$A:$O,8,0)</f>
        <v>0</v>
      </c>
    </row>
    <row r="1395" spans="1:4">
      <c r="A1395" s="8" t="s">
        <v>401</v>
      </c>
      <c r="B1395" s="2">
        <v>1091009</v>
      </c>
      <c r="C1395" s="2" t="s">
        <v>178</v>
      </c>
      <c r="D1395" s="3">
        <f>VLOOKUP(B1395,Sheet2!$A:$O,8,0)</f>
        <v>0</v>
      </c>
    </row>
    <row r="1396" spans="1:4">
      <c r="A1396" s="8" t="s">
        <v>401</v>
      </c>
      <c r="B1396" s="2">
        <v>1091010</v>
      </c>
      <c r="C1396" s="2" t="s">
        <v>180</v>
      </c>
      <c r="D1396" s="3">
        <f>VLOOKUP(B1396,Sheet2!$A:$O,8,0)</f>
        <v>27000</v>
      </c>
    </row>
    <row r="1397" spans="1:4">
      <c r="A1397" s="8" t="s">
        <v>401</v>
      </c>
      <c r="B1397" s="2">
        <v>1091011</v>
      </c>
      <c r="C1397" s="2" t="s">
        <v>182</v>
      </c>
      <c r="D1397" s="3">
        <f>VLOOKUP(B1397,Sheet2!$A:$O,8,0)</f>
        <v>33000</v>
      </c>
    </row>
    <row r="1398" spans="1:4">
      <c r="A1398" s="8" t="s">
        <v>401</v>
      </c>
      <c r="B1398" s="2">
        <v>1091012</v>
      </c>
      <c r="C1398" s="2" t="s">
        <v>184</v>
      </c>
      <c r="D1398" s="3">
        <f>VLOOKUP(B1398,Sheet2!$A:$O,8,0)</f>
        <v>47000</v>
      </c>
    </row>
    <row r="1399" spans="1:4">
      <c r="A1399" s="8" t="s">
        <v>401</v>
      </c>
      <c r="B1399" s="2">
        <v>1091013</v>
      </c>
      <c r="C1399" s="2" t="s">
        <v>186</v>
      </c>
      <c r="D1399" s="3">
        <f>VLOOKUP(B1399,Sheet2!$A:$O,8,0)</f>
        <v>33000</v>
      </c>
    </row>
    <row r="1400" spans="1:4">
      <c r="A1400" s="8" t="s">
        <v>401</v>
      </c>
      <c r="B1400" s="2">
        <v>1091014</v>
      </c>
      <c r="C1400" s="2" t="s">
        <v>244</v>
      </c>
      <c r="D1400" s="3">
        <f>VLOOKUP(B1400,Sheet2!$A:$O,8,0)</f>
        <v>6961</v>
      </c>
    </row>
    <row r="1401" spans="1:4">
      <c r="A1401" s="8" t="s">
        <v>401</v>
      </c>
      <c r="B1401" s="2">
        <v>1091015</v>
      </c>
      <c r="C1401" s="2" t="s">
        <v>245</v>
      </c>
      <c r="D1401" s="3">
        <f>VLOOKUP(B1401,Sheet2!$A:$O,8,0)</f>
        <v>25490</v>
      </c>
    </row>
    <row r="1402" spans="1:4">
      <c r="A1402" s="8" t="s">
        <v>401</v>
      </c>
      <c r="B1402" s="2">
        <v>1091016</v>
      </c>
      <c r="C1402" s="2" t="s">
        <v>246</v>
      </c>
      <c r="D1402" s="3">
        <f>VLOOKUP(B1402,Sheet2!$A:$O,8,0)</f>
        <v>54594</v>
      </c>
    </row>
    <row r="1403" spans="1:4">
      <c r="A1403" s="8" t="s">
        <v>401</v>
      </c>
      <c r="B1403" s="2">
        <v>1091017</v>
      </c>
      <c r="C1403" s="2" t="s">
        <v>247</v>
      </c>
      <c r="D1403" s="3">
        <f>VLOOKUP(B1403,Sheet2!$A:$O,8,0)</f>
        <v>0</v>
      </c>
    </row>
    <row r="1404" spans="1:4">
      <c r="A1404" s="8" t="s">
        <v>401</v>
      </c>
      <c r="B1404" s="2">
        <v>1091018</v>
      </c>
      <c r="C1404" s="2" t="s">
        <v>248</v>
      </c>
      <c r="D1404" s="3">
        <f>VLOOKUP(B1404,Sheet2!$A:$O,8,0)</f>
        <v>0</v>
      </c>
    </row>
    <row r="1405" spans="1:4">
      <c r="A1405" s="8" t="s">
        <v>401</v>
      </c>
      <c r="B1405" s="2">
        <v>1091019</v>
      </c>
      <c r="C1405" s="2" t="s">
        <v>249</v>
      </c>
      <c r="D1405" s="3">
        <f>VLOOKUP(B1405,Sheet2!$A:$O,8,0)</f>
        <v>53387</v>
      </c>
    </row>
    <row r="1406" spans="1:4">
      <c r="A1406" s="8" t="s">
        <v>401</v>
      </c>
      <c r="B1406" s="2">
        <v>1091020</v>
      </c>
      <c r="C1406" s="2" t="s">
        <v>250</v>
      </c>
      <c r="D1406" s="3">
        <f>VLOOKUP(B1406,Sheet2!$A:$O,8,0)</f>
        <v>62745</v>
      </c>
    </row>
    <row r="1407" spans="1:4">
      <c r="A1407" s="8" t="s">
        <v>401</v>
      </c>
      <c r="B1407" s="2">
        <v>1091021</v>
      </c>
      <c r="C1407" s="2" t="s">
        <v>251</v>
      </c>
      <c r="D1407" s="3">
        <f>VLOOKUP(B1407,Sheet2!$A:$O,8,0)</f>
        <v>53922</v>
      </c>
    </row>
    <row r="1408" spans="1:4">
      <c r="A1408" s="8" t="s">
        <v>401</v>
      </c>
      <c r="B1408" s="2">
        <v>1091022</v>
      </c>
      <c r="C1408" s="2" t="s">
        <v>252</v>
      </c>
      <c r="D1408" s="3">
        <f>VLOOKUP(B1408,Sheet2!$A:$O,8,0)</f>
        <v>3235</v>
      </c>
    </row>
    <row r="1409" spans="1:4">
      <c r="A1409" s="8" t="s">
        <v>401</v>
      </c>
      <c r="B1409" s="2">
        <v>1091023</v>
      </c>
      <c r="C1409" s="2" t="s">
        <v>253</v>
      </c>
      <c r="D1409" s="3">
        <f>VLOOKUP(B1409,Sheet2!$A:$O,8,0)</f>
        <v>4412</v>
      </c>
    </row>
    <row r="1410" spans="1:4">
      <c r="A1410" s="8" t="s">
        <v>401</v>
      </c>
      <c r="B1410" s="2">
        <v>1091024</v>
      </c>
      <c r="C1410" s="2" t="s">
        <v>254</v>
      </c>
      <c r="D1410" s="3">
        <f>VLOOKUP(B1410,Sheet2!$A:$O,8,0)</f>
        <v>3922</v>
      </c>
    </row>
    <row r="1411" spans="1:4">
      <c r="A1411" s="8" t="s">
        <v>401</v>
      </c>
      <c r="B1411" s="2">
        <v>1091025</v>
      </c>
      <c r="C1411" s="2" t="s">
        <v>255</v>
      </c>
      <c r="D1411" s="3">
        <f>VLOOKUP(B1411,Sheet2!$A:$O,8,0)</f>
        <v>7843</v>
      </c>
    </row>
    <row r="1412" spans="1:4">
      <c r="A1412" s="8" t="s">
        <v>401</v>
      </c>
      <c r="B1412" s="2">
        <v>1091026</v>
      </c>
      <c r="C1412" s="2" t="s">
        <v>256</v>
      </c>
      <c r="D1412" s="3">
        <f>VLOOKUP(B1412,Sheet2!$A:$O,8,0)</f>
        <v>30196</v>
      </c>
    </row>
    <row r="1413" spans="1:4">
      <c r="A1413" s="8" t="s">
        <v>401</v>
      </c>
      <c r="B1413" s="2">
        <v>1600101</v>
      </c>
      <c r="C1413" s="2" t="s">
        <v>188</v>
      </c>
      <c r="D1413" s="3">
        <f>VLOOKUP(B1413,Sheet2!$A:$O,8,0)</f>
        <v>2304</v>
      </c>
    </row>
    <row r="1414" spans="1:4">
      <c r="A1414" s="8" t="s">
        <v>401</v>
      </c>
      <c r="B1414" s="2">
        <v>1600102</v>
      </c>
      <c r="C1414" s="2" t="s">
        <v>257</v>
      </c>
      <c r="D1414" s="3">
        <f>VLOOKUP(B1414,Sheet2!$A:$O,8,0)</f>
        <v>17648</v>
      </c>
    </row>
    <row r="1415" spans="1:4">
      <c r="A1415" s="8" t="s">
        <v>401</v>
      </c>
      <c r="B1415" s="2">
        <v>1600103</v>
      </c>
      <c r="C1415" s="2" t="s">
        <v>258</v>
      </c>
      <c r="D1415" s="3">
        <f>VLOOKUP(B1415,Sheet2!$A:$O,8,0)</f>
        <v>19800</v>
      </c>
    </row>
    <row r="1416" spans="1:4">
      <c r="A1416" s="8" t="s">
        <v>401</v>
      </c>
      <c r="B1416" s="2">
        <v>1600104</v>
      </c>
      <c r="C1416" s="2" t="s">
        <v>259</v>
      </c>
      <c r="D1416" s="3">
        <f>VLOOKUP(B1416,Sheet2!$A:$O,8,0)</f>
        <v>65000</v>
      </c>
    </row>
    <row r="1417" spans="1:4">
      <c r="A1417" s="8" t="s">
        <v>401</v>
      </c>
      <c r="B1417" s="2">
        <v>1600105</v>
      </c>
      <c r="C1417" s="2" t="s">
        <v>260</v>
      </c>
      <c r="D1417" s="3">
        <f>VLOOKUP(B1417,Sheet2!$A:$O,8,0)</f>
        <v>73000</v>
      </c>
    </row>
    <row r="1418" spans="1:4">
      <c r="A1418" s="8" t="s">
        <v>401</v>
      </c>
      <c r="B1418" s="2">
        <v>1600106</v>
      </c>
      <c r="C1418" s="2" t="s">
        <v>261</v>
      </c>
      <c r="D1418" s="3">
        <f>VLOOKUP(B1418,Sheet2!$A:$O,8,0)</f>
        <v>66667</v>
      </c>
    </row>
    <row r="1419" spans="1:4">
      <c r="A1419" s="8" t="s">
        <v>401</v>
      </c>
      <c r="B1419" s="2">
        <v>1600107</v>
      </c>
      <c r="C1419" s="2" t="s">
        <v>262</v>
      </c>
      <c r="D1419" s="3">
        <f>VLOOKUP(B1419,Sheet2!$A:$O,8,0)</f>
        <v>67647</v>
      </c>
    </row>
    <row r="1420" spans="1:4">
      <c r="A1420" s="8" t="s">
        <v>401</v>
      </c>
      <c r="B1420" s="2">
        <v>1600108</v>
      </c>
      <c r="C1420" s="2" t="s">
        <v>263</v>
      </c>
      <c r="D1420" s="3">
        <f>VLOOKUP(B1420,Sheet2!$A:$O,8,0)</f>
        <v>67647</v>
      </c>
    </row>
    <row r="1421" spans="1:4">
      <c r="A1421" s="8" t="s">
        <v>401</v>
      </c>
      <c r="B1421" s="2">
        <v>1600109</v>
      </c>
      <c r="C1421" s="2" t="s">
        <v>264</v>
      </c>
      <c r="D1421" s="3">
        <f>VLOOKUP(B1421,Sheet2!$A:$O,8,0)</f>
        <v>4657</v>
      </c>
    </row>
    <row r="1422" spans="1:4">
      <c r="A1422" s="8" t="s">
        <v>401</v>
      </c>
      <c r="B1422" s="2">
        <v>1600110</v>
      </c>
      <c r="C1422" s="2" t="s">
        <v>265</v>
      </c>
      <c r="D1422" s="3">
        <f>VLOOKUP(B1422,Sheet2!$A:$O,8,0)</f>
        <v>7917</v>
      </c>
    </row>
    <row r="1423" spans="1:4">
      <c r="A1423" s="8" t="s">
        <v>401</v>
      </c>
      <c r="B1423" s="2">
        <v>1600111</v>
      </c>
      <c r="C1423" s="2" t="s">
        <v>266</v>
      </c>
      <c r="D1423" s="3">
        <f>VLOOKUP(B1423,Sheet2!$A:$O,8,0)</f>
        <v>2266</v>
      </c>
    </row>
    <row r="1424" spans="1:4">
      <c r="A1424" s="8" t="s">
        <v>401</v>
      </c>
      <c r="B1424" s="2">
        <v>1600112</v>
      </c>
      <c r="C1424" s="2" t="s">
        <v>190</v>
      </c>
      <c r="D1424" s="3">
        <f>VLOOKUP(B1424,Sheet2!$A:$O,8,0)</f>
        <v>4800</v>
      </c>
    </row>
    <row r="1425" spans="1:4">
      <c r="A1425" s="8" t="s">
        <v>401</v>
      </c>
      <c r="B1425" s="2">
        <v>1600113</v>
      </c>
      <c r="C1425" s="2" t="s">
        <v>267</v>
      </c>
      <c r="D1425" s="3">
        <f>VLOOKUP(B1425,Sheet2!$A:$O,8,0)</f>
        <v>0</v>
      </c>
    </row>
    <row r="1426" spans="1:4">
      <c r="A1426" s="8" t="s">
        <v>401</v>
      </c>
      <c r="B1426" s="2">
        <v>1600114</v>
      </c>
      <c r="C1426" s="2" t="s">
        <v>268</v>
      </c>
      <c r="D1426" s="3">
        <f>VLOOKUP(B1426,Sheet2!$A:$O,8,0)</f>
        <v>10140</v>
      </c>
    </row>
    <row r="1427" spans="1:4">
      <c r="A1427" s="8" t="s">
        <v>401</v>
      </c>
      <c r="B1427" s="2">
        <v>1700001</v>
      </c>
      <c r="C1427" s="2" t="s">
        <v>269</v>
      </c>
      <c r="D1427" s="3">
        <f>VLOOKUP(B1427,Sheet2!$A:$O,8,0)</f>
        <v>4019</v>
      </c>
    </row>
    <row r="1428" spans="1:4">
      <c r="A1428" s="8" t="s">
        <v>401</v>
      </c>
      <c r="B1428" s="2">
        <v>1700002</v>
      </c>
      <c r="C1428" s="2" t="s">
        <v>270</v>
      </c>
      <c r="D1428" s="3">
        <f>VLOOKUP(B1428,Sheet2!$A:$O,8,0)</f>
        <v>3726</v>
      </c>
    </row>
    <row r="1429" spans="1:4">
      <c r="A1429" s="8" t="s">
        <v>401</v>
      </c>
      <c r="B1429" s="2">
        <v>1700003</v>
      </c>
      <c r="C1429" s="2" t="s">
        <v>271</v>
      </c>
      <c r="D1429" s="3">
        <f>VLOOKUP(B1429,Sheet2!$A:$O,8,0)</f>
        <v>4902</v>
      </c>
    </row>
    <row r="1430" spans="1:4">
      <c r="A1430" s="8" t="s">
        <v>401</v>
      </c>
      <c r="B1430" s="2">
        <v>1700004</v>
      </c>
      <c r="C1430" s="2" t="s">
        <v>272</v>
      </c>
      <c r="D1430" s="3">
        <f>VLOOKUP(B1430,Sheet2!$A:$O,8,0)</f>
        <v>13235</v>
      </c>
    </row>
    <row r="1431" spans="1:4">
      <c r="A1431" s="8" t="s">
        <v>401</v>
      </c>
      <c r="B1431" s="2">
        <v>1700005</v>
      </c>
      <c r="C1431" s="2" t="s">
        <v>192</v>
      </c>
      <c r="D1431" s="3">
        <f>VLOOKUP(B1431,Sheet2!$A:$O,8,0)</f>
        <v>1765</v>
      </c>
    </row>
    <row r="1432" spans="1:4">
      <c r="A1432" s="8" t="s">
        <v>401</v>
      </c>
      <c r="B1432" s="2">
        <v>1700006</v>
      </c>
      <c r="C1432" s="2" t="s">
        <v>273</v>
      </c>
      <c r="D1432" s="3">
        <f>VLOOKUP(B1432,Sheet2!$A:$O,8,0)</f>
        <v>6373</v>
      </c>
    </row>
    <row r="1433" spans="1:4">
      <c r="A1433" s="8" t="s">
        <v>401</v>
      </c>
      <c r="B1433" s="2">
        <v>1700007</v>
      </c>
      <c r="C1433" s="2" t="s">
        <v>274</v>
      </c>
      <c r="D1433" s="3">
        <f>VLOOKUP(B1433,Sheet2!$A:$O,8,0)</f>
        <v>0</v>
      </c>
    </row>
    <row r="1434" spans="1:4">
      <c r="A1434" s="8" t="s">
        <v>401</v>
      </c>
      <c r="B1434" s="2">
        <v>1700008</v>
      </c>
      <c r="C1434" s="2" t="s">
        <v>275</v>
      </c>
      <c r="D1434" s="3">
        <f>VLOOKUP(B1434,Sheet2!$A:$O,8,0)</f>
        <v>0</v>
      </c>
    </row>
    <row r="1435" spans="1:4">
      <c r="A1435" s="8" t="s">
        <v>401</v>
      </c>
      <c r="B1435" s="2">
        <v>1700009</v>
      </c>
      <c r="C1435" s="2" t="s">
        <v>276</v>
      </c>
      <c r="D1435" s="3">
        <f>VLOOKUP(B1435,Sheet2!$A:$O,8,0)</f>
        <v>0</v>
      </c>
    </row>
    <row r="1436" spans="1:4">
      <c r="A1436" s="8" t="s">
        <v>401</v>
      </c>
      <c r="B1436" s="2">
        <v>1700010</v>
      </c>
      <c r="C1436" s="2" t="s">
        <v>277</v>
      </c>
      <c r="D1436" s="3">
        <f>VLOOKUP(B1436,Sheet2!$A:$O,8,0)</f>
        <v>3620</v>
      </c>
    </row>
    <row r="1437" spans="1:4">
      <c r="A1437" s="8" t="s">
        <v>401</v>
      </c>
      <c r="B1437" s="2">
        <v>1700011</v>
      </c>
      <c r="C1437" s="2" t="s">
        <v>278</v>
      </c>
      <c r="D1437" s="3">
        <f>VLOOKUP(B1437,Sheet2!$A:$O,8,0)</f>
        <v>11961</v>
      </c>
    </row>
    <row r="1438" spans="1:4">
      <c r="A1438" s="8" t="s">
        <v>401</v>
      </c>
      <c r="B1438" s="2">
        <v>1700012</v>
      </c>
      <c r="C1438" s="2" t="s">
        <v>279</v>
      </c>
      <c r="D1438" s="3">
        <f>VLOOKUP(B1438,Sheet2!$A:$O,8,0)</f>
        <v>12255</v>
      </c>
    </row>
    <row r="1439" spans="1:4">
      <c r="A1439" s="8" t="s">
        <v>401</v>
      </c>
      <c r="B1439" s="2">
        <v>1700013</v>
      </c>
      <c r="C1439" s="2" t="s">
        <v>280</v>
      </c>
      <c r="D1439" s="3">
        <f>VLOOKUP(B1439,Sheet2!$A:$O,8,0)</f>
        <v>18137</v>
      </c>
    </row>
    <row r="1440" spans="1:4">
      <c r="A1440" s="8" t="s">
        <v>401</v>
      </c>
      <c r="B1440" s="2">
        <v>1700014</v>
      </c>
      <c r="C1440" s="2" t="s">
        <v>194</v>
      </c>
      <c r="D1440" s="3">
        <f>VLOOKUP(B1440,Sheet2!$A:$O,8,0)</f>
        <v>2255</v>
      </c>
    </row>
    <row r="1441" spans="1:4">
      <c r="A1441" s="8" t="s">
        <v>401</v>
      </c>
      <c r="B1441" s="2">
        <v>1700015</v>
      </c>
      <c r="C1441" s="2" t="s">
        <v>281</v>
      </c>
      <c r="D1441" s="3">
        <f>VLOOKUP(B1441,Sheet2!$A:$O,8,0)</f>
        <v>2552</v>
      </c>
    </row>
    <row r="1442" spans="1:4">
      <c r="A1442" s="8" t="s">
        <v>401</v>
      </c>
      <c r="B1442" s="2">
        <v>1700016</v>
      </c>
      <c r="C1442" s="2" t="s">
        <v>282</v>
      </c>
      <c r="D1442" s="3">
        <f>VLOOKUP(B1442,Sheet2!$A:$O,8,0)</f>
        <v>3510</v>
      </c>
    </row>
    <row r="1443" spans="1:4">
      <c r="A1443" s="8" t="s">
        <v>401</v>
      </c>
      <c r="B1443" s="2">
        <v>1700017</v>
      </c>
      <c r="C1443" s="2" t="s">
        <v>283</v>
      </c>
      <c r="D1443" s="3">
        <f>VLOOKUP(B1443,Sheet2!$A:$O,8,0)</f>
        <v>9804</v>
      </c>
    </row>
    <row r="1444" spans="1:4">
      <c r="A1444" s="8" t="s">
        <v>401</v>
      </c>
      <c r="B1444" s="2">
        <v>1700018</v>
      </c>
      <c r="C1444" s="2" t="s">
        <v>284</v>
      </c>
      <c r="D1444" s="3">
        <f>VLOOKUP(B1444,Sheet2!$A:$O,8,0)</f>
        <v>3804</v>
      </c>
    </row>
    <row r="1445" spans="1:4">
      <c r="A1445" s="8" t="s">
        <v>401</v>
      </c>
      <c r="B1445" s="2">
        <v>1700019</v>
      </c>
      <c r="C1445" s="2" t="s">
        <v>285</v>
      </c>
      <c r="D1445" s="3">
        <f>VLOOKUP(B1445,Sheet2!$A:$O,8,0)</f>
        <v>0</v>
      </c>
    </row>
    <row r="1446" spans="1:4">
      <c r="A1446" s="8" t="s">
        <v>401</v>
      </c>
      <c r="B1446" s="2">
        <v>1700020</v>
      </c>
      <c r="C1446" s="2" t="s">
        <v>286</v>
      </c>
      <c r="D1446" s="3">
        <f>VLOOKUP(B1446,Sheet2!$A:$O,8,0)</f>
        <v>49412</v>
      </c>
    </row>
    <row r="1447" spans="1:4">
      <c r="A1447" s="8" t="s">
        <v>401</v>
      </c>
      <c r="B1447" s="2">
        <v>1700021</v>
      </c>
      <c r="C1447" s="2" t="s">
        <v>287</v>
      </c>
      <c r="D1447" s="3">
        <f>VLOOKUP(B1447,Sheet2!$A:$O,8,0)</f>
        <v>73938</v>
      </c>
    </row>
    <row r="1448" spans="1:4">
      <c r="A1448" s="8" t="s">
        <v>401</v>
      </c>
      <c r="B1448" s="2">
        <v>1700022</v>
      </c>
      <c r="C1448" s="2" t="s">
        <v>288</v>
      </c>
      <c r="D1448" s="3">
        <f>VLOOKUP(B1448,Sheet2!$A:$O,8,0)</f>
        <v>33706</v>
      </c>
    </row>
    <row r="1449" spans="1:4">
      <c r="A1449" s="8" t="s">
        <v>401</v>
      </c>
      <c r="B1449" s="2">
        <v>1700023</v>
      </c>
      <c r="C1449" s="2" t="s">
        <v>289</v>
      </c>
      <c r="D1449" s="3">
        <f>VLOOKUP(B1449,Sheet2!$A:$O,8,0)</f>
        <v>6343</v>
      </c>
    </row>
    <row r="1450" spans="1:4">
      <c r="A1450" s="8" t="s">
        <v>401</v>
      </c>
      <c r="B1450" s="2">
        <v>1700024</v>
      </c>
      <c r="C1450" s="2" t="s">
        <v>290</v>
      </c>
      <c r="D1450" s="3">
        <f>VLOOKUP(B1450,Sheet2!$A:$O,8,0)</f>
        <v>0</v>
      </c>
    </row>
    <row r="1451" spans="1:4">
      <c r="A1451" s="8" t="s">
        <v>401</v>
      </c>
      <c r="B1451" s="2">
        <v>1700025</v>
      </c>
      <c r="C1451" s="2" t="s">
        <v>291</v>
      </c>
      <c r="D1451" s="3">
        <f>VLOOKUP(B1451,Sheet2!$A:$O,8,0)</f>
        <v>1961</v>
      </c>
    </row>
    <row r="1452" spans="1:4">
      <c r="A1452" s="8" t="s">
        <v>401</v>
      </c>
      <c r="B1452" s="2">
        <v>1700026</v>
      </c>
      <c r="C1452" s="2" t="s">
        <v>292</v>
      </c>
      <c r="D1452" s="3">
        <f>VLOOKUP(B1452,Sheet2!$A:$O,8,0)</f>
        <v>4412</v>
      </c>
    </row>
    <row r="1453" spans="1:4">
      <c r="A1453" s="8" t="s">
        <v>401</v>
      </c>
      <c r="B1453" s="2">
        <v>1700027</v>
      </c>
      <c r="C1453" s="2" t="s">
        <v>293</v>
      </c>
      <c r="D1453" s="3">
        <f>VLOOKUP(B1453,Sheet2!$A:$O,8,0)</f>
        <v>4412</v>
      </c>
    </row>
    <row r="1454" spans="1:4">
      <c r="A1454" s="8" t="s">
        <v>401</v>
      </c>
      <c r="B1454" s="2">
        <v>1700028</v>
      </c>
      <c r="C1454" s="2" t="s">
        <v>294</v>
      </c>
      <c r="D1454" s="3">
        <f>VLOOKUP(B1454,Sheet2!$A:$O,8,0)</f>
        <v>9500</v>
      </c>
    </row>
    <row r="1455" spans="1:4">
      <c r="A1455" s="8" t="s">
        <v>401</v>
      </c>
      <c r="B1455" s="2">
        <v>1700029</v>
      </c>
      <c r="C1455" s="2" t="s">
        <v>295</v>
      </c>
      <c r="D1455" s="3">
        <f>VLOOKUP(B1455,Sheet2!$A:$O,8,0)</f>
        <v>10670</v>
      </c>
    </row>
    <row r="1456" spans="1:4">
      <c r="A1456" s="8" t="s">
        <v>401</v>
      </c>
      <c r="B1456" s="2">
        <v>1700030</v>
      </c>
      <c r="C1456" s="2" t="s">
        <v>296</v>
      </c>
      <c r="D1456" s="3">
        <f>VLOOKUP(B1456,Sheet2!$A:$O,8,0)</f>
        <v>12720</v>
      </c>
    </row>
    <row r="1457" spans="1:4">
      <c r="A1457" s="8" t="s">
        <v>401</v>
      </c>
      <c r="B1457" s="2">
        <v>1700031</v>
      </c>
      <c r="C1457" s="2" t="s">
        <v>196</v>
      </c>
      <c r="D1457" s="3">
        <f>VLOOKUP(B1457,Sheet2!$A:$O,8,0)</f>
        <v>1961</v>
      </c>
    </row>
    <row r="1458" spans="1:4">
      <c r="A1458" s="8" t="s">
        <v>401</v>
      </c>
      <c r="B1458" s="2">
        <v>1700032</v>
      </c>
      <c r="C1458" s="2" t="s">
        <v>297</v>
      </c>
      <c r="D1458" s="3">
        <f>VLOOKUP(B1458,Sheet2!$A:$O,8,0)</f>
        <v>0</v>
      </c>
    </row>
    <row r="1459" spans="1:4">
      <c r="A1459" s="8" t="s">
        <v>401</v>
      </c>
      <c r="B1459" s="2">
        <v>1700033</v>
      </c>
      <c r="C1459" s="2" t="s">
        <v>298</v>
      </c>
      <c r="D1459" s="3">
        <f>VLOOKUP(B1459,Sheet2!$A:$O,8,0)</f>
        <v>0</v>
      </c>
    </row>
    <row r="1460" spans="1:4">
      <c r="A1460" s="8" t="s">
        <v>401</v>
      </c>
      <c r="B1460" s="2">
        <v>1700034</v>
      </c>
      <c r="C1460" s="2" t="s">
        <v>299</v>
      </c>
      <c r="D1460" s="3">
        <f>VLOOKUP(B1460,Sheet2!$A:$O,8,0)</f>
        <v>15125</v>
      </c>
    </row>
    <row r="1461" spans="1:4">
      <c r="A1461" s="8" t="s">
        <v>401</v>
      </c>
      <c r="B1461" s="2">
        <v>1700035</v>
      </c>
      <c r="C1461" s="2" t="s">
        <v>300</v>
      </c>
      <c r="D1461" s="3">
        <f>VLOOKUP(B1461,Sheet2!$A:$O,8,0)</f>
        <v>64367</v>
      </c>
    </row>
    <row r="1462" spans="1:4">
      <c r="A1462" s="8" t="s">
        <v>401</v>
      </c>
      <c r="B1462" s="2">
        <v>1700036</v>
      </c>
      <c r="C1462" s="2" t="s">
        <v>301</v>
      </c>
      <c r="D1462" s="3">
        <f>VLOOKUP(B1462,Sheet2!$A:$O,8,0)</f>
        <v>5200</v>
      </c>
    </row>
    <row r="1463" spans="1:4">
      <c r="A1463" s="8" t="s">
        <v>401</v>
      </c>
      <c r="B1463" s="2">
        <v>1700037</v>
      </c>
      <c r="C1463" s="2" t="s">
        <v>302</v>
      </c>
      <c r="D1463" s="3">
        <f>VLOOKUP(B1463,Sheet2!$A:$O,8,0)</f>
        <v>7533</v>
      </c>
    </row>
    <row r="1464" spans="1:4">
      <c r="A1464" s="8" t="s">
        <v>401</v>
      </c>
      <c r="B1464" s="2">
        <v>1700038</v>
      </c>
      <c r="C1464" s="2" t="s">
        <v>303</v>
      </c>
      <c r="D1464" s="3">
        <f>VLOOKUP(B1464,Sheet2!$A:$O,8,0)</f>
        <v>2687</v>
      </c>
    </row>
    <row r="1465" spans="1:4">
      <c r="A1465" s="8" t="s">
        <v>401</v>
      </c>
      <c r="B1465" s="2">
        <v>1700039</v>
      </c>
      <c r="C1465" s="2" t="s">
        <v>304</v>
      </c>
      <c r="D1465" s="3">
        <f>VLOOKUP(B1465,Sheet2!$A:$O,8,0)</f>
        <v>2431</v>
      </c>
    </row>
    <row r="1466" spans="1:4">
      <c r="A1466" s="8" t="s">
        <v>401</v>
      </c>
      <c r="B1466" s="2">
        <v>1700040</v>
      </c>
      <c r="C1466" s="2" t="s">
        <v>305</v>
      </c>
      <c r="D1466" s="3">
        <f>VLOOKUP(B1466,Sheet2!$A:$O,8,0)</f>
        <v>1967</v>
      </c>
    </row>
    <row r="1467" spans="1:4">
      <c r="A1467" s="8" t="s">
        <v>401</v>
      </c>
      <c r="B1467" s="2">
        <v>1700041</v>
      </c>
      <c r="C1467" s="2" t="s">
        <v>306</v>
      </c>
      <c r="D1467" s="3">
        <f>VLOOKUP(B1467,Sheet2!$A:$O,8,0)</f>
        <v>3000</v>
      </c>
    </row>
    <row r="1468" spans="1:4">
      <c r="A1468" s="8" t="s">
        <v>401</v>
      </c>
      <c r="B1468" s="2">
        <v>1700042</v>
      </c>
      <c r="C1468" s="2" t="s">
        <v>307</v>
      </c>
      <c r="D1468" s="3">
        <f>VLOOKUP(B1468,Sheet2!$A:$O,8,0)</f>
        <v>3211</v>
      </c>
    </row>
    <row r="1469" spans="1:4">
      <c r="A1469" s="8" t="s">
        <v>401</v>
      </c>
      <c r="B1469" s="2">
        <v>1700043</v>
      </c>
      <c r="C1469" s="2" t="s">
        <v>308</v>
      </c>
      <c r="D1469" s="3">
        <f>VLOOKUP(B1469,Sheet2!$A:$O,8,0)</f>
        <v>4652</v>
      </c>
    </row>
    <row r="1470" spans="1:4">
      <c r="A1470" s="8" t="s">
        <v>401</v>
      </c>
      <c r="B1470" s="2">
        <v>1700044</v>
      </c>
      <c r="C1470" s="2" t="s">
        <v>309</v>
      </c>
      <c r="D1470" s="3">
        <f>VLOOKUP(B1470,Sheet2!$A:$O,8,0)</f>
        <v>7000</v>
      </c>
    </row>
    <row r="1471" spans="1:4">
      <c r="A1471" s="8" t="s">
        <v>401</v>
      </c>
      <c r="B1471" s="2">
        <v>1700045</v>
      </c>
      <c r="C1471" s="2" t="s">
        <v>310</v>
      </c>
      <c r="D1471" s="3">
        <f>VLOOKUP(B1471,Sheet2!$A:$O,8,0)</f>
        <v>3373</v>
      </c>
    </row>
    <row r="1472" spans="1:4">
      <c r="A1472" s="8" t="s">
        <v>401</v>
      </c>
      <c r="B1472" s="2">
        <v>1700046</v>
      </c>
      <c r="C1472" s="2" t="s">
        <v>311</v>
      </c>
      <c r="D1472" s="3">
        <f>VLOOKUP(B1472,Sheet2!$A:$O,8,0)</f>
        <v>6863</v>
      </c>
    </row>
    <row r="1473" spans="1:4">
      <c r="A1473" s="8" t="s">
        <v>401</v>
      </c>
      <c r="B1473" s="2">
        <v>1700047</v>
      </c>
      <c r="C1473" s="2" t="s">
        <v>312</v>
      </c>
      <c r="D1473" s="3">
        <f>VLOOKUP(B1473,Sheet2!$A:$O,8,0)</f>
        <v>22150</v>
      </c>
    </row>
    <row r="1474" spans="1:4">
      <c r="A1474" s="8" t="s">
        <v>401</v>
      </c>
      <c r="B1474" s="2">
        <v>1700048</v>
      </c>
      <c r="C1474" s="2" t="s">
        <v>313</v>
      </c>
      <c r="D1474" s="3">
        <f>VLOOKUP(B1474,Sheet2!$A:$O,8,0)</f>
        <v>13330</v>
      </c>
    </row>
    <row r="1475" spans="1:4">
      <c r="A1475" s="8" t="s">
        <v>401</v>
      </c>
      <c r="B1475" s="2">
        <v>1700049</v>
      </c>
      <c r="C1475" s="2" t="s">
        <v>314</v>
      </c>
      <c r="D1475" s="3">
        <f>VLOOKUP(B1475,Sheet2!$A:$O,8,0)</f>
        <v>5785</v>
      </c>
    </row>
    <row r="1476" spans="1:4">
      <c r="A1476" s="8" t="s">
        <v>401</v>
      </c>
      <c r="B1476" s="2">
        <v>1700050</v>
      </c>
      <c r="C1476" s="2" t="s">
        <v>315</v>
      </c>
      <c r="D1476" s="3">
        <f>VLOOKUP(B1476,Sheet2!$A:$O,8,0)</f>
        <v>39000</v>
      </c>
    </row>
    <row r="1477" spans="1:4">
      <c r="A1477" s="8" t="s">
        <v>401</v>
      </c>
      <c r="B1477" s="2">
        <v>1700051</v>
      </c>
      <c r="C1477" s="2" t="s">
        <v>316</v>
      </c>
      <c r="D1477" s="3">
        <f>VLOOKUP(B1477,Sheet2!$A:$O,8,0)</f>
        <v>11500</v>
      </c>
    </row>
    <row r="1478" spans="1:4">
      <c r="A1478" s="8" t="s">
        <v>401</v>
      </c>
      <c r="B1478" s="2">
        <v>1700052</v>
      </c>
      <c r="C1478" s="2" t="s">
        <v>317</v>
      </c>
      <c r="D1478" s="3">
        <f>VLOOKUP(B1478,Sheet2!$A:$O,8,0)</f>
        <v>3444</v>
      </c>
    </row>
    <row r="1479" spans="1:4">
      <c r="A1479" s="8" t="s">
        <v>401</v>
      </c>
      <c r="B1479" s="2">
        <v>1700053</v>
      </c>
      <c r="C1479" s="2" t="s">
        <v>318</v>
      </c>
      <c r="D1479" s="3">
        <f>VLOOKUP(B1479,Sheet2!$A:$O,8,0)</f>
        <v>15530</v>
      </c>
    </row>
    <row r="1480" spans="1:4">
      <c r="A1480" s="8" t="s">
        <v>401</v>
      </c>
      <c r="B1480" s="2">
        <v>1700054</v>
      </c>
      <c r="C1480" s="2" t="s">
        <v>319</v>
      </c>
      <c r="D1480" s="3">
        <f>VLOOKUP(B1480,Sheet2!$A:$O,8,0)</f>
        <v>11670</v>
      </c>
    </row>
    <row r="1481" spans="1:4">
      <c r="A1481" s="8" t="s">
        <v>401</v>
      </c>
      <c r="B1481" s="2">
        <v>1700055</v>
      </c>
      <c r="C1481" s="2" t="s">
        <v>320</v>
      </c>
      <c r="D1481" s="3">
        <f>VLOOKUP(B1481,Sheet2!$A:$O,8,0)</f>
        <v>11940</v>
      </c>
    </row>
    <row r="1482" spans="1:4">
      <c r="A1482" s="8" t="s">
        <v>401</v>
      </c>
      <c r="B1482" s="2">
        <v>1700056</v>
      </c>
      <c r="C1482" s="2" t="s">
        <v>321</v>
      </c>
      <c r="D1482" s="3">
        <f>VLOOKUP(B1482,Sheet2!$A:$O,8,0)</f>
        <v>5775</v>
      </c>
    </row>
    <row r="1483" spans="1:4">
      <c r="A1483" s="8" t="s">
        <v>401</v>
      </c>
      <c r="B1483" s="2">
        <v>1700057</v>
      </c>
      <c r="C1483" s="2" t="s">
        <v>322</v>
      </c>
      <c r="D1483" s="3">
        <f>VLOOKUP(B1483,Sheet2!$A:$O,8,0)</f>
        <v>2098</v>
      </c>
    </row>
    <row r="1484" spans="1:4">
      <c r="A1484" s="8" t="s">
        <v>401</v>
      </c>
      <c r="B1484" s="2">
        <v>1700058</v>
      </c>
      <c r="C1484" s="2" t="s">
        <v>323</v>
      </c>
      <c r="D1484" s="3">
        <f>VLOOKUP(B1484,Sheet2!$A:$O,8,0)</f>
        <v>5800</v>
      </c>
    </row>
    <row r="1485" spans="1:4">
      <c r="A1485" s="8" t="s">
        <v>401</v>
      </c>
      <c r="B1485" s="2">
        <v>1700059</v>
      </c>
      <c r="C1485" s="2" t="s">
        <v>324</v>
      </c>
      <c r="D1485" s="3">
        <f>VLOOKUP(B1485,Sheet2!$A:$O,8,0)</f>
        <v>27667</v>
      </c>
    </row>
    <row r="1486" spans="1:4">
      <c r="A1486" s="8" t="s">
        <v>401</v>
      </c>
      <c r="B1486" s="2">
        <v>1700060</v>
      </c>
      <c r="C1486" s="2" t="s">
        <v>325</v>
      </c>
      <c r="D1486" s="3">
        <f>VLOOKUP(B1486,Sheet2!$A:$O,8,0)</f>
        <v>5314</v>
      </c>
    </row>
    <row r="1487" spans="1:4">
      <c r="A1487" s="8" t="s">
        <v>401</v>
      </c>
      <c r="B1487" s="2">
        <v>1700061</v>
      </c>
      <c r="C1487" s="2" t="s">
        <v>326</v>
      </c>
      <c r="D1487" s="3">
        <f>VLOOKUP(B1487,Sheet2!$A:$O,8,0)</f>
        <v>8920</v>
      </c>
    </row>
    <row r="1488" spans="1:4">
      <c r="A1488" s="8" t="s">
        <v>401</v>
      </c>
      <c r="B1488" s="2">
        <v>1700062</v>
      </c>
      <c r="C1488" s="2" t="s">
        <v>327</v>
      </c>
      <c r="D1488" s="3">
        <f>VLOOKUP(B1488,Sheet2!$A:$O,8,0)</f>
        <v>10520</v>
      </c>
    </row>
    <row r="1489" spans="1:4">
      <c r="A1489" s="8" t="s">
        <v>401</v>
      </c>
      <c r="B1489" s="2">
        <v>1700063</v>
      </c>
      <c r="C1489" s="2" t="s">
        <v>328</v>
      </c>
      <c r="D1489" s="3">
        <f>VLOOKUP(B1489,Sheet2!$A:$O,8,0)</f>
        <v>10550</v>
      </c>
    </row>
    <row r="1490" spans="1:4">
      <c r="A1490" s="8" t="s">
        <v>401</v>
      </c>
      <c r="B1490" s="2">
        <v>1700064</v>
      </c>
      <c r="C1490" s="2" t="s">
        <v>329</v>
      </c>
      <c r="D1490" s="3">
        <f>VLOOKUP(B1490,Sheet2!$A:$O,8,0)</f>
        <v>11060</v>
      </c>
    </row>
    <row r="1491" spans="1:4">
      <c r="A1491" s="8" t="s">
        <v>401</v>
      </c>
      <c r="B1491" s="2">
        <v>1700065</v>
      </c>
      <c r="C1491" s="2" t="s">
        <v>330</v>
      </c>
      <c r="D1491" s="3">
        <f>VLOOKUP(B1491,Sheet2!$A:$O,8,0)</f>
        <v>12760</v>
      </c>
    </row>
    <row r="1492" spans="1:4">
      <c r="A1492" s="8" t="s">
        <v>401</v>
      </c>
      <c r="B1492" s="2">
        <v>1700066</v>
      </c>
      <c r="C1492" s="2" t="s">
        <v>331</v>
      </c>
      <c r="D1492" s="3">
        <f>VLOOKUP(B1492,Sheet2!$A:$O,8,0)</f>
        <v>13200</v>
      </c>
    </row>
    <row r="1493" spans="1:4">
      <c r="A1493" s="8" t="s">
        <v>401</v>
      </c>
      <c r="B1493" s="2">
        <v>1700067</v>
      </c>
      <c r="C1493" s="2" t="s">
        <v>332</v>
      </c>
      <c r="D1493" s="3">
        <f>VLOOKUP(B1493,Sheet2!$A:$O,8,0)</f>
        <v>10720</v>
      </c>
    </row>
    <row r="1494" spans="1:4">
      <c r="A1494" s="8" t="s">
        <v>401</v>
      </c>
      <c r="B1494" s="2">
        <v>1700068</v>
      </c>
      <c r="C1494" s="2" t="s">
        <v>333</v>
      </c>
      <c r="D1494" s="3">
        <f>VLOOKUP(B1494,Sheet2!$A:$O,8,0)</f>
        <v>12720</v>
      </c>
    </row>
    <row r="1495" spans="1:4">
      <c r="A1495" s="8" t="s">
        <v>401</v>
      </c>
      <c r="B1495" s="2">
        <v>1700069</v>
      </c>
      <c r="C1495" s="2" t="s">
        <v>334</v>
      </c>
      <c r="D1495" s="3">
        <f>VLOOKUP(B1495,Sheet2!$A:$O,8,0)</f>
        <v>14000</v>
      </c>
    </row>
    <row r="1496" spans="1:4">
      <c r="A1496" s="8" t="s">
        <v>401</v>
      </c>
      <c r="B1496" s="2">
        <v>1700070</v>
      </c>
      <c r="C1496" s="2" t="s">
        <v>335</v>
      </c>
      <c r="D1496" s="3">
        <f>VLOOKUP(B1496,Sheet2!$A:$O,8,0)</f>
        <v>1618</v>
      </c>
    </row>
    <row r="1497" spans="1:4">
      <c r="A1497" s="8" t="s">
        <v>401</v>
      </c>
      <c r="B1497" s="2">
        <v>1700071</v>
      </c>
      <c r="C1497" s="2" t="s">
        <v>336</v>
      </c>
      <c r="D1497" s="3">
        <f>VLOOKUP(B1497,Sheet2!$A:$O,8,0)</f>
        <v>12190</v>
      </c>
    </row>
    <row r="1498" spans="1:4">
      <c r="A1498" s="8" t="s">
        <v>401</v>
      </c>
      <c r="B1498" s="2">
        <v>1700072</v>
      </c>
      <c r="C1498" s="2" t="s">
        <v>337</v>
      </c>
      <c r="D1498" s="3">
        <f>VLOOKUP(B1498,Sheet2!$A:$O,8,0)</f>
        <v>10180</v>
      </c>
    </row>
    <row r="1499" spans="1:4">
      <c r="A1499" s="8" t="s">
        <v>401</v>
      </c>
      <c r="B1499" s="2">
        <v>1700073</v>
      </c>
      <c r="C1499" s="2" t="s">
        <v>338</v>
      </c>
      <c r="D1499" s="3">
        <f>VLOOKUP(B1499,Sheet2!$A:$O,8,0)</f>
        <v>9020</v>
      </c>
    </row>
    <row r="1500" spans="1:4">
      <c r="A1500" s="8" t="s">
        <v>401</v>
      </c>
      <c r="B1500" s="2">
        <v>1700076</v>
      </c>
      <c r="C1500" s="2" t="s">
        <v>339</v>
      </c>
      <c r="D1500" s="3">
        <f>VLOOKUP(B1500,Sheet2!$A:$O,8,0)</f>
        <v>2451</v>
      </c>
    </row>
    <row r="1501" spans="1:4">
      <c r="A1501" s="8" t="s">
        <v>401</v>
      </c>
      <c r="B1501" s="2">
        <v>1700077</v>
      </c>
      <c r="C1501" s="2" t="s">
        <v>340</v>
      </c>
      <c r="D1501" s="3">
        <f>VLOOKUP(B1501,Sheet2!$A:$O,8,0)</f>
        <v>2353</v>
      </c>
    </row>
    <row r="1502" spans="1:4">
      <c r="A1502" s="8" t="s">
        <v>401</v>
      </c>
      <c r="B1502" s="2">
        <v>1700078</v>
      </c>
      <c r="C1502" s="2" t="s">
        <v>341</v>
      </c>
      <c r="D1502" s="3">
        <f>VLOOKUP(B1502,Sheet2!$A:$O,8,0)</f>
        <v>4284</v>
      </c>
    </row>
    <row r="1503" spans="1:4">
      <c r="A1503" s="8" t="s">
        <v>401</v>
      </c>
      <c r="B1503" s="2">
        <v>1700080</v>
      </c>
      <c r="C1503" s="2" t="s">
        <v>342</v>
      </c>
      <c r="D1503" s="3">
        <f>VLOOKUP(B1503,Sheet2!$A:$O,8,0)</f>
        <v>3529</v>
      </c>
    </row>
    <row r="1504" spans="1:4">
      <c r="A1504" s="8" t="s">
        <v>401</v>
      </c>
      <c r="B1504" s="2">
        <v>1700083</v>
      </c>
      <c r="C1504" s="2" t="s">
        <v>343</v>
      </c>
      <c r="D1504" s="3">
        <f>VLOOKUP(B1504,Sheet2!$A:$O,8,0)</f>
        <v>5738</v>
      </c>
    </row>
    <row r="1505" spans="1:4">
      <c r="A1505" s="8" t="s">
        <v>401</v>
      </c>
      <c r="B1505" s="2">
        <v>1700084</v>
      </c>
      <c r="C1505" s="2" t="s">
        <v>344</v>
      </c>
      <c r="D1505" s="3">
        <f>VLOOKUP(B1505,Sheet2!$A:$O,8,0)</f>
        <v>10882</v>
      </c>
    </row>
    <row r="1506" spans="1:4">
      <c r="A1506" s="8" t="s">
        <v>401</v>
      </c>
      <c r="B1506" s="2">
        <v>1700085</v>
      </c>
      <c r="C1506" s="2" t="s">
        <v>345</v>
      </c>
      <c r="D1506" s="3">
        <f>VLOOKUP(B1506,Sheet2!$A:$O,8,0)</f>
        <v>7860</v>
      </c>
    </row>
    <row r="1507" spans="1:4">
      <c r="A1507" s="8" t="s">
        <v>401</v>
      </c>
      <c r="B1507" s="2">
        <v>1700086</v>
      </c>
      <c r="C1507" s="2" t="s">
        <v>346</v>
      </c>
      <c r="D1507" s="3">
        <f>VLOOKUP(B1507,Sheet2!$A:$O,8,0)</f>
        <v>2657</v>
      </c>
    </row>
    <row r="1508" spans="1:4">
      <c r="A1508" s="8" t="s">
        <v>401</v>
      </c>
      <c r="B1508" s="2">
        <v>1700087</v>
      </c>
      <c r="C1508" s="2" t="s">
        <v>347</v>
      </c>
      <c r="D1508" s="3">
        <f>VLOOKUP(B1508,Sheet2!$A:$O,8,0)</f>
        <v>4660</v>
      </c>
    </row>
    <row r="1509" spans="1:4">
      <c r="A1509" s="8" t="s">
        <v>401</v>
      </c>
      <c r="B1509" s="2">
        <v>1700088</v>
      </c>
      <c r="C1509" s="2" t="s">
        <v>348</v>
      </c>
      <c r="D1509" s="3">
        <f>VLOOKUP(B1509,Sheet2!$A:$O,8,0)</f>
        <v>15500</v>
      </c>
    </row>
    <row r="1510" spans="1:4">
      <c r="A1510" s="8" t="s">
        <v>401</v>
      </c>
      <c r="B1510" s="2">
        <v>1700089</v>
      </c>
      <c r="C1510" s="2" t="s">
        <v>349</v>
      </c>
      <c r="D1510" s="3">
        <f>VLOOKUP(B1510,Sheet2!$A:$O,8,0)</f>
        <v>18500</v>
      </c>
    </row>
    <row r="1511" spans="1:4">
      <c r="A1511" s="8" t="s">
        <v>401</v>
      </c>
      <c r="B1511" s="2">
        <v>1700090</v>
      </c>
      <c r="C1511" s="2" t="s">
        <v>350</v>
      </c>
      <c r="D1511" s="3">
        <f>VLOOKUP(B1511,Sheet2!$A:$O,8,0)</f>
        <v>25490</v>
      </c>
    </row>
    <row r="1512" spans="1:4">
      <c r="A1512" s="8" t="s">
        <v>401</v>
      </c>
      <c r="B1512" s="2">
        <v>1700091</v>
      </c>
      <c r="C1512" s="2" t="s">
        <v>351</v>
      </c>
      <c r="D1512" s="3">
        <f>VLOOKUP(B1512,Sheet2!$A:$O,8,0)</f>
        <v>18000</v>
      </c>
    </row>
    <row r="1513" spans="1:4">
      <c r="A1513" s="8" t="s">
        <v>401</v>
      </c>
      <c r="B1513" s="2">
        <v>1700092</v>
      </c>
      <c r="C1513" s="2" t="s">
        <v>352</v>
      </c>
      <c r="D1513" s="3">
        <f>VLOOKUP(B1513,Sheet2!$A:$O,8,0)</f>
        <v>2961</v>
      </c>
    </row>
    <row r="1514" spans="1:4">
      <c r="A1514" s="8" t="s">
        <v>401</v>
      </c>
      <c r="B1514" s="2">
        <v>1700093</v>
      </c>
      <c r="C1514" s="2" t="s">
        <v>353</v>
      </c>
      <c r="D1514" s="3">
        <f>VLOOKUP(B1514,Sheet2!$A:$O,8,0)</f>
        <v>23760</v>
      </c>
    </row>
    <row r="1515" spans="1:4">
      <c r="A1515" s="8" t="s">
        <v>401</v>
      </c>
      <c r="B1515" s="2">
        <v>1700094</v>
      </c>
      <c r="C1515" s="2" t="s">
        <v>354</v>
      </c>
      <c r="D1515" s="3">
        <f>VLOOKUP(B1515,Sheet2!$A:$O,8,0)</f>
        <v>13529</v>
      </c>
    </row>
    <row r="1516" spans="1:4">
      <c r="A1516" s="8" t="s">
        <v>401</v>
      </c>
      <c r="B1516" s="2">
        <v>1700095</v>
      </c>
      <c r="C1516" s="2" t="s">
        <v>355</v>
      </c>
      <c r="D1516" s="3">
        <f>VLOOKUP(B1516,Sheet2!$A:$O,8,0)</f>
        <v>4500</v>
      </c>
    </row>
    <row r="1517" spans="1:4">
      <c r="A1517" s="8" t="s">
        <v>401</v>
      </c>
      <c r="B1517" s="2">
        <v>1700096</v>
      </c>
      <c r="C1517" s="2" t="s">
        <v>356</v>
      </c>
      <c r="D1517" s="3">
        <f>VLOOKUP(B1517,Sheet2!$A:$O,8,0)</f>
        <v>24510</v>
      </c>
    </row>
    <row r="1518" spans="1:4">
      <c r="A1518" s="8" t="s">
        <v>401</v>
      </c>
      <c r="B1518" s="2">
        <v>1700097</v>
      </c>
      <c r="C1518" s="2" t="s">
        <v>357</v>
      </c>
      <c r="D1518" s="3">
        <f>VLOOKUP(B1518,Sheet2!$A:$O,8,0)</f>
        <v>19608</v>
      </c>
    </row>
    <row r="1519" spans="1:4">
      <c r="A1519" s="8" t="s">
        <v>401</v>
      </c>
      <c r="B1519" s="2">
        <v>1700098</v>
      </c>
      <c r="C1519" s="2" t="s">
        <v>358</v>
      </c>
      <c r="D1519" s="3">
        <f>VLOOKUP(B1519,Sheet2!$A:$O,8,0)</f>
        <v>19608</v>
      </c>
    </row>
    <row r="1520" spans="1:4">
      <c r="A1520" s="8" t="s">
        <v>401</v>
      </c>
      <c r="B1520" s="2">
        <v>1700099</v>
      </c>
      <c r="C1520" s="2" t="s">
        <v>359</v>
      </c>
      <c r="D1520" s="3">
        <f>VLOOKUP(B1520,Sheet2!$A:$O,8,0)</f>
        <v>9000</v>
      </c>
    </row>
    <row r="1521" spans="1:4">
      <c r="A1521" s="8" t="s">
        <v>401</v>
      </c>
      <c r="B1521" s="2">
        <v>1700100</v>
      </c>
      <c r="C1521" s="2" t="s">
        <v>360</v>
      </c>
      <c r="D1521" s="3">
        <f>VLOOKUP(B1521,Sheet2!$A:$O,8,0)</f>
        <v>3030</v>
      </c>
    </row>
    <row r="1522" spans="1:4">
      <c r="A1522" s="8" t="s">
        <v>401</v>
      </c>
      <c r="B1522" s="2">
        <v>1700101</v>
      </c>
      <c r="C1522" s="2" t="s">
        <v>361</v>
      </c>
      <c r="D1522" s="3">
        <f>VLOOKUP(B1522,Sheet2!$A:$O,8,0)</f>
        <v>8647</v>
      </c>
    </row>
    <row r="1523" spans="1:4">
      <c r="A1523" s="8" t="s">
        <v>401</v>
      </c>
      <c r="B1523" s="2">
        <v>1700102</v>
      </c>
      <c r="C1523" s="2" t="s">
        <v>362</v>
      </c>
      <c r="D1523" s="3">
        <f>VLOOKUP(B1523,Sheet2!$A:$O,8,0)</f>
        <v>40196</v>
      </c>
    </row>
    <row r="1524" spans="1:4">
      <c r="A1524" s="8" t="s">
        <v>401</v>
      </c>
      <c r="B1524" s="2">
        <v>1700103</v>
      </c>
      <c r="C1524" s="2" t="s">
        <v>363</v>
      </c>
      <c r="D1524" s="3">
        <f>VLOOKUP(B1524,Sheet2!$A:$O,8,0)</f>
        <v>9000</v>
      </c>
    </row>
    <row r="1525" spans="1:4">
      <c r="A1525" s="8" t="s">
        <v>401</v>
      </c>
      <c r="B1525" s="2">
        <v>1700104</v>
      </c>
      <c r="C1525" s="2" t="s">
        <v>364</v>
      </c>
      <c r="D1525" s="3">
        <f>VLOOKUP(B1525,Sheet2!$A:$O,8,0)</f>
        <v>22620</v>
      </c>
    </row>
    <row r="1526" spans="1:4">
      <c r="A1526" s="8" t="s">
        <v>401</v>
      </c>
      <c r="B1526" s="2">
        <v>1700105</v>
      </c>
      <c r="C1526" s="2" t="s">
        <v>365</v>
      </c>
      <c r="D1526" s="3">
        <f>VLOOKUP(B1526,Sheet2!$A:$O,8,0)</f>
        <v>10588</v>
      </c>
    </row>
    <row r="1527" spans="1:4">
      <c r="A1527" s="8" t="s">
        <v>401</v>
      </c>
      <c r="B1527" s="2">
        <v>1700106</v>
      </c>
      <c r="C1527" s="2" t="s">
        <v>366</v>
      </c>
      <c r="D1527" s="3">
        <f>VLOOKUP(B1527,Sheet2!$A:$O,8,0)</f>
        <v>14020</v>
      </c>
    </row>
    <row r="1528" spans="1:4">
      <c r="A1528" s="8" t="s">
        <v>401</v>
      </c>
      <c r="B1528" s="2">
        <v>1700107</v>
      </c>
      <c r="C1528" s="2" t="s">
        <v>367</v>
      </c>
      <c r="D1528" s="3">
        <f>VLOOKUP(B1528,Sheet2!$A:$O,8,0)</f>
        <v>9020</v>
      </c>
    </row>
    <row r="1529" spans="1:4">
      <c r="A1529" s="8" t="s">
        <v>401</v>
      </c>
      <c r="B1529" s="2">
        <v>1800002</v>
      </c>
      <c r="C1529" s="2" t="s">
        <v>368</v>
      </c>
      <c r="D1529" s="3">
        <f>VLOOKUP(B1529,Sheet2!$A:$O,8,0)</f>
        <v>9520</v>
      </c>
    </row>
    <row r="1530" spans="1:4">
      <c r="A1530" s="8" t="s">
        <v>401</v>
      </c>
      <c r="B1530" s="2">
        <v>1800004</v>
      </c>
      <c r="C1530" s="2" t="s">
        <v>369</v>
      </c>
      <c r="D1530" s="3">
        <f>VLOOKUP(B1530,Sheet2!$A:$O,8,0)</f>
        <v>0</v>
      </c>
    </row>
    <row r="1531" spans="1:4">
      <c r="A1531" s="8" t="s">
        <v>401</v>
      </c>
      <c r="B1531" s="2">
        <v>1800005</v>
      </c>
      <c r="C1531" s="2" t="s">
        <v>370</v>
      </c>
      <c r="D1531" s="3">
        <f>VLOOKUP(B1531,Sheet2!$A:$O,8,0)</f>
        <v>0</v>
      </c>
    </row>
    <row r="1532" spans="1:4">
      <c r="A1532" s="8" t="s">
        <v>401</v>
      </c>
      <c r="B1532" s="2">
        <v>1800006</v>
      </c>
      <c r="C1532" s="2" t="s">
        <v>371</v>
      </c>
      <c r="D1532" s="3">
        <f>VLOOKUP(B1532,Sheet2!$A:$O,8,0)</f>
        <v>0</v>
      </c>
    </row>
    <row r="1533" spans="1:4">
      <c r="A1533" s="8" t="s">
        <v>401</v>
      </c>
      <c r="B1533" s="2">
        <v>1800007</v>
      </c>
      <c r="C1533" s="2" t="s">
        <v>372</v>
      </c>
      <c r="D1533" s="3">
        <f>VLOOKUP(B1533,Sheet2!$A:$O,8,0)</f>
        <v>10000</v>
      </c>
    </row>
    <row r="1534" spans="1:4">
      <c r="A1534" s="8" t="s">
        <v>401</v>
      </c>
      <c r="B1534" s="2">
        <v>1800008</v>
      </c>
      <c r="C1534" s="2" t="s">
        <v>373</v>
      </c>
      <c r="D1534" s="3">
        <f>VLOOKUP(B1534,Sheet2!$A:$O,8,0)</f>
        <v>10110</v>
      </c>
    </row>
    <row r="1535" spans="1:4">
      <c r="A1535" s="8" t="s">
        <v>401</v>
      </c>
      <c r="B1535" s="2">
        <v>1800009</v>
      </c>
      <c r="C1535" s="2" t="s">
        <v>374</v>
      </c>
      <c r="D1535" s="3">
        <f>VLOOKUP(B1535,Sheet2!$A:$O,8,0)</f>
        <v>11800</v>
      </c>
    </row>
    <row r="1536" spans="1:4">
      <c r="A1536" s="8" t="s">
        <v>401</v>
      </c>
      <c r="B1536" s="2">
        <v>1800010</v>
      </c>
      <c r="C1536" s="2" t="s">
        <v>375</v>
      </c>
      <c r="D1536" s="3">
        <f>VLOOKUP(B1536,Sheet2!$A:$O,8,0)</f>
        <v>5784</v>
      </c>
    </row>
    <row r="1537" spans="1:4">
      <c r="A1537" s="8" t="s">
        <v>401</v>
      </c>
      <c r="B1537" s="2">
        <v>1800011</v>
      </c>
      <c r="C1537" s="2" t="s">
        <v>376</v>
      </c>
      <c r="D1537" s="3">
        <f>VLOOKUP(B1537,Sheet2!$A:$O,8,0)</f>
        <v>9363</v>
      </c>
    </row>
    <row r="1538" spans="1:4">
      <c r="A1538" s="8" t="s">
        <v>401</v>
      </c>
      <c r="B1538" s="2">
        <v>1800012</v>
      </c>
      <c r="C1538" s="2" t="s">
        <v>377</v>
      </c>
      <c r="D1538" s="3">
        <f>VLOOKUP(B1538,Sheet2!$A:$O,8,0)</f>
        <v>5725</v>
      </c>
    </row>
    <row r="1539" spans="1:4">
      <c r="A1539" s="8" t="s">
        <v>401</v>
      </c>
      <c r="B1539" s="2">
        <v>1800013</v>
      </c>
      <c r="C1539" s="2" t="s">
        <v>378</v>
      </c>
      <c r="D1539" s="3">
        <f>VLOOKUP(B1539,Sheet2!$A:$O,8,0)</f>
        <v>49100</v>
      </c>
    </row>
    <row r="1540" spans="1:4">
      <c r="A1540" s="8" t="s">
        <v>401</v>
      </c>
      <c r="B1540" s="2">
        <v>1800014</v>
      </c>
      <c r="C1540" s="2" t="s">
        <v>379</v>
      </c>
      <c r="D1540" s="3">
        <f>VLOOKUP(B1540,Sheet2!$A:$O,8,0)</f>
        <v>70000</v>
      </c>
    </row>
    <row r="1541" spans="1:4">
      <c r="A1541" s="8" t="s">
        <v>401</v>
      </c>
      <c r="B1541" s="2">
        <v>1800015</v>
      </c>
      <c r="C1541" s="2" t="s">
        <v>380</v>
      </c>
      <c r="D1541" s="3">
        <f>VLOOKUP(B1541,Sheet2!$A:$O,8,0)</f>
        <v>66700</v>
      </c>
    </row>
    <row r="1542" spans="1:4">
      <c r="A1542" s="8" t="s">
        <v>401</v>
      </c>
      <c r="B1542" s="2">
        <v>1900013</v>
      </c>
      <c r="C1542" s="2" t="s">
        <v>381</v>
      </c>
      <c r="D1542" s="3">
        <f>VLOOKUP(B1542,Sheet2!$A:$O,8,0)</f>
        <v>0</v>
      </c>
    </row>
    <row r="1543" spans="1:4">
      <c r="A1543" s="8" t="s">
        <v>401</v>
      </c>
      <c r="B1543" s="2">
        <v>1900018</v>
      </c>
      <c r="C1543" s="2" t="s">
        <v>382</v>
      </c>
      <c r="D1543" s="3">
        <f>VLOOKUP(B1543,Sheet2!$A:$O,8,0)</f>
        <v>0</v>
      </c>
    </row>
    <row r="1544" spans="1:4">
      <c r="A1544" s="8" t="s">
        <v>402</v>
      </c>
      <c r="B1544" s="2">
        <v>1010101</v>
      </c>
      <c r="C1544" s="2" t="s">
        <v>5</v>
      </c>
      <c r="D1544" s="3">
        <f>VLOOKUP(B1544,Sheet2!$A:$O,9,0)</f>
        <v>697</v>
      </c>
    </row>
    <row r="1545" spans="1:4">
      <c r="A1545" s="8" t="s">
        <v>402</v>
      </c>
      <c r="B1545" s="2">
        <v>1010111</v>
      </c>
      <c r="C1545" s="2" t="s">
        <v>9</v>
      </c>
      <c r="D1545" s="3">
        <f>VLOOKUP(B1545,Sheet2!$A:$O,9,0)</f>
        <v>19100</v>
      </c>
    </row>
    <row r="1546" spans="1:4">
      <c r="A1546" s="8" t="s">
        <v>402</v>
      </c>
      <c r="B1546" s="2">
        <v>1010201</v>
      </c>
      <c r="C1546" s="2" t="s">
        <v>11</v>
      </c>
      <c r="D1546" s="3">
        <f>VLOOKUP(B1546,Sheet2!$A:$O,9,0)</f>
        <v>882</v>
      </c>
    </row>
    <row r="1547" spans="1:4">
      <c r="A1547" s="8" t="s">
        <v>402</v>
      </c>
      <c r="B1547" s="2">
        <v>1010300</v>
      </c>
      <c r="C1547" s="2" t="s">
        <v>213</v>
      </c>
      <c r="D1547" s="3">
        <f>VLOOKUP(B1547,Sheet2!$A:$O,9,0)</f>
        <v>5490</v>
      </c>
    </row>
    <row r="1548" spans="1:4">
      <c r="A1548" s="8" t="s">
        <v>402</v>
      </c>
      <c r="B1548" s="2">
        <v>1010301</v>
      </c>
      <c r="C1548" s="2" t="s">
        <v>214</v>
      </c>
      <c r="D1548" s="3">
        <f>VLOOKUP(B1548,Sheet2!$A:$O,9,0)</f>
        <v>5882</v>
      </c>
    </row>
    <row r="1549" spans="1:4">
      <c r="A1549" s="8" t="s">
        <v>402</v>
      </c>
      <c r="B1549" s="2">
        <v>1010302</v>
      </c>
      <c r="C1549" s="2" t="s">
        <v>16</v>
      </c>
      <c r="D1549" s="3">
        <f>VLOOKUP(B1549,Sheet2!$A:$O,9,0)</f>
        <v>4216</v>
      </c>
    </row>
    <row r="1550" spans="1:4">
      <c r="A1550" s="8" t="s">
        <v>402</v>
      </c>
      <c r="B1550" s="2">
        <v>1010303</v>
      </c>
      <c r="C1550" s="2" t="s">
        <v>18</v>
      </c>
      <c r="D1550" s="3">
        <f>VLOOKUP(B1550,Sheet2!$A:$O,9,0)</f>
        <v>882</v>
      </c>
    </row>
    <row r="1551" spans="1:4">
      <c r="A1551" s="8" t="s">
        <v>402</v>
      </c>
      <c r="B1551" s="2">
        <v>1010304</v>
      </c>
      <c r="C1551" s="2" t="s">
        <v>215</v>
      </c>
      <c r="D1551" s="3">
        <f>VLOOKUP(B1551,Sheet2!$A:$O,9,0)</f>
        <v>1225</v>
      </c>
    </row>
    <row r="1552" spans="1:4">
      <c r="A1552" s="8" t="s">
        <v>402</v>
      </c>
      <c r="B1552" s="2">
        <v>1010401</v>
      </c>
      <c r="C1552" s="2" t="s">
        <v>20</v>
      </c>
      <c r="D1552" s="3">
        <f>VLOOKUP(B1552,Sheet2!$A:$O,9,0)</f>
        <v>3627</v>
      </c>
    </row>
    <row r="1553" spans="1:4">
      <c r="A1553" s="8" t="s">
        <v>402</v>
      </c>
      <c r="B1553" s="2">
        <v>1010405</v>
      </c>
      <c r="C1553" s="2" t="s">
        <v>22</v>
      </c>
      <c r="D1553" s="3">
        <f>VLOOKUP(B1553,Sheet2!$A:$O,9,0)</f>
        <v>9975</v>
      </c>
    </row>
    <row r="1554" spans="1:4">
      <c r="A1554" s="8" t="s">
        <v>402</v>
      </c>
      <c r="B1554" s="2">
        <v>1010501</v>
      </c>
      <c r="C1554" s="2" t="s">
        <v>24</v>
      </c>
      <c r="D1554" s="3">
        <f>VLOOKUP(B1554,Sheet2!$A:$O,9,0)</f>
        <v>980</v>
      </c>
    </row>
    <row r="1555" spans="1:4">
      <c r="A1555" s="8" t="s">
        <v>402</v>
      </c>
      <c r="B1555" s="2">
        <v>1010502</v>
      </c>
      <c r="C1555" s="2" t="s">
        <v>216</v>
      </c>
      <c r="D1555" s="3">
        <f>VLOOKUP(B1555,Sheet2!$A:$O,9,0)</f>
        <v>0</v>
      </c>
    </row>
    <row r="1556" spans="1:4">
      <c r="A1556" s="8" t="s">
        <v>402</v>
      </c>
      <c r="B1556" s="2">
        <v>1010601</v>
      </c>
      <c r="C1556" s="2" t="s">
        <v>26</v>
      </c>
      <c r="D1556" s="3">
        <f>VLOOKUP(B1556,Sheet2!$A:$O,9,0)</f>
        <v>0</v>
      </c>
    </row>
    <row r="1557" spans="1:4">
      <c r="A1557" s="8" t="s">
        <v>402</v>
      </c>
      <c r="B1557" s="2">
        <v>1010701</v>
      </c>
      <c r="C1557" s="2" t="s">
        <v>28</v>
      </c>
      <c r="D1557" s="3">
        <f>VLOOKUP(B1557,Sheet2!$A:$O,9,0)</f>
        <v>686</v>
      </c>
    </row>
    <row r="1558" spans="1:4">
      <c r="A1558" s="8" t="s">
        <v>402</v>
      </c>
      <c r="B1558" s="2">
        <v>1010801</v>
      </c>
      <c r="C1558" s="2" t="s">
        <v>30</v>
      </c>
      <c r="D1558" s="3">
        <f>VLOOKUP(B1558,Sheet2!$A:$O,9,0)</f>
        <v>7157</v>
      </c>
    </row>
    <row r="1559" spans="1:4">
      <c r="A1559" s="8" t="s">
        <v>402</v>
      </c>
      <c r="B1559" s="2">
        <v>1010901</v>
      </c>
      <c r="C1559" s="2" t="s">
        <v>32</v>
      </c>
      <c r="D1559" s="3">
        <f>VLOOKUP(B1559,Sheet2!$A:$O,9,0)</f>
        <v>4902</v>
      </c>
    </row>
    <row r="1560" spans="1:4">
      <c r="A1560" s="8" t="s">
        <v>402</v>
      </c>
      <c r="B1560" s="2">
        <v>1020101</v>
      </c>
      <c r="C1560" s="2" t="s">
        <v>34</v>
      </c>
      <c r="D1560" s="3">
        <f>VLOOKUP(B1560,Sheet2!$A:$O,9,0)</f>
        <v>17451</v>
      </c>
    </row>
    <row r="1561" spans="1:4">
      <c r="A1561" s="8" t="s">
        <v>402</v>
      </c>
      <c r="B1561" s="2">
        <v>1020201</v>
      </c>
      <c r="C1561" s="2" t="s">
        <v>217</v>
      </c>
      <c r="D1561" s="3">
        <f>VLOOKUP(B1561,Sheet2!$A:$O,9,0)</f>
        <v>5600</v>
      </c>
    </row>
    <row r="1562" spans="1:4">
      <c r="A1562" s="8" t="s">
        <v>402</v>
      </c>
      <c r="B1562" s="2">
        <v>1020301</v>
      </c>
      <c r="C1562" s="2" t="s">
        <v>38</v>
      </c>
      <c r="D1562" s="3">
        <f>VLOOKUP(B1562,Sheet2!$A:$O,9,0)</f>
        <v>2100</v>
      </c>
    </row>
    <row r="1563" spans="1:4">
      <c r="A1563" s="8" t="s">
        <v>402</v>
      </c>
      <c r="B1563" s="2">
        <v>1020401</v>
      </c>
      <c r="C1563" s="2" t="s">
        <v>40</v>
      </c>
      <c r="D1563" s="3">
        <f>VLOOKUP(B1563,Sheet2!$A:$O,9,0)</f>
        <v>3500</v>
      </c>
    </row>
    <row r="1564" spans="1:4">
      <c r="A1564" s="8" t="s">
        <v>402</v>
      </c>
      <c r="B1564" s="2">
        <v>1030102</v>
      </c>
      <c r="C1564" s="2" t="s">
        <v>218</v>
      </c>
      <c r="D1564" s="3">
        <f>VLOOKUP(B1564,Sheet2!$A:$O,9,0)</f>
        <v>0</v>
      </c>
    </row>
    <row r="1565" spans="1:4">
      <c r="A1565" s="8" t="s">
        <v>402</v>
      </c>
      <c r="B1565" s="2">
        <v>1030201</v>
      </c>
      <c r="C1565" s="2" t="s">
        <v>42</v>
      </c>
      <c r="D1565" s="3">
        <f>VLOOKUP(B1565,Sheet2!$A:$O,9,0)</f>
        <v>2377</v>
      </c>
    </row>
    <row r="1566" spans="1:4">
      <c r="A1566" s="8" t="s">
        <v>402</v>
      </c>
      <c r="B1566" s="2">
        <v>1030203</v>
      </c>
      <c r="C1566" s="2" t="s">
        <v>219</v>
      </c>
      <c r="D1566" s="3">
        <f>VLOOKUP(B1566,Sheet2!$A:$O,9,0)</f>
        <v>0</v>
      </c>
    </row>
    <row r="1567" spans="1:4">
      <c r="A1567" s="8" t="s">
        <v>402</v>
      </c>
      <c r="B1567" s="2">
        <v>1030204</v>
      </c>
      <c r="C1567" s="2" t="s">
        <v>220</v>
      </c>
      <c r="D1567" s="3">
        <f>VLOOKUP(B1567,Sheet2!$A:$O,9,0)</f>
        <v>0</v>
      </c>
    </row>
    <row r="1568" spans="1:4">
      <c r="A1568" s="8" t="s">
        <v>402</v>
      </c>
      <c r="B1568" s="2">
        <v>1030205</v>
      </c>
      <c r="C1568" s="2" t="s">
        <v>44</v>
      </c>
      <c r="D1568" s="3">
        <f>VLOOKUP(B1568,Sheet2!$A:$O,9,0)</f>
        <v>5000</v>
      </c>
    </row>
    <row r="1569" spans="1:4">
      <c r="A1569" s="8" t="s">
        <v>402</v>
      </c>
      <c r="B1569" s="2">
        <v>1030206</v>
      </c>
      <c r="C1569" s="2" t="s">
        <v>46</v>
      </c>
      <c r="D1569" s="3">
        <f>VLOOKUP(B1569,Sheet2!$A:$O,9,0)</f>
        <v>6200</v>
      </c>
    </row>
    <row r="1570" spans="1:4">
      <c r="A1570" s="8" t="s">
        <v>402</v>
      </c>
      <c r="B1570" s="2">
        <v>1030207</v>
      </c>
      <c r="C1570" s="2" t="s">
        <v>48</v>
      </c>
      <c r="D1570" s="3">
        <f>VLOOKUP(B1570,Sheet2!$A:$O,9,0)</f>
        <v>4400</v>
      </c>
    </row>
    <row r="1571" spans="1:4">
      <c r="A1571" s="8" t="s">
        <v>402</v>
      </c>
      <c r="B1571" s="2">
        <v>1030501</v>
      </c>
      <c r="C1571" s="2" t="s">
        <v>50</v>
      </c>
      <c r="D1571" s="3">
        <f>VLOOKUP(B1571,Sheet2!$A:$O,9,0)</f>
        <v>1127</v>
      </c>
    </row>
    <row r="1572" spans="1:4">
      <c r="A1572" s="8" t="s">
        <v>402</v>
      </c>
      <c r="B1572" s="2">
        <v>1030601</v>
      </c>
      <c r="C1572" s="2" t="s">
        <v>52</v>
      </c>
      <c r="D1572" s="3">
        <f>VLOOKUP(B1572,Sheet2!$A:$O,9,0)</f>
        <v>3000</v>
      </c>
    </row>
    <row r="1573" spans="1:4">
      <c r="A1573" s="8" t="s">
        <v>402</v>
      </c>
      <c r="B1573" s="2">
        <v>1030701</v>
      </c>
      <c r="C1573" s="2" t="s">
        <v>221</v>
      </c>
      <c r="D1573" s="3">
        <f>VLOOKUP(B1573,Sheet2!$A:$O,9,0)</f>
        <v>3000</v>
      </c>
    </row>
    <row r="1574" spans="1:4">
      <c r="A1574" s="8" t="s">
        <v>402</v>
      </c>
      <c r="B1574" s="2">
        <v>1030705</v>
      </c>
      <c r="C1574" s="2" t="s">
        <v>222</v>
      </c>
      <c r="D1574" s="3">
        <f>VLOOKUP(B1574,Sheet2!$A:$O,9,0)</f>
        <v>0</v>
      </c>
    </row>
    <row r="1575" spans="1:4">
      <c r="A1575" s="8" t="s">
        <v>402</v>
      </c>
      <c r="B1575" s="2">
        <v>1030801</v>
      </c>
      <c r="C1575" s="2" t="s">
        <v>54</v>
      </c>
      <c r="D1575" s="3">
        <f>VLOOKUP(B1575,Sheet2!$A:$O,9,0)</f>
        <v>1373</v>
      </c>
    </row>
    <row r="1576" spans="1:4">
      <c r="A1576" s="8" t="s">
        <v>402</v>
      </c>
      <c r="B1576" s="2">
        <v>1030901</v>
      </c>
      <c r="C1576" s="2" t="s">
        <v>223</v>
      </c>
      <c r="D1576" s="3">
        <f>VLOOKUP(B1576,Sheet2!$A:$O,9,0)</f>
        <v>0</v>
      </c>
    </row>
    <row r="1577" spans="1:4">
      <c r="A1577" s="8" t="s">
        <v>402</v>
      </c>
      <c r="B1577" s="2">
        <v>1040201</v>
      </c>
      <c r="C1577" s="2" t="s">
        <v>56</v>
      </c>
      <c r="D1577" s="3">
        <f>VLOOKUP(B1577,Sheet2!$A:$O,9,0)</f>
        <v>1469</v>
      </c>
    </row>
    <row r="1578" spans="1:4">
      <c r="A1578" s="8" t="s">
        <v>402</v>
      </c>
      <c r="B1578" s="2">
        <v>1040202</v>
      </c>
      <c r="C1578" s="2" t="s">
        <v>224</v>
      </c>
      <c r="D1578" s="3">
        <f>VLOOKUP(B1578,Sheet2!$A:$O,9,0)</f>
        <v>0</v>
      </c>
    </row>
    <row r="1579" spans="1:4">
      <c r="A1579" s="8" t="s">
        <v>402</v>
      </c>
      <c r="B1579" s="2">
        <v>1040203</v>
      </c>
      <c r="C1579" s="2" t="s">
        <v>225</v>
      </c>
      <c r="D1579" s="3">
        <f>VLOOKUP(B1579,Sheet2!$A:$O,9,0)</f>
        <v>0</v>
      </c>
    </row>
    <row r="1580" spans="1:4">
      <c r="A1580" s="8" t="s">
        <v>402</v>
      </c>
      <c r="B1580" s="2">
        <v>1040204</v>
      </c>
      <c r="C1580" s="2" t="s">
        <v>226</v>
      </c>
      <c r="D1580" s="3">
        <f>VLOOKUP(B1580,Sheet2!$A:$O,9,0)</f>
        <v>7917</v>
      </c>
    </row>
    <row r="1581" spans="1:4">
      <c r="A1581" s="8" t="s">
        <v>402</v>
      </c>
      <c r="B1581" s="2">
        <v>1040301</v>
      </c>
      <c r="C1581" s="2" t="s">
        <v>58</v>
      </c>
      <c r="D1581" s="3">
        <f>VLOOKUP(B1581,Sheet2!$A:$O,9,0)</f>
        <v>1650</v>
      </c>
    </row>
    <row r="1582" spans="1:4">
      <c r="A1582" s="8" t="s">
        <v>402</v>
      </c>
      <c r="B1582" s="2">
        <v>1040401</v>
      </c>
      <c r="C1582" s="2" t="s">
        <v>227</v>
      </c>
      <c r="D1582" s="3">
        <f>VLOOKUP(B1582,Sheet2!$A:$O,9,0)</f>
        <v>0</v>
      </c>
    </row>
    <row r="1583" spans="1:4">
      <c r="A1583" s="8" t="s">
        <v>402</v>
      </c>
      <c r="B1583" s="2">
        <v>1050102</v>
      </c>
      <c r="C1583" s="2" t="s">
        <v>60</v>
      </c>
      <c r="D1583" s="3">
        <f>VLOOKUP(B1583,Sheet2!$A:$O,9,0)</f>
        <v>29500</v>
      </c>
    </row>
    <row r="1584" spans="1:4">
      <c r="A1584" s="8" t="s">
        <v>402</v>
      </c>
      <c r="B1584" s="2">
        <v>1050103</v>
      </c>
      <c r="C1584" s="2" t="s">
        <v>228</v>
      </c>
      <c r="D1584" s="3">
        <f>VLOOKUP(B1584,Sheet2!$A:$O,9,0)</f>
        <v>11275</v>
      </c>
    </row>
    <row r="1585" spans="1:4">
      <c r="A1585" s="8" t="s">
        <v>402</v>
      </c>
      <c r="B1585" s="2">
        <v>1050301</v>
      </c>
      <c r="C1585" s="2" t="s">
        <v>62</v>
      </c>
      <c r="D1585" s="3">
        <f>VLOOKUP(B1585,Sheet2!$A:$O,9,0)</f>
        <v>9804</v>
      </c>
    </row>
    <row r="1586" spans="1:4">
      <c r="A1586" s="8" t="s">
        <v>402</v>
      </c>
      <c r="B1586" s="2">
        <v>1050401</v>
      </c>
      <c r="C1586" s="2" t="s">
        <v>64</v>
      </c>
      <c r="D1586" s="3">
        <f>VLOOKUP(B1586,Sheet2!$A:$O,9,0)</f>
        <v>8824</v>
      </c>
    </row>
    <row r="1587" spans="1:4">
      <c r="A1587" s="8" t="s">
        <v>402</v>
      </c>
      <c r="B1587" s="2">
        <v>1050501</v>
      </c>
      <c r="C1587" s="2" t="s">
        <v>66</v>
      </c>
      <c r="D1587" s="3">
        <f>VLOOKUP(B1587,Sheet2!$A:$O,9,0)</f>
        <v>10784</v>
      </c>
    </row>
    <row r="1588" spans="1:4">
      <c r="A1588" s="8" t="s">
        <v>402</v>
      </c>
      <c r="B1588" s="2">
        <v>1050511</v>
      </c>
      <c r="C1588" s="2" t="s">
        <v>68</v>
      </c>
      <c r="D1588" s="3">
        <f>VLOOKUP(B1588,Sheet2!$A:$O,9,0)</f>
        <v>18000</v>
      </c>
    </row>
    <row r="1589" spans="1:4">
      <c r="A1589" s="8" t="s">
        <v>402</v>
      </c>
      <c r="B1589" s="2">
        <v>1050512</v>
      </c>
      <c r="C1589" s="2" t="s">
        <v>229</v>
      </c>
      <c r="D1589" s="3">
        <f>VLOOKUP(B1589,Sheet2!$A:$O,9,0)</f>
        <v>0</v>
      </c>
    </row>
    <row r="1590" spans="1:4">
      <c r="A1590" s="8" t="s">
        <v>402</v>
      </c>
      <c r="B1590" s="2">
        <v>1050521</v>
      </c>
      <c r="C1590" s="2" t="s">
        <v>70</v>
      </c>
      <c r="D1590" s="3">
        <f>VLOOKUP(B1590,Sheet2!$A:$O,9,0)</f>
        <v>14706</v>
      </c>
    </row>
    <row r="1591" spans="1:4">
      <c r="A1591" s="8" t="s">
        <v>402</v>
      </c>
      <c r="B1591" s="2">
        <v>1050531</v>
      </c>
      <c r="C1591" s="2" t="s">
        <v>72</v>
      </c>
      <c r="D1591" s="3">
        <f>VLOOKUP(B1591,Sheet2!$A:$O,9,0)</f>
        <v>21000</v>
      </c>
    </row>
    <row r="1592" spans="1:4">
      <c r="A1592" s="8" t="s">
        <v>402</v>
      </c>
      <c r="B1592" s="2">
        <v>1050541</v>
      </c>
      <c r="C1592" s="2" t="s">
        <v>74</v>
      </c>
      <c r="D1592" s="3">
        <f>VLOOKUP(B1592,Sheet2!$A:$O,9,0)</f>
        <v>11000</v>
      </c>
    </row>
    <row r="1593" spans="1:4">
      <c r="A1593" s="8" t="s">
        <v>402</v>
      </c>
      <c r="B1593" s="2">
        <v>1050551</v>
      </c>
      <c r="C1593" s="2" t="s">
        <v>76</v>
      </c>
      <c r="D1593" s="3">
        <f>VLOOKUP(B1593,Sheet2!$A:$O,9,0)</f>
        <v>54000</v>
      </c>
    </row>
    <row r="1594" spans="1:4">
      <c r="A1594" s="8" t="s">
        <v>402</v>
      </c>
      <c r="B1594" s="2">
        <v>1050561</v>
      </c>
      <c r="C1594" s="2" t="s">
        <v>78</v>
      </c>
      <c r="D1594" s="3">
        <f>VLOOKUP(B1594,Sheet2!$A:$O,9,0)</f>
        <v>98000</v>
      </c>
    </row>
    <row r="1595" spans="1:4">
      <c r="A1595" s="8" t="s">
        <v>402</v>
      </c>
      <c r="B1595" s="2">
        <v>1050571</v>
      </c>
      <c r="C1595" s="2" t="s">
        <v>80</v>
      </c>
      <c r="D1595" s="3">
        <f>VLOOKUP(B1595,Sheet2!$A:$O,9,0)</f>
        <v>58000</v>
      </c>
    </row>
    <row r="1596" spans="1:4">
      <c r="A1596" s="8" t="s">
        <v>402</v>
      </c>
      <c r="B1596" s="2">
        <v>1050581</v>
      </c>
      <c r="C1596" s="2" t="s">
        <v>82</v>
      </c>
      <c r="D1596" s="3">
        <f>VLOOKUP(B1596,Sheet2!$A:$O,9,0)</f>
        <v>57000</v>
      </c>
    </row>
    <row r="1597" spans="1:4">
      <c r="A1597" s="8" t="s">
        <v>402</v>
      </c>
      <c r="B1597" s="2">
        <v>1050591</v>
      </c>
      <c r="C1597" s="2" t="s">
        <v>84</v>
      </c>
      <c r="D1597" s="3">
        <f>VLOOKUP(B1597,Sheet2!$A:$O,9,0)</f>
        <v>97750</v>
      </c>
    </row>
    <row r="1598" spans="1:4">
      <c r="A1598" s="8" t="s">
        <v>402</v>
      </c>
      <c r="B1598" s="2">
        <v>1050601</v>
      </c>
      <c r="C1598" s="2" t="s">
        <v>86</v>
      </c>
      <c r="D1598" s="3">
        <f>VLOOKUP(B1598,Sheet2!$A:$O,9,0)</f>
        <v>5900</v>
      </c>
    </row>
    <row r="1599" spans="1:4">
      <c r="A1599" s="8" t="s">
        <v>402</v>
      </c>
      <c r="B1599" s="2">
        <v>1050701</v>
      </c>
      <c r="C1599" s="2" t="s">
        <v>88</v>
      </c>
      <c r="D1599" s="3">
        <f>VLOOKUP(B1599,Sheet2!$A:$O,9,0)</f>
        <v>5700</v>
      </c>
    </row>
    <row r="1600" spans="1:4">
      <c r="A1600" s="8" t="s">
        <v>402</v>
      </c>
      <c r="B1600" s="2">
        <v>1050702</v>
      </c>
      <c r="C1600" s="2" t="s">
        <v>90</v>
      </c>
      <c r="D1600" s="3">
        <f>VLOOKUP(B1600,Sheet2!$A:$O,9,0)</f>
        <v>5700</v>
      </c>
    </row>
    <row r="1601" spans="1:4">
      <c r="A1601" s="8" t="s">
        <v>402</v>
      </c>
      <c r="B1601" s="2">
        <v>1050711</v>
      </c>
      <c r="C1601" s="2" t="s">
        <v>92</v>
      </c>
      <c r="D1601" s="3">
        <f>VLOOKUP(B1601,Sheet2!$A:$O,9,0)</f>
        <v>2900</v>
      </c>
    </row>
    <row r="1602" spans="1:4">
      <c r="A1602" s="8" t="s">
        <v>402</v>
      </c>
      <c r="B1602" s="2">
        <v>1050721</v>
      </c>
      <c r="C1602" s="2" t="s">
        <v>94</v>
      </c>
      <c r="D1602" s="3">
        <f>VLOOKUP(B1602,Sheet2!$A:$O,9,0)</f>
        <v>14800</v>
      </c>
    </row>
    <row r="1603" spans="1:4">
      <c r="A1603" s="8" t="s">
        <v>402</v>
      </c>
      <c r="B1603" s="2">
        <v>1050801</v>
      </c>
      <c r="C1603" s="2" t="s">
        <v>7</v>
      </c>
      <c r="D1603" s="3">
        <f>VLOOKUP(B1603,Sheet2!$A:$O,9,0)</f>
        <v>1044</v>
      </c>
    </row>
    <row r="1604" spans="1:4">
      <c r="A1604" s="8" t="s">
        <v>402</v>
      </c>
      <c r="B1604" s="2">
        <v>1050901</v>
      </c>
      <c r="C1604" s="2" t="s">
        <v>96</v>
      </c>
      <c r="D1604" s="3">
        <f>VLOOKUP(B1604,Sheet2!$A:$O,9,0)</f>
        <v>1402</v>
      </c>
    </row>
    <row r="1605" spans="1:4">
      <c r="A1605" s="8" t="s">
        <v>402</v>
      </c>
      <c r="B1605" s="2">
        <v>1060101</v>
      </c>
      <c r="C1605" s="2" t="s">
        <v>98</v>
      </c>
      <c r="D1605" s="3">
        <f>VLOOKUP(B1605,Sheet2!$A:$O,9,0)</f>
        <v>2183</v>
      </c>
    </row>
    <row r="1606" spans="1:4">
      <c r="A1606" s="8" t="s">
        <v>402</v>
      </c>
      <c r="B1606" s="2">
        <v>1060401</v>
      </c>
      <c r="C1606" s="2" t="s">
        <v>100</v>
      </c>
      <c r="D1606" s="3">
        <f>VLOOKUP(B1606,Sheet2!$A:$O,9,0)</f>
        <v>71000</v>
      </c>
    </row>
    <row r="1607" spans="1:4">
      <c r="A1607" s="8" t="s">
        <v>402</v>
      </c>
      <c r="B1607" s="2">
        <v>1060412</v>
      </c>
      <c r="C1607" s="2" t="s">
        <v>230</v>
      </c>
      <c r="D1607" s="3">
        <f>VLOOKUP(B1607,Sheet2!$A:$O,9,0)</f>
        <v>33000</v>
      </c>
    </row>
    <row r="1608" spans="1:4">
      <c r="A1608" s="8" t="s">
        <v>402</v>
      </c>
      <c r="B1608" s="2">
        <v>1060421</v>
      </c>
      <c r="C1608" s="2" t="s">
        <v>104</v>
      </c>
      <c r="D1608" s="3">
        <f>VLOOKUP(B1608,Sheet2!$A:$O,9,0)</f>
        <v>76000</v>
      </c>
    </row>
    <row r="1609" spans="1:4">
      <c r="A1609" s="8" t="s">
        <v>402</v>
      </c>
      <c r="B1609" s="2">
        <v>1060441</v>
      </c>
      <c r="C1609" s="2" t="s">
        <v>106</v>
      </c>
      <c r="D1609" s="3">
        <f>VLOOKUP(B1609,Sheet2!$A:$O,9,0)</f>
        <v>5200</v>
      </c>
    </row>
    <row r="1610" spans="1:4">
      <c r="A1610" s="8" t="s">
        <v>402</v>
      </c>
      <c r="B1610" s="2">
        <v>1060451</v>
      </c>
      <c r="C1610" s="2" t="s">
        <v>108</v>
      </c>
      <c r="D1610" s="3">
        <f>VLOOKUP(B1610,Sheet2!$A:$O,9,0)</f>
        <v>38235</v>
      </c>
    </row>
    <row r="1611" spans="1:4">
      <c r="A1611" s="8" t="s">
        <v>402</v>
      </c>
      <c r="B1611" s="2">
        <v>1070101</v>
      </c>
      <c r="C1611" s="2" t="s">
        <v>110</v>
      </c>
      <c r="D1611" s="3">
        <f>VLOOKUP(B1611,Sheet2!$A:$O,9,0)</f>
        <v>4000</v>
      </c>
    </row>
    <row r="1612" spans="1:4">
      <c r="A1612" s="8" t="s">
        <v>402</v>
      </c>
      <c r="B1612" s="2">
        <v>1070301</v>
      </c>
      <c r="C1612" s="2" t="s">
        <v>112</v>
      </c>
      <c r="D1612" s="3">
        <f>VLOOKUP(B1612,Sheet2!$A:$O,9,0)</f>
        <v>37000</v>
      </c>
    </row>
    <row r="1613" spans="1:4">
      <c r="A1613" s="8" t="s">
        <v>402</v>
      </c>
      <c r="B1613" s="2">
        <v>1070401</v>
      </c>
      <c r="C1613" s="2" t="s">
        <v>114</v>
      </c>
      <c r="D1613" s="3">
        <f>VLOOKUP(B1613,Sheet2!$A:$O,9,0)</f>
        <v>12000</v>
      </c>
    </row>
    <row r="1614" spans="1:4">
      <c r="A1614" s="8" t="s">
        <v>402</v>
      </c>
      <c r="B1614" s="2">
        <v>1070501</v>
      </c>
      <c r="C1614" s="2" t="s">
        <v>231</v>
      </c>
      <c r="D1614" s="3">
        <f>VLOOKUP(B1614,Sheet2!$A:$O,9,0)</f>
        <v>5500</v>
      </c>
    </row>
    <row r="1615" spans="1:4">
      <c r="A1615" s="8" t="s">
        <v>402</v>
      </c>
      <c r="B1615" s="2">
        <v>1070701</v>
      </c>
      <c r="C1615" s="2" t="s">
        <v>118</v>
      </c>
      <c r="D1615" s="3">
        <f>VLOOKUP(B1615,Sheet2!$A:$O,9,0)</f>
        <v>36000</v>
      </c>
    </row>
    <row r="1616" spans="1:4">
      <c r="A1616" s="8" t="s">
        <v>402</v>
      </c>
      <c r="B1616" s="2">
        <v>1070801</v>
      </c>
      <c r="C1616" s="2" t="s">
        <v>232</v>
      </c>
      <c r="D1616" s="3">
        <f>VLOOKUP(B1616,Sheet2!$A:$O,9,0)</f>
        <v>35000</v>
      </c>
    </row>
    <row r="1617" spans="1:4">
      <c r="A1617" s="8" t="s">
        <v>402</v>
      </c>
      <c r="B1617" s="2">
        <v>1080101</v>
      </c>
      <c r="C1617" s="2" t="s">
        <v>120</v>
      </c>
      <c r="D1617" s="3">
        <f>VLOOKUP(B1617,Sheet2!$A:$O,9,0)</f>
        <v>11000</v>
      </c>
    </row>
    <row r="1618" spans="1:4">
      <c r="A1618" s="8" t="s">
        <v>402</v>
      </c>
      <c r="B1618" s="2">
        <v>1080201</v>
      </c>
      <c r="C1618" s="2" t="s">
        <v>122</v>
      </c>
      <c r="D1618" s="3">
        <f>VLOOKUP(B1618,Sheet2!$A:$O,9,0)</f>
        <v>540</v>
      </c>
    </row>
    <row r="1619" spans="1:4">
      <c r="A1619" s="8" t="s">
        <v>402</v>
      </c>
      <c r="B1619" s="2">
        <v>1080301</v>
      </c>
      <c r="C1619" s="2" t="s">
        <v>124</v>
      </c>
      <c r="D1619" s="3">
        <f>VLOOKUP(B1619,Sheet2!$A:$O,9,0)</f>
        <v>1550</v>
      </c>
    </row>
    <row r="1620" spans="1:4">
      <c r="A1620" s="8" t="s">
        <v>402</v>
      </c>
      <c r="B1620" s="2">
        <v>1080401</v>
      </c>
      <c r="C1620" s="2" t="s">
        <v>233</v>
      </c>
      <c r="D1620" s="3">
        <f>VLOOKUP(B1620,Sheet2!$A:$O,9,0)</f>
        <v>3300</v>
      </c>
    </row>
    <row r="1621" spans="1:4">
      <c r="A1621" s="8" t="s">
        <v>402</v>
      </c>
      <c r="B1621" s="2">
        <v>1080411</v>
      </c>
      <c r="C1621" s="2" t="s">
        <v>128</v>
      </c>
      <c r="D1621" s="3">
        <f>VLOOKUP(B1621,Sheet2!$A:$O,9,0)</f>
        <v>3300</v>
      </c>
    </row>
    <row r="1622" spans="1:4">
      <c r="A1622" s="8" t="s">
        <v>402</v>
      </c>
      <c r="B1622" s="2">
        <v>1080501</v>
      </c>
      <c r="C1622" s="2" t="s">
        <v>130</v>
      </c>
      <c r="D1622" s="3">
        <f>VLOOKUP(B1622,Sheet2!$A:$O,9,0)</f>
        <v>3800</v>
      </c>
    </row>
    <row r="1623" spans="1:4">
      <c r="A1623" s="8" t="s">
        <v>402</v>
      </c>
      <c r="B1623" s="2">
        <v>1080602</v>
      </c>
      <c r="C1623" s="2" t="s">
        <v>234</v>
      </c>
      <c r="D1623" s="3">
        <f>VLOOKUP(B1623,Sheet2!$A:$O,9,0)</f>
        <v>37600</v>
      </c>
    </row>
    <row r="1624" spans="1:4">
      <c r="A1624" s="8" t="s">
        <v>402</v>
      </c>
      <c r="B1624" s="2">
        <v>1080604</v>
      </c>
      <c r="C1624" s="2" t="s">
        <v>235</v>
      </c>
      <c r="D1624" s="3">
        <f>VLOOKUP(B1624,Sheet2!$A:$O,9,0)</f>
        <v>0</v>
      </c>
    </row>
    <row r="1625" spans="1:4">
      <c r="A1625" s="8" t="s">
        <v>402</v>
      </c>
      <c r="B1625" s="2">
        <v>1080702</v>
      </c>
      <c r="C1625" s="2" t="s">
        <v>236</v>
      </c>
      <c r="D1625" s="3">
        <f>VLOOKUP(B1625,Sheet2!$A:$O,9,0)</f>
        <v>42500</v>
      </c>
    </row>
    <row r="1626" spans="1:4">
      <c r="A1626" s="8" t="s">
        <v>402</v>
      </c>
      <c r="B1626" s="2">
        <v>1080704</v>
      </c>
      <c r="C1626" s="2" t="s">
        <v>237</v>
      </c>
      <c r="D1626" s="3">
        <f>VLOOKUP(B1626,Sheet2!$A:$O,9,0)</f>
        <v>0</v>
      </c>
    </row>
    <row r="1627" spans="1:4">
      <c r="A1627" s="8" t="s">
        <v>402</v>
      </c>
      <c r="B1627" s="2">
        <v>1090104</v>
      </c>
      <c r="C1627" s="2" t="s">
        <v>136</v>
      </c>
      <c r="D1627" s="3">
        <f>VLOOKUP(B1627,Sheet2!$A:$O,9,0)</f>
        <v>40000</v>
      </c>
    </row>
    <row r="1628" spans="1:4">
      <c r="A1628" s="8" t="s">
        <v>402</v>
      </c>
      <c r="B1628" s="2">
        <v>1090112</v>
      </c>
      <c r="C1628" s="2" t="s">
        <v>138</v>
      </c>
      <c r="D1628" s="3">
        <f>VLOOKUP(B1628,Sheet2!$A:$O,9,0)</f>
        <v>35000</v>
      </c>
    </row>
    <row r="1629" spans="1:4">
      <c r="A1629" s="8" t="s">
        <v>402</v>
      </c>
      <c r="B1629" s="2">
        <v>1090201</v>
      </c>
      <c r="C1629" s="2" t="s">
        <v>140</v>
      </c>
      <c r="D1629" s="3">
        <f>VLOOKUP(B1629,Sheet2!$A:$O,9,0)</f>
        <v>15800</v>
      </c>
    </row>
    <row r="1630" spans="1:4">
      <c r="A1630" s="8" t="s">
        <v>402</v>
      </c>
      <c r="B1630" s="2">
        <v>1090202</v>
      </c>
      <c r="C1630" s="2" t="s">
        <v>142</v>
      </c>
      <c r="D1630" s="3">
        <f>VLOOKUP(B1630,Sheet2!$A:$O,9,0)</f>
        <v>98000</v>
      </c>
    </row>
    <row r="1631" spans="1:4">
      <c r="A1631" s="8" t="s">
        <v>402</v>
      </c>
      <c r="B1631" s="2">
        <v>1090203</v>
      </c>
      <c r="C1631" s="2" t="s">
        <v>144</v>
      </c>
      <c r="D1631" s="3">
        <f>VLOOKUP(B1631,Sheet2!$A:$O,9,0)</f>
        <v>23000</v>
      </c>
    </row>
    <row r="1632" spans="1:4">
      <c r="A1632" s="8" t="s">
        <v>402</v>
      </c>
      <c r="B1632" s="2">
        <v>1090211</v>
      </c>
      <c r="C1632" s="2" t="s">
        <v>146</v>
      </c>
      <c r="D1632" s="3">
        <f>VLOOKUP(B1632,Sheet2!$A:$O,9,0)</f>
        <v>67647</v>
      </c>
    </row>
    <row r="1633" spans="1:4">
      <c r="A1633" s="8" t="s">
        <v>402</v>
      </c>
      <c r="B1633" s="2">
        <v>1090301</v>
      </c>
      <c r="C1633" s="2" t="s">
        <v>238</v>
      </c>
      <c r="D1633" s="3">
        <f>VLOOKUP(B1633,Sheet2!$A:$O,9,0)</f>
        <v>32000</v>
      </c>
    </row>
    <row r="1634" spans="1:4">
      <c r="A1634" s="8" t="s">
        <v>402</v>
      </c>
      <c r="B1634" s="2">
        <v>1090311</v>
      </c>
      <c r="C1634" s="2" t="s">
        <v>150</v>
      </c>
      <c r="D1634" s="3">
        <f>VLOOKUP(B1634,Sheet2!$A:$O,9,0)</f>
        <v>37000</v>
      </c>
    </row>
    <row r="1635" spans="1:4">
      <c r="A1635" s="8" t="s">
        <v>402</v>
      </c>
      <c r="B1635" s="2">
        <v>1090321</v>
      </c>
      <c r="C1635" s="2" t="s">
        <v>152</v>
      </c>
      <c r="D1635" s="3">
        <f>VLOOKUP(B1635,Sheet2!$A:$O,9,0)</f>
        <v>75000</v>
      </c>
    </row>
    <row r="1636" spans="1:4">
      <c r="A1636" s="8" t="s">
        <v>402</v>
      </c>
      <c r="B1636" s="2">
        <v>1090401</v>
      </c>
      <c r="C1636" s="2" t="s">
        <v>154</v>
      </c>
      <c r="D1636" s="3">
        <f>VLOOKUP(B1636,Sheet2!$A:$O,9,0)</f>
        <v>8300</v>
      </c>
    </row>
    <row r="1637" spans="1:4">
      <c r="A1637" s="8" t="s">
        <v>402</v>
      </c>
      <c r="B1637" s="2">
        <v>1090411</v>
      </c>
      <c r="C1637" s="2" t="s">
        <v>156</v>
      </c>
      <c r="D1637" s="3">
        <f>VLOOKUP(B1637,Sheet2!$A:$O,9,0)</f>
        <v>45000</v>
      </c>
    </row>
    <row r="1638" spans="1:4">
      <c r="A1638" s="8" t="s">
        <v>402</v>
      </c>
      <c r="B1638" s="2">
        <v>1090421</v>
      </c>
      <c r="C1638" s="2" t="s">
        <v>158</v>
      </c>
      <c r="D1638" s="3">
        <f>VLOOKUP(B1638,Sheet2!$A:$O,9,0)</f>
        <v>36000</v>
      </c>
    </row>
    <row r="1639" spans="1:4">
      <c r="A1639" s="8" t="s">
        <v>402</v>
      </c>
      <c r="B1639" s="2">
        <v>1090551</v>
      </c>
      <c r="C1639" s="2" t="s">
        <v>239</v>
      </c>
      <c r="D1639" s="3">
        <f>VLOOKUP(B1639,Sheet2!$A:$O,9,0)</f>
        <v>4900</v>
      </c>
    </row>
    <row r="1640" spans="1:4">
      <c r="A1640" s="8" t="s">
        <v>402</v>
      </c>
      <c r="B1640" s="2">
        <v>1090602</v>
      </c>
      <c r="C1640" s="2" t="s">
        <v>162</v>
      </c>
      <c r="D1640" s="3">
        <f>VLOOKUP(B1640,Sheet2!$A:$O,9,0)</f>
        <v>5130</v>
      </c>
    </row>
    <row r="1641" spans="1:4">
      <c r="A1641" s="8" t="s">
        <v>402</v>
      </c>
      <c r="B1641" s="2">
        <v>1090611</v>
      </c>
      <c r="C1641" s="2" t="s">
        <v>164</v>
      </c>
      <c r="D1641" s="3">
        <f>VLOOKUP(B1641,Sheet2!$A:$O,9,0)</f>
        <v>4203</v>
      </c>
    </row>
    <row r="1642" spans="1:4">
      <c r="A1642" s="8" t="s">
        <v>402</v>
      </c>
      <c r="B1642" s="2">
        <v>1090701</v>
      </c>
      <c r="C1642" s="2" t="s">
        <v>166</v>
      </c>
      <c r="D1642" s="3">
        <f>VLOOKUP(B1642,Sheet2!$A:$O,9,0)</f>
        <v>21000</v>
      </c>
    </row>
    <row r="1643" spans="1:4">
      <c r="A1643" s="8" t="s">
        <v>402</v>
      </c>
      <c r="B1643" s="2">
        <v>1090901</v>
      </c>
      <c r="C1643" s="2" t="s">
        <v>168</v>
      </c>
      <c r="D1643" s="3">
        <f>VLOOKUP(B1643,Sheet2!$A:$O,9,0)</f>
        <v>4300</v>
      </c>
    </row>
    <row r="1644" spans="1:4">
      <c r="A1644" s="8" t="s">
        <v>402</v>
      </c>
      <c r="B1644" s="2">
        <v>1091001</v>
      </c>
      <c r="C1644" s="2" t="s">
        <v>170</v>
      </c>
      <c r="D1644" s="3">
        <f>VLOOKUP(B1644,Sheet2!$A:$O,9,0)</f>
        <v>7000</v>
      </c>
    </row>
    <row r="1645" spans="1:4">
      <c r="A1645" s="8" t="s">
        <v>402</v>
      </c>
      <c r="B1645" s="2">
        <v>1091002</v>
      </c>
      <c r="C1645" s="2" t="s">
        <v>172</v>
      </c>
      <c r="D1645" s="3">
        <f>VLOOKUP(B1645,Sheet2!$A:$O,9,0)</f>
        <v>6373</v>
      </c>
    </row>
    <row r="1646" spans="1:4">
      <c r="A1646" s="8" t="s">
        <v>402</v>
      </c>
      <c r="B1646" s="2">
        <v>1091003</v>
      </c>
      <c r="C1646" s="2" t="s">
        <v>174</v>
      </c>
      <c r="D1646" s="3">
        <f>VLOOKUP(B1646,Sheet2!$A:$O,9,0)</f>
        <v>9784</v>
      </c>
    </row>
    <row r="1647" spans="1:4">
      <c r="A1647" s="8" t="s">
        <v>402</v>
      </c>
      <c r="B1647" s="2">
        <v>1091004</v>
      </c>
      <c r="C1647" s="2" t="s">
        <v>240</v>
      </c>
      <c r="D1647" s="3">
        <f>VLOOKUP(B1647,Sheet2!$A:$O,9,0)</f>
        <v>0</v>
      </c>
    </row>
    <row r="1648" spans="1:4">
      <c r="A1648" s="8" t="s">
        <v>402</v>
      </c>
      <c r="B1648" s="2">
        <v>1091005</v>
      </c>
      <c r="C1648" s="2" t="s">
        <v>241</v>
      </c>
      <c r="D1648" s="3">
        <f>VLOOKUP(B1648,Sheet2!$A:$O,9,0)</f>
        <v>0</v>
      </c>
    </row>
    <row r="1649" spans="1:4">
      <c r="A1649" s="8" t="s">
        <v>402</v>
      </c>
      <c r="B1649" s="2">
        <v>1091006</v>
      </c>
      <c r="C1649" s="2" t="s">
        <v>242</v>
      </c>
      <c r="D1649" s="3">
        <f>VLOOKUP(B1649,Sheet2!$A:$O,9,0)</f>
        <v>0</v>
      </c>
    </row>
    <row r="1650" spans="1:4">
      <c r="A1650" s="8" t="s">
        <v>402</v>
      </c>
      <c r="B1650" s="2">
        <v>1091007</v>
      </c>
      <c r="C1650" s="2" t="s">
        <v>243</v>
      </c>
      <c r="D1650" s="3">
        <f>VLOOKUP(B1650,Sheet2!$A:$O,9,0)</f>
        <v>2640</v>
      </c>
    </row>
    <row r="1651" spans="1:4">
      <c r="A1651" s="8" t="s">
        <v>402</v>
      </c>
      <c r="B1651" s="2">
        <v>1091008</v>
      </c>
      <c r="C1651" s="2" t="s">
        <v>176</v>
      </c>
      <c r="D1651" s="3">
        <f>VLOOKUP(B1651,Sheet2!$A:$O,9,0)</f>
        <v>0</v>
      </c>
    </row>
    <row r="1652" spans="1:4">
      <c r="A1652" s="8" t="s">
        <v>402</v>
      </c>
      <c r="B1652" s="2">
        <v>1091009</v>
      </c>
      <c r="C1652" s="2" t="s">
        <v>178</v>
      </c>
      <c r="D1652" s="3">
        <f>VLOOKUP(B1652,Sheet2!$A:$O,9,0)</f>
        <v>0</v>
      </c>
    </row>
    <row r="1653" spans="1:4">
      <c r="A1653" s="8" t="s">
        <v>402</v>
      </c>
      <c r="B1653" s="2">
        <v>1091010</v>
      </c>
      <c r="C1653" s="2" t="s">
        <v>180</v>
      </c>
      <c r="D1653" s="3">
        <f>VLOOKUP(B1653,Sheet2!$A:$O,9,0)</f>
        <v>27000</v>
      </c>
    </row>
    <row r="1654" spans="1:4">
      <c r="A1654" s="8" t="s">
        <v>402</v>
      </c>
      <c r="B1654" s="2">
        <v>1091011</v>
      </c>
      <c r="C1654" s="2" t="s">
        <v>182</v>
      </c>
      <c r="D1654" s="3">
        <f>VLOOKUP(B1654,Sheet2!$A:$O,9,0)</f>
        <v>33000</v>
      </c>
    </row>
    <row r="1655" spans="1:4">
      <c r="A1655" s="8" t="s">
        <v>402</v>
      </c>
      <c r="B1655" s="2">
        <v>1091012</v>
      </c>
      <c r="C1655" s="2" t="s">
        <v>184</v>
      </c>
      <c r="D1655" s="3">
        <f>VLOOKUP(B1655,Sheet2!$A:$O,9,0)</f>
        <v>47000</v>
      </c>
    </row>
    <row r="1656" spans="1:4">
      <c r="A1656" s="8" t="s">
        <v>402</v>
      </c>
      <c r="B1656" s="2">
        <v>1091013</v>
      </c>
      <c r="C1656" s="2" t="s">
        <v>186</v>
      </c>
      <c r="D1656" s="3">
        <f>VLOOKUP(B1656,Sheet2!$A:$O,9,0)</f>
        <v>33000</v>
      </c>
    </row>
    <row r="1657" spans="1:4">
      <c r="A1657" s="8" t="s">
        <v>402</v>
      </c>
      <c r="B1657" s="2">
        <v>1091014</v>
      </c>
      <c r="C1657" s="2" t="s">
        <v>244</v>
      </c>
      <c r="D1657" s="3">
        <f>VLOOKUP(B1657,Sheet2!$A:$O,9,0)</f>
        <v>6961</v>
      </c>
    </row>
    <row r="1658" spans="1:4">
      <c r="A1658" s="8" t="s">
        <v>402</v>
      </c>
      <c r="B1658" s="2">
        <v>1091015</v>
      </c>
      <c r="C1658" s="2" t="s">
        <v>245</v>
      </c>
      <c r="D1658" s="3">
        <f>VLOOKUP(B1658,Sheet2!$A:$O,9,0)</f>
        <v>28000</v>
      </c>
    </row>
    <row r="1659" spans="1:4">
      <c r="A1659" s="8" t="s">
        <v>402</v>
      </c>
      <c r="B1659" s="2">
        <v>1091016</v>
      </c>
      <c r="C1659" s="2" t="s">
        <v>246</v>
      </c>
      <c r="D1659" s="3">
        <f>VLOOKUP(B1659,Sheet2!$A:$O,9,0)</f>
        <v>54594</v>
      </c>
    </row>
    <row r="1660" spans="1:4">
      <c r="A1660" s="8" t="s">
        <v>402</v>
      </c>
      <c r="B1660" s="2">
        <v>1091017</v>
      </c>
      <c r="C1660" s="2" t="s">
        <v>247</v>
      </c>
      <c r="D1660" s="3">
        <f>VLOOKUP(B1660,Sheet2!$A:$O,9,0)</f>
        <v>0</v>
      </c>
    </row>
    <row r="1661" spans="1:4">
      <c r="A1661" s="8" t="s">
        <v>402</v>
      </c>
      <c r="B1661" s="2">
        <v>1091018</v>
      </c>
      <c r="C1661" s="2" t="s">
        <v>248</v>
      </c>
      <c r="D1661" s="3">
        <f>VLOOKUP(B1661,Sheet2!$A:$O,9,0)</f>
        <v>0</v>
      </c>
    </row>
    <row r="1662" spans="1:4">
      <c r="A1662" s="8" t="s">
        <v>402</v>
      </c>
      <c r="B1662" s="2">
        <v>1091019</v>
      </c>
      <c r="C1662" s="2" t="s">
        <v>249</v>
      </c>
      <c r="D1662" s="3">
        <f>VLOOKUP(B1662,Sheet2!$A:$O,9,0)</f>
        <v>53387</v>
      </c>
    </row>
    <row r="1663" spans="1:4">
      <c r="A1663" s="8" t="s">
        <v>402</v>
      </c>
      <c r="B1663" s="2">
        <v>1091020</v>
      </c>
      <c r="C1663" s="2" t="s">
        <v>250</v>
      </c>
      <c r="D1663" s="3">
        <f>VLOOKUP(B1663,Sheet2!$A:$O,9,0)</f>
        <v>62745</v>
      </c>
    </row>
    <row r="1664" spans="1:4">
      <c r="A1664" s="8" t="s">
        <v>402</v>
      </c>
      <c r="B1664" s="2">
        <v>1091021</v>
      </c>
      <c r="C1664" s="2" t="s">
        <v>251</v>
      </c>
      <c r="D1664" s="3">
        <f>VLOOKUP(B1664,Sheet2!$A:$O,9,0)</f>
        <v>53922</v>
      </c>
    </row>
    <row r="1665" spans="1:4">
      <c r="A1665" s="8" t="s">
        <v>402</v>
      </c>
      <c r="B1665" s="2">
        <v>1091022</v>
      </c>
      <c r="C1665" s="2" t="s">
        <v>252</v>
      </c>
      <c r="D1665" s="3">
        <f>VLOOKUP(B1665,Sheet2!$A:$O,9,0)</f>
        <v>3235</v>
      </c>
    </row>
    <row r="1666" spans="1:4">
      <c r="A1666" s="8" t="s">
        <v>402</v>
      </c>
      <c r="B1666" s="2">
        <v>1091023</v>
      </c>
      <c r="C1666" s="2" t="s">
        <v>253</v>
      </c>
      <c r="D1666" s="3">
        <f>VLOOKUP(B1666,Sheet2!$A:$O,9,0)</f>
        <v>4412</v>
      </c>
    </row>
    <row r="1667" spans="1:4">
      <c r="A1667" s="8" t="s">
        <v>402</v>
      </c>
      <c r="B1667" s="2">
        <v>1091024</v>
      </c>
      <c r="C1667" s="2" t="s">
        <v>254</v>
      </c>
      <c r="D1667" s="3">
        <f>VLOOKUP(B1667,Sheet2!$A:$O,9,0)</f>
        <v>3922</v>
      </c>
    </row>
    <row r="1668" spans="1:4">
      <c r="A1668" s="8" t="s">
        <v>402</v>
      </c>
      <c r="B1668" s="2">
        <v>1091025</v>
      </c>
      <c r="C1668" s="2" t="s">
        <v>255</v>
      </c>
      <c r="D1668" s="3">
        <f>VLOOKUP(B1668,Sheet2!$A:$O,9,0)</f>
        <v>6275</v>
      </c>
    </row>
    <row r="1669" spans="1:4">
      <c r="A1669" s="8" t="s">
        <v>402</v>
      </c>
      <c r="B1669" s="2">
        <v>1091026</v>
      </c>
      <c r="C1669" s="2" t="s">
        <v>256</v>
      </c>
      <c r="D1669" s="3">
        <f>VLOOKUP(B1669,Sheet2!$A:$O,9,0)</f>
        <v>30196</v>
      </c>
    </row>
    <row r="1670" spans="1:4">
      <c r="A1670" s="8" t="s">
        <v>402</v>
      </c>
      <c r="B1670" s="2">
        <v>1600101</v>
      </c>
      <c r="C1670" s="2" t="s">
        <v>188</v>
      </c>
      <c r="D1670" s="3">
        <f>VLOOKUP(B1670,Sheet2!$A:$O,9,0)</f>
        <v>2402</v>
      </c>
    </row>
    <row r="1671" spans="1:4">
      <c r="A1671" s="8" t="s">
        <v>402</v>
      </c>
      <c r="B1671" s="2">
        <v>1600102</v>
      </c>
      <c r="C1671" s="2" t="s">
        <v>257</v>
      </c>
      <c r="D1671" s="3">
        <f>VLOOKUP(B1671,Sheet2!$A:$O,9,0)</f>
        <v>17648</v>
      </c>
    </row>
    <row r="1672" spans="1:4">
      <c r="A1672" s="8" t="s">
        <v>402</v>
      </c>
      <c r="B1672" s="2">
        <v>1600103</v>
      </c>
      <c r="C1672" s="2" t="s">
        <v>258</v>
      </c>
      <c r="D1672" s="3">
        <f>VLOOKUP(B1672,Sheet2!$A:$O,9,0)</f>
        <v>19800</v>
      </c>
    </row>
    <row r="1673" spans="1:4">
      <c r="A1673" s="8" t="s">
        <v>402</v>
      </c>
      <c r="B1673" s="2">
        <v>1600104</v>
      </c>
      <c r="C1673" s="2" t="s">
        <v>259</v>
      </c>
      <c r="D1673" s="3">
        <f>VLOOKUP(B1673,Sheet2!$A:$O,9,0)</f>
        <v>65000</v>
      </c>
    </row>
    <row r="1674" spans="1:4">
      <c r="A1674" s="8" t="s">
        <v>402</v>
      </c>
      <c r="B1674" s="2">
        <v>1600105</v>
      </c>
      <c r="C1674" s="2" t="s">
        <v>260</v>
      </c>
      <c r="D1674" s="3">
        <f>VLOOKUP(B1674,Sheet2!$A:$O,9,0)</f>
        <v>73000</v>
      </c>
    </row>
    <row r="1675" spans="1:4">
      <c r="A1675" s="8" t="s">
        <v>402</v>
      </c>
      <c r="B1675" s="2">
        <v>1600106</v>
      </c>
      <c r="C1675" s="2" t="s">
        <v>261</v>
      </c>
      <c r="D1675" s="3">
        <f>VLOOKUP(B1675,Sheet2!$A:$O,9,0)</f>
        <v>66667</v>
      </c>
    </row>
    <row r="1676" spans="1:4">
      <c r="A1676" s="8" t="s">
        <v>402</v>
      </c>
      <c r="B1676" s="2">
        <v>1600107</v>
      </c>
      <c r="C1676" s="2" t="s">
        <v>262</v>
      </c>
      <c r="D1676" s="3">
        <f>VLOOKUP(B1676,Sheet2!$A:$O,9,0)</f>
        <v>67647</v>
      </c>
    </row>
    <row r="1677" spans="1:4">
      <c r="A1677" s="8" t="s">
        <v>402</v>
      </c>
      <c r="B1677" s="2">
        <v>1600108</v>
      </c>
      <c r="C1677" s="2" t="s">
        <v>263</v>
      </c>
      <c r="D1677" s="3">
        <f>VLOOKUP(B1677,Sheet2!$A:$O,9,0)</f>
        <v>67647</v>
      </c>
    </row>
    <row r="1678" spans="1:4">
      <c r="A1678" s="8" t="s">
        <v>402</v>
      </c>
      <c r="B1678" s="2">
        <v>1600109</v>
      </c>
      <c r="C1678" s="2" t="s">
        <v>264</v>
      </c>
      <c r="D1678" s="3">
        <f>VLOOKUP(B1678,Sheet2!$A:$O,9,0)</f>
        <v>5882</v>
      </c>
    </row>
    <row r="1679" spans="1:4">
      <c r="A1679" s="8" t="s">
        <v>402</v>
      </c>
      <c r="B1679" s="2">
        <v>1600110</v>
      </c>
      <c r="C1679" s="2" t="s">
        <v>265</v>
      </c>
      <c r="D1679" s="3">
        <f>VLOOKUP(B1679,Sheet2!$A:$O,9,0)</f>
        <v>7917</v>
      </c>
    </row>
    <row r="1680" spans="1:4">
      <c r="A1680" s="8" t="s">
        <v>402</v>
      </c>
      <c r="B1680" s="2">
        <v>1600111</v>
      </c>
      <c r="C1680" s="2" t="s">
        <v>266</v>
      </c>
      <c r="D1680" s="3">
        <f>VLOOKUP(B1680,Sheet2!$A:$O,9,0)</f>
        <v>2266</v>
      </c>
    </row>
    <row r="1681" spans="1:4">
      <c r="A1681" s="8" t="s">
        <v>402</v>
      </c>
      <c r="B1681" s="2">
        <v>1600112</v>
      </c>
      <c r="C1681" s="2" t="s">
        <v>190</v>
      </c>
      <c r="D1681" s="3">
        <f>VLOOKUP(B1681,Sheet2!$A:$O,9,0)</f>
        <v>4800</v>
      </c>
    </row>
    <row r="1682" spans="1:4">
      <c r="A1682" s="8" t="s">
        <v>402</v>
      </c>
      <c r="B1682" s="2">
        <v>1600113</v>
      </c>
      <c r="C1682" s="2" t="s">
        <v>267</v>
      </c>
      <c r="D1682" s="3">
        <f>VLOOKUP(B1682,Sheet2!$A:$O,9,0)</f>
        <v>0</v>
      </c>
    </row>
    <row r="1683" spans="1:4">
      <c r="A1683" s="8" t="s">
        <v>402</v>
      </c>
      <c r="B1683" s="2">
        <v>1600114</v>
      </c>
      <c r="C1683" s="2" t="s">
        <v>268</v>
      </c>
      <c r="D1683" s="3">
        <f>VLOOKUP(B1683,Sheet2!$A:$O,9,0)</f>
        <v>10140</v>
      </c>
    </row>
    <row r="1684" spans="1:4">
      <c r="A1684" s="8" t="s">
        <v>402</v>
      </c>
      <c r="B1684" s="2">
        <v>1700001</v>
      </c>
      <c r="C1684" s="2" t="s">
        <v>269</v>
      </c>
      <c r="D1684" s="3">
        <f>VLOOKUP(B1684,Sheet2!$A:$O,9,0)</f>
        <v>4167</v>
      </c>
    </row>
    <row r="1685" spans="1:4">
      <c r="A1685" s="8" t="s">
        <v>402</v>
      </c>
      <c r="B1685" s="2">
        <v>1700002</v>
      </c>
      <c r="C1685" s="2" t="s">
        <v>270</v>
      </c>
      <c r="D1685" s="3">
        <f>VLOOKUP(B1685,Sheet2!$A:$O,9,0)</f>
        <v>3726</v>
      </c>
    </row>
    <row r="1686" spans="1:4">
      <c r="A1686" s="8" t="s">
        <v>402</v>
      </c>
      <c r="B1686" s="2">
        <v>1700003</v>
      </c>
      <c r="C1686" s="2" t="s">
        <v>271</v>
      </c>
      <c r="D1686" s="3">
        <f>VLOOKUP(B1686,Sheet2!$A:$O,9,0)</f>
        <v>4902</v>
      </c>
    </row>
    <row r="1687" spans="1:4">
      <c r="A1687" s="8" t="s">
        <v>402</v>
      </c>
      <c r="B1687" s="2">
        <v>1700004</v>
      </c>
      <c r="C1687" s="2" t="s">
        <v>272</v>
      </c>
      <c r="D1687" s="3">
        <f>VLOOKUP(B1687,Sheet2!$A:$O,9,0)</f>
        <v>13137</v>
      </c>
    </row>
    <row r="1688" spans="1:4">
      <c r="A1688" s="8" t="s">
        <v>402</v>
      </c>
      <c r="B1688" s="2">
        <v>1700005</v>
      </c>
      <c r="C1688" s="2" t="s">
        <v>192</v>
      </c>
      <c r="D1688" s="3">
        <f>VLOOKUP(B1688,Sheet2!$A:$O,9,0)</f>
        <v>1784</v>
      </c>
    </row>
    <row r="1689" spans="1:4">
      <c r="A1689" s="8" t="s">
        <v>402</v>
      </c>
      <c r="B1689" s="2">
        <v>1700006</v>
      </c>
      <c r="C1689" s="2" t="s">
        <v>273</v>
      </c>
      <c r="D1689" s="3">
        <f>VLOOKUP(B1689,Sheet2!$A:$O,9,0)</f>
        <v>10382</v>
      </c>
    </row>
    <row r="1690" spans="1:4">
      <c r="A1690" s="8" t="s">
        <v>402</v>
      </c>
      <c r="B1690" s="2">
        <v>1700007</v>
      </c>
      <c r="C1690" s="2" t="s">
        <v>274</v>
      </c>
      <c r="D1690" s="3">
        <f>VLOOKUP(B1690,Sheet2!$A:$O,9,0)</f>
        <v>0</v>
      </c>
    </row>
    <row r="1691" spans="1:4">
      <c r="A1691" s="8" t="s">
        <v>402</v>
      </c>
      <c r="B1691" s="2">
        <v>1700008</v>
      </c>
      <c r="C1691" s="2" t="s">
        <v>275</v>
      </c>
      <c r="D1691" s="3">
        <f>VLOOKUP(B1691,Sheet2!$A:$O,9,0)</f>
        <v>0</v>
      </c>
    </row>
    <row r="1692" spans="1:4">
      <c r="A1692" s="8" t="s">
        <v>402</v>
      </c>
      <c r="B1692" s="2">
        <v>1700009</v>
      </c>
      <c r="C1692" s="2" t="s">
        <v>276</v>
      </c>
      <c r="D1692" s="3">
        <f>VLOOKUP(B1692,Sheet2!$A:$O,9,0)</f>
        <v>0</v>
      </c>
    </row>
    <row r="1693" spans="1:4">
      <c r="A1693" s="8" t="s">
        <v>402</v>
      </c>
      <c r="B1693" s="2">
        <v>1700010</v>
      </c>
      <c r="C1693" s="2" t="s">
        <v>277</v>
      </c>
      <c r="D1693" s="3">
        <f>VLOOKUP(B1693,Sheet2!$A:$O,9,0)</f>
        <v>3630</v>
      </c>
    </row>
    <row r="1694" spans="1:4">
      <c r="A1694" s="8" t="s">
        <v>402</v>
      </c>
      <c r="B1694" s="2">
        <v>1700011</v>
      </c>
      <c r="C1694" s="2" t="s">
        <v>278</v>
      </c>
      <c r="D1694" s="3">
        <f>VLOOKUP(B1694,Sheet2!$A:$O,9,0)</f>
        <v>11961</v>
      </c>
    </row>
    <row r="1695" spans="1:4">
      <c r="A1695" s="8" t="s">
        <v>402</v>
      </c>
      <c r="B1695" s="2">
        <v>1700012</v>
      </c>
      <c r="C1695" s="2" t="s">
        <v>279</v>
      </c>
      <c r="D1695" s="3">
        <f>VLOOKUP(B1695,Sheet2!$A:$O,9,0)</f>
        <v>12255</v>
      </c>
    </row>
    <row r="1696" spans="1:4">
      <c r="A1696" s="8" t="s">
        <v>402</v>
      </c>
      <c r="B1696" s="2">
        <v>1700013</v>
      </c>
      <c r="C1696" s="2" t="s">
        <v>280</v>
      </c>
      <c r="D1696" s="3">
        <f>VLOOKUP(B1696,Sheet2!$A:$O,9,0)</f>
        <v>18137</v>
      </c>
    </row>
    <row r="1697" spans="1:4">
      <c r="A1697" s="8" t="s">
        <v>402</v>
      </c>
      <c r="B1697" s="2">
        <v>1700014</v>
      </c>
      <c r="C1697" s="2" t="s">
        <v>194</v>
      </c>
      <c r="D1697" s="3">
        <f>VLOOKUP(B1697,Sheet2!$A:$O,9,0)</f>
        <v>2255</v>
      </c>
    </row>
    <row r="1698" spans="1:4">
      <c r="A1698" s="8" t="s">
        <v>402</v>
      </c>
      <c r="B1698" s="2">
        <v>1700015</v>
      </c>
      <c r="C1698" s="2" t="s">
        <v>281</v>
      </c>
      <c r="D1698" s="3">
        <f>VLOOKUP(B1698,Sheet2!$A:$O,9,0)</f>
        <v>2552</v>
      </c>
    </row>
    <row r="1699" spans="1:4">
      <c r="A1699" s="8" t="s">
        <v>402</v>
      </c>
      <c r="B1699" s="2">
        <v>1700016</v>
      </c>
      <c r="C1699" s="2" t="s">
        <v>282</v>
      </c>
      <c r="D1699" s="3">
        <f>VLOOKUP(B1699,Sheet2!$A:$O,9,0)</f>
        <v>3510</v>
      </c>
    </row>
    <row r="1700" spans="1:4">
      <c r="A1700" s="8" t="s">
        <v>402</v>
      </c>
      <c r="B1700" s="2">
        <v>1700017</v>
      </c>
      <c r="C1700" s="2" t="s">
        <v>283</v>
      </c>
      <c r="D1700" s="3">
        <f>VLOOKUP(B1700,Sheet2!$A:$O,9,0)</f>
        <v>9804</v>
      </c>
    </row>
    <row r="1701" spans="1:4">
      <c r="A1701" s="8" t="s">
        <v>402</v>
      </c>
      <c r="B1701" s="2">
        <v>1700018</v>
      </c>
      <c r="C1701" s="2" t="s">
        <v>284</v>
      </c>
      <c r="D1701" s="3">
        <f>VLOOKUP(B1701,Sheet2!$A:$O,9,0)</f>
        <v>4140</v>
      </c>
    </row>
    <row r="1702" spans="1:4">
      <c r="A1702" s="8" t="s">
        <v>402</v>
      </c>
      <c r="B1702" s="2">
        <v>1700019</v>
      </c>
      <c r="C1702" s="2" t="s">
        <v>285</v>
      </c>
      <c r="D1702" s="3">
        <f>VLOOKUP(B1702,Sheet2!$A:$O,9,0)</f>
        <v>0</v>
      </c>
    </row>
    <row r="1703" spans="1:4">
      <c r="A1703" s="8" t="s">
        <v>402</v>
      </c>
      <c r="B1703" s="2">
        <v>1700020</v>
      </c>
      <c r="C1703" s="2" t="s">
        <v>286</v>
      </c>
      <c r="D1703" s="3">
        <f>VLOOKUP(B1703,Sheet2!$A:$O,9,0)</f>
        <v>49412</v>
      </c>
    </row>
    <row r="1704" spans="1:4">
      <c r="A1704" s="8" t="s">
        <v>402</v>
      </c>
      <c r="B1704" s="2">
        <v>1700021</v>
      </c>
      <c r="C1704" s="2" t="s">
        <v>287</v>
      </c>
      <c r="D1704" s="3">
        <f>VLOOKUP(B1704,Sheet2!$A:$O,9,0)</f>
        <v>77069</v>
      </c>
    </row>
    <row r="1705" spans="1:4">
      <c r="A1705" s="8" t="s">
        <v>402</v>
      </c>
      <c r="B1705" s="2">
        <v>1700022</v>
      </c>
      <c r="C1705" s="2" t="s">
        <v>288</v>
      </c>
      <c r="D1705" s="3">
        <f>VLOOKUP(B1705,Sheet2!$A:$O,9,0)</f>
        <v>33706</v>
      </c>
    </row>
    <row r="1706" spans="1:4">
      <c r="A1706" s="8" t="s">
        <v>402</v>
      </c>
      <c r="B1706" s="2">
        <v>1700023</v>
      </c>
      <c r="C1706" s="2" t="s">
        <v>289</v>
      </c>
      <c r="D1706" s="3">
        <f>VLOOKUP(B1706,Sheet2!$A:$O,9,0)</f>
        <v>6343</v>
      </c>
    </row>
    <row r="1707" spans="1:4">
      <c r="A1707" s="8" t="s">
        <v>402</v>
      </c>
      <c r="B1707" s="2">
        <v>1700024</v>
      </c>
      <c r="C1707" s="2" t="s">
        <v>290</v>
      </c>
      <c r="D1707" s="3">
        <f>VLOOKUP(B1707,Sheet2!$A:$O,9,0)</f>
        <v>0</v>
      </c>
    </row>
    <row r="1708" spans="1:4">
      <c r="A1708" s="8" t="s">
        <v>402</v>
      </c>
      <c r="B1708" s="2">
        <v>1700025</v>
      </c>
      <c r="C1708" s="2" t="s">
        <v>291</v>
      </c>
      <c r="D1708" s="3">
        <f>VLOOKUP(B1708,Sheet2!$A:$O,9,0)</f>
        <v>1961</v>
      </c>
    </row>
    <row r="1709" spans="1:4">
      <c r="A1709" s="8" t="s">
        <v>402</v>
      </c>
      <c r="B1709" s="2">
        <v>1700026</v>
      </c>
      <c r="C1709" s="2" t="s">
        <v>292</v>
      </c>
      <c r="D1709" s="3">
        <f>VLOOKUP(B1709,Sheet2!$A:$O,9,0)</f>
        <v>4412</v>
      </c>
    </row>
    <row r="1710" spans="1:4">
      <c r="A1710" s="8" t="s">
        <v>402</v>
      </c>
      <c r="B1710" s="2">
        <v>1700027</v>
      </c>
      <c r="C1710" s="2" t="s">
        <v>293</v>
      </c>
      <c r="D1710" s="3">
        <f>VLOOKUP(B1710,Sheet2!$A:$O,9,0)</f>
        <v>4412</v>
      </c>
    </row>
    <row r="1711" spans="1:4">
      <c r="A1711" s="8" t="s">
        <v>402</v>
      </c>
      <c r="B1711" s="2">
        <v>1700028</v>
      </c>
      <c r="C1711" s="2" t="s">
        <v>294</v>
      </c>
      <c r="D1711" s="3">
        <f>VLOOKUP(B1711,Sheet2!$A:$O,9,0)</f>
        <v>9500</v>
      </c>
    </row>
    <row r="1712" spans="1:4">
      <c r="A1712" s="8" t="s">
        <v>402</v>
      </c>
      <c r="B1712" s="2">
        <v>1700029</v>
      </c>
      <c r="C1712" s="2" t="s">
        <v>295</v>
      </c>
      <c r="D1712" s="3">
        <f>VLOOKUP(B1712,Sheet2!$A:$O,9,0)</f>
        <v>10670</v>
      </c>
    </row>
    <row r="1713" spans="1:4">
      <c r="A1713" s="8" t="s">
        <v>402</v>
      </c>
      <c r="B1713" s="2">
        <v>1700030</v>
      </c>
      <c r="C1713" s="2" t="s">
        <v>296</v>
      </c>
      <c r="D1713" s="3">
        <f>VLOOKUP(B1713,Sheet2!$A:$O,9,0)</f>
        <v>12720</v>
      </c>
    </row>
    <row r="1714" spans="1:4">
      <c r="A1714" s="8" t="s">
        <v>402</v>
      </c>
      <c r="B1714" s="2">
        <v>1700031</v>
      </c>
      <c r="C1714" s="2" t="s">
        <v>196</v>
      </c>
      <c r="D1714" s="3">
        <f>VLOOKUP(B1714,Sheet2!$A:$O,9,0)</f>
        <v>1961</v>
      </c>
    </row>
    <row r="1715" spans="1:4">
      <c r="A1715" s="8" t="s">
        <v>402</v>
      </c>
      <c r="B1715" s="2">
        <v>1700032</v>
      </c>
      <c r="C1715" s="2" t="s">
        <v>297</v>
      </c>
      <c r="D1715" s="3">
        <f>VLOOKUP(B1715,Sheet2!$A:$O,9,0)</f>
        <v>0</v>
      </c>
    </row>
    <row r="1716" spans="1:4">
      <c r="A1716" s="8" t="s">
        <v>402</v>
      </c>
      <c r="B1716" s="2">
        <v>1700033</v>
      </c>
      <c r="C1716" s="2" t="s">
        <v>298</v>
      </c>
      <c r="D1716" s="3">
        <f>VLOOKUP(B1716,Sheet2!$A:$O,9,0)</f>
        <v>0</v>
      </c>
    </row>
    <row r="1717" spans="1:4">
      <c r="A1717" s="8" t="s">
        <v>402</v>
      </c>
      <c r="B1717" s="2">
        <v>1700034</v>
      </c>
      <c r="C1717" s="2" t="s">
        <v>299</v>
      </c>
      <c r="D1717" s="3">
        <f>VLOOKUP(B1717,Sheet2!$A:$O,9,0)</f>
        <v>15125</v>
      </c>
    </row>
    <row r="1718" spans="1:4">
      <c r="A1718" s="8" t="s">
        <v>402</v>
      </c>
      <c r="B1718" s="2">
        <v>1700035</v>
      </c>
      <c r="C1718" s="2" t="s">
        <v>300</v>
      </c>
      <c r="D1718" s="3">
        <f>VLOOKUP(B1718,Sheet2!$A:$O,9,0)</f>
        <v>64367</v>
      </c>
    </row>
    <row r="1719" spans="1:4">
      <c r="A1719" s="8" t="s">
        <v>402</v>
      </c>
      <c r="B1719" s="2">
        <v>1700036</v>
      </c>
      <c r="C1719" s="2" t="s">
        <v>301</v>
      </c>
      <c r="D1719" s="3">
        <f>VLOOKUP(B1719,Sheet2!$A:$O,9,0)</f>
        <v>5200</v>
      </c>
    </row>
    <row r="1720" spans="1:4">
      <c r="A1720" s="8" t="s">
        <v>402</v>
      </c>
      <c r="B1720" s="2">
        <v>1700037</v>
      </c>
      <c r="C1720" s="2" t="s">
        <v>302</v>
      </c>
      <c r="D1720" s="3">
        <f>VLOOKUP(B1720,Sheet2!$A:$O,9,0)</f>
        <v>7533</v>
      </c>
    </row>
    <row r="1721" spans="1:4">
      <c r="A1721" s="8" t="s">
        <v>402</v>
      </c>
      <c r="B1721" s="2">
        <v>1700038</v>
      </c>
      <c r="C1721" s="2" t="s">
        <v>303</v>
      </c>
      <c r="D1721" s="3">
        <f>VLOOKUP(B1721,Sheet2!$A:$O,9,0)</f>
        <v>2500</v>
      </c>
    </row>
    <row r="1722" spans="1:4">
      <c r="A1722" s="8" t="s">
        <v>402</v>
      </c>
      <c r="B1722" s="2">
        <v>1700039</v>
      </c>
      <c r="C1722" s="2" t="s">
        <v>304</v>
      </c>
      <c r="D1722" s="3">
        <f>VLOOKUP(B1722,Sheet2!$A:$O,9,0)</f>
        <v>2431</v>
      </c>
    </row>
    <row r="1723" spans="1:4">
      <c r="A1723" s="8" t="s">
        <v>402</v>
      </c>
      <c r="B1723" s="2">
        <v>1700040</v>
      </c>
      <c r="C1723" s="2" t="s">
        <v>305</v>
      </c>
      <c r="D1723" s="3">
        <f>VLOOKUP(B1723,Sheet2!$A:$O,9,0)</f>
        <v>1967</v>
      </c>
    </row>
    <row r="1724" spans="1:4">
      <c r="A1724" s="8" t="s">
        <v>402</v>
      </c>
      <c r="B1724" s="2">
        <v>1700041</v>
      </c>
      <c r="C1724" s="2" t="s">
        <v>306</v>
      </c>
      <c r="D1724" s="3">
        <f>VLOOKUP(B1724,Sheet2!$A:$O,9,0)</f>
        <v>3000</v>
      </c>
    </row>
    <row r="1725" spans="1:4">
      <c r="A1725" s="8" t="s">
        <v>402</v>
      </c>
      <c r="B1725" s="2">
        <v>1700042</v>
      </c>
      <c r="C1725" s="2" t="s">
        <v>307</v>
      </c>
      <c r="D1725" s="3">
        <f>VLOOKUP(B1725,Sheet2!$A:$O,9,0)</f>
        <v>3268</v>
      </c>
    </row>
    <row r="1726" spans="1:4">
      <c r="A1726" s="8" t="s">
        <v>402</v>
      </c>
      <c r="B1726" s="2">
        <v>1700043</v>
      </c>
      <c r="C1726" s="2" t="s">
        <v>308</v>
      </c>
      <c r="D1726" s="3">
        <f>VLOOKUP(B1726,Sheet2!$A:$O,9,0)</f>
        <v>4026</v>
      </c>
    </row>
    <row r="1727" spans="1:4">
      <c r="A1727" s="8" t="s">
        <v>402</v>
      </c>
      <c r="B1727" s="2">
        <v>1700044</v>
      </c>
      <c r="C1727" s="2" t="s">
        <v>309</v>
      </c>
      <c r="D1727" s="3">
        <f>VLOOKUP(B1727,Sheet2!$A:$O,9,0)</f>
        <v>7000</v>
      </c>
    </row>
    <row r="1728" spans="1:4">
      <c r="A1728" s="8" t="s">
        <v>402</v>
      </c>
      <c r="B1728" s="2">
        <v>1700045</v>
      </c>
      <c r="C1728" s="2" t="s">
        <v>310</v>
      </c>
      <c r="D1728" s="3">
        <f>VLOOKUP(B1728,Sheet2!$A:$O,9,0)</f>
        <v>3417</v>
      </c>
    </row>
    <row r="1729" spans="1:4">
      <c r="A1729" s="8" t="s">
        <v>402</v>
      </c>
      <c r="B1729" s="2">
        <v>1700046</v>
      </c>
      <c r="C1729" s="2" t="s">
        <v>311</v>
      </c>
      <c r="D1729" s="3">
        <f>VLOOKUP(B1729,Sheet2!$A:$O,9,0)</f>
        <v>6863</v>
      </c>
    </row>
    <row r="1730" spans="1:4">
      <c r="A1730" s="8" t="s">
        <v>402</v>
      </c>
      <c r="B1730" s="2">
        <v>1700047</v>
      </c>
      <c r="C1730" s="2" t="s">
        <v>312</v>
      </c>
      <c r="D1730" s="3">
        <f>VLOOKUP(B1730,Sheet2!$A:$O,9,0)</f>
        <v>22150</v>
      </c>
    </row>
    <row r="1731" spans="1:4">
      <c r="A1731" s="8" t="s">
        <v>402</v>
      </c>
      <c r="B1731" s="2">
        <v>1700048</v>
      </c>
      <c r="C1731" s="2" t="s">
        <v>313</v>
      </c>
      <c r="D1731" s="3">
        <f>VLOOKUP(B1731,Sheet2!$A:$O,9,0)</f>
        <v>13330</v>
      </c>
    </row>
    <row r="1732" spans="1:4">
      <c r="A1732" s="8" t="s">
        <v>402</v>
      </c>
      <c r="B1732" s="2">
        <v>1700049</v>
      </c>
      <c r="C1732" s="2" t="s">
        <v>314</v>
      </c>
      <c r="D1732" s="3">
        <f>VLOOKUP(B1732,Sheet2!$A:$O,9,0)</f>
        <v>5785</v>
      </c>
    </row>
    <row r="1733" spans="1:4">
      <c r="A1733" s="8" t="s">
        <v>402</v>
      </c>
      <c r="B1733" s="2">
        <v>1700050</v>
      </c>
      <c r="C1733" s="2" t="s">
        <v>315</v>
      </c>
      <c r="D1733" s="3">
        <f>VLOOKUP(B1733,Sheet2!$A:$O,9,0)</f>
        <v>39000</v>
      </c>
    </row>
    <row r="1734" spans="1:4">
      <c r="A1734" s="8" t="s">
        <v>402</v>
      </c>
      <c r="B1734" s="2">
        <v>1700051</v>
      </c>
      <c r="C1734" s="2" t="s">
        <v>316</v>
      </c>
      <c r="D1734" s="3">
        <f>VLOOKUP(B1734,Sheet2!$A:$O,9,0)</f>
        <v>11500</v>
      </c>
    </row>
    <row r="1735" spans="1:4">
      <c r="A1735" s="8" t="s">
        <v>402</v>
      </c>
      <c r="B1735" s="2">
        <v>1700052</v>
      </c>
      <c r="C1735" s="2" t="s">
        <v>317</v>
      </c>
      <c r="D1735" s="3">
        <f>VLOOKUP(B1735,Sheet2!$A:$O,9,0)</f>
        <v>3444</v>
      </c>
    </row>
    <row r="1736" spans="1:4">
      <c r="A1736" s="8" t="s">
        <v>402</v>
      </c>
      <c r="B1736" s="2">
        <v>1700053</v>
      </c>
      <c r="C1736" s="2" t="s">
        <v>318</v>
      </c>
      <c r="D1736" s="3">
        <f>VLOOKUP(B1736,Sheet2!$A:$O,9,0)</f>
        <v>15530</v>
      </c>
    </row>
    <row r="1737" spans="1:4">
      <c r="A1737" s="8" t="s">
        <v>402</v>
      </c>
      <c r="B1737" s="2">
        <v>1700054</v>
      </c>
      <c r="C1737" s="2" t="s">
        <v>319</v>
      </c>
      <c r="D1737" s="3">
        <f>VLOOKUP(B1737,Sheet2!$A:$O,9,0)</f>
        <v>11670</v>
      </c>
    </row>
    <row r="1738" spans="1:4">
      <c r="A1738" s="8" t="s">
        <v>402</v>
      </c>
      <c r="B1738" s="2">
        <v>1700055</v>
      </c>
      <c r="C1738" s="2" t="s">
        <v>320</v>
      </c>
      <c r="D1738" s="3">
        <f>VLOOKUP(B1738,Sheet2!$A:$O,9,0)</f>
        <v>11940</v>
      </c>
    </row>
    <row r="1739" spans="1:4">
      <c r="A1739" s="8" t="s">
        <v>402</v>
      </c>
      <c r="B1739" s="2">
        <v>1700056</v>
      </c>
      <c r="C1739" s="2" t="s">
        <v>321</v>
      </c>
      <c r="D1739" s="3">
        <f>VLOOKUP(B1739,Sheet2!$A:$O,9,0)</f>
        <v>5603</v>
      </c>
    </row>
    <row r="1740" spans="1:4">
      <c r="A1740" s="8" t="s">
        <v>402</v>
      </c>
      <c r="B1740" s="2">
        <v>1700057</v>
      </c>
      <c r="C1740" s="2" t="s">
        <v>322</v>
      </c>
      <c r="D1740" s="3">
        <f>VLOOKUP(B1740,Sheet2!$A:$O,9,0)</f>
        <v>2098</v>
      </c>
    </row>
    <row r="1741" spans="1:4">
      <c r="A1741" s="8" t="s">
        <v>402</v>
      </c>
      <c r="B1741" s="2">
        <v>1700058</v>
      </c>
      <c r="C1741" s="2" t="s">
        <v>323</v>
      </c>
      <c r="D1741" s="3">
        <f>VLOOKUP(B1741,Sheet2!$A:$O,9,0)</f>
        <v>5800</v>
      </c>
    </row>
    <row r="1742" spans="1:4">
      <c r="A1742" s="8" t="s">
        <v>402</v>
      </c>
      <c r="B1742" s="2">
        <v>1700059</v>
      </c>
      <c r="C1742" s="2" t="s">
        <v>324</v>
      </c>
      <c r="D1742" s="3">
        <f>VLOOKUP(B1742,Sheet2!$A:$O,9,0)</f>
        <v>27667</v>
      </c>
    </row>
    <row r="1743" spans="1:4">
      <c r="A1743" s="8" t="s">
        <v>402</v>
      </c>
      <c r="B1743" s="2">
        <v>1700060</v>
      </c>
      <c r="C1743" s="2" t="s">
        <v>325</v>
      </c>
      <c r="D1743" s="3">
        <f>VLOOKUP(B1743,Sheet2!$A:$O,9,0)</f>
        <v>3402</v>
      </c>
    </row>
    <row r="1744" spans="1:4">
      <c r="A1744" s="8" t="s">
        <v>402</v>
      </c>
      <c r="B1744" s="2">
        <v>1700061</v>
      </c>
      <c r="C1744" s="2" t="s">
        <v>326</v>
      </c>
      <c r="D1744" s="3">
        <f>VLOOKUP(B1744,Sheet2!$A:$O,9,0)</f>
        <v>8920</v>
      </c>
    </row>
    <row r="1745" spans="1:4">
      <c r="A1745" s="8" t="s">
        <v>402</v>
      </c>
      <c r="B1745" s="2">
        <v>1700062</v>
      </c>
      <c r="C1745" s="2" t="s">
        <v>327</v>
      </c>
      <c r="D1745" s="3">
        <f>VLOOKUP(B1745,Sheet2!$A:$O,9,0)</f>
        <v>10520</v>
      </c>
    </row>
    <row r="1746" spans="1:4">
      <c r="A1746" s="8" t="s">
        <v>402</v>
      </c>
      <c r="B1746" s="2">
        <v>1700063</v>
      </c>
      <c r="C1746" s="2" t="s">
        <v>328</v>
      </c>
      <c r="D1746" s="3">
        <f>VLOOKUP(B1746,Sheet2!$A:$O,9,0)</f>
        <v>10550</v>
      </c>
    </row>
    <row r="1747" spans="1:4">
      <c r="A1747" s="8" t="s">
        <v>402</v>
      </c>
      <c r="B1747" s="2">
        <v>1700064</v>
      </c>
      <c r="C1747" s="2" t="s">
        <v>329</v>
      </c>
      <c r="D1747" s="3">
        <f>VLOOKUP(B1747,Sheet2!$A:$O,9,0)</f>
        <v>11060</v>
      </c>
    </row>
    <row r="1748" spans="1:4">
      <c r="A1748" s="8" t="s">
        <v>402</v>
      </c>
      <c r="B1748" s="2">
        <v>1700065</v>
      </c>
      <c r="C1748" s="2" t="s">
        <v>330</v>
      </c>
      <c r="D1748" s="3">
        <f>VLOOKUP(B1748,Sheet2!$A:$O,9,0)</f>
        <v>12760</v>
      </c>
    </row>
    <row r="1749" spans="1:4">
      <c r="A1749" s="8" t="s">
        <v>402</v>
      </c>
      <c r="B1749" s="2">
        <v>1700066</v>
      </c>
      <c r="C1749" s="2" t="s">
        <v>331</v>
      </c>
      <c r="D1749" s="3">
        <f>VLOOKUP(B1749,Sheet2!$A:$O,9,0)</f>
        <v>13200</v>
      </c>
    </row>
    <row r="1750" spans="1:4">
      <c r="A1750" s="8" t="s">
        <v>402</v>
      </c>
      <c r="B1750" s="2">
        <v>1700067</v>
      </c>
      <c r="C1750" s="2" t="s">
        <v>332</v>
      </c>
      <c r="D1750" s="3">
        <f>VLOOKUP(B1750,Sheet2!$A:$O,9,0)</f>
        <v>10720</v>
      </c>
    </row>
    <row r="1751" spans="1:4">
      <c r="A1751" s="8" t="s">
        <v>402</v>
      </c>
      <c r="B1751" s="2">
        <v>1700068</v>
      </c>
      <c r="C1751" s="2" t="s">
        <v>333</v>
      </c>
      <c r="D1751" s="3">
        <f>VLOOKUP(B1751,Sheet2!$A:$O,9,0)</f>
        <v>12720</v>
      </c>
    </row>
    <row r="1752" spans="1:4">
      <c r="A1752" s="8" t="s">
        <v>402</v>
      </c>
      <c r="B1752" s="2">
        <v>1700069</v>
      </c>
      <c r="C1752" s="2" t="s">
        <v>334</v>
      </c>
      <c r="D1752" s="3">
        <f>VLOOKUP(B1752,Sheet2!$A:$O,9,0)</f>
        <v>14000</v>
      </c>
    </row>
    <row r="1753" spans="1:4">
      <c r="A1753" s="8" t="s">
        <v>402</v>
      </c>
      <c r="B1753" s="2">
        <v>1700070</v>
      </c>
      <c r="C1753" s="2" t="s">
        <v>335</v>
      </c>
      <c r="D1753" s="3">
        <f>VLOOKUP(B1753,Sheet2!$A:$O,9,0)</f>
        <v>1618</v>
      </c>
    </row>
    <row r="1754" spans="1:4">
      <c r="A1754" s="8" t="s">
        <v>402</v>
      </c>
      <c r="B1754" s="2">
        <v>1700071</v>
      </c>
      <c r="C1754" s="2" t="s">
        <v>336</v>
      </c>
      <c r="D1754" s="3">
        <f>VLOOKUP(B1754,Sheet2!$A:$O,9,0)</f>
        <v>12190</v>
      </c>
    </row>
    <row r="1755" spans="1:4">
      <c r="A1755" s="8" t="s">
        <v>402</v>
      </c>
      <c r="B1755" s="2">
        <v>1700072</v>
      </c>
      <c r="C1755" s="2" t="s">
        <v>337</v>
      </c>
      <c r="D1755" s="3">
        <f>VLOOKUP(B1755,Sheet2!$A:$O,9,0)</f>
        <v>10180</v>
      </c>
    </row>
    <row r="1756" spans="1:4">
      <c r="A1756" s="8" t="s">
        <v>402</v>
      </c>
      <c r="B1756" s="2">
        <v>1700073</v>
      </c>
      <c r="C1756" s="2" t="s">
        <v>338</v>
      </c>
      <c r="D1756" s="3">
        <f>VLOOKUP(B1756,Sheet2!$A:$O,9,0)</f>
        <v>9020</v>
      </c>
    </row>
    <row r="1757" spans="1:4">
      <c r="A1757" s="8" t="s">
        <v>402</v>
      </c>
      <c r="B1757" s="2">
        <v>1700076</v>
      </c>
      <c r="C1757" s="2" t="s">
        <v>339</v>
      </c>
      <c r="D1757" s="3">
        <f>VLOOKUP(B1757,Sheet2!$A:$O,9,0)</f>
        <v>2451</v>
      </c>
    </row>
    <row r="1758" spans="1:4">
      <c r="A1758" s="8" t="s">
        <v>402</v>
      </c>
      <c r="B1758" s="2">
        <v>1700077</v>
      </c>
      <c r="C1758" s="2" t="s">
        <v>340</v>
      </c>
      <c r="D1758" s="3">
        <f>VLOOKUP(B1758,Sheet2!$A:$O,9,0)</f>
        <v>2353</v>
      </c>
    </row>
    <row r="1759" spans="1:4">
      <c r="A1759" s="8" t="s">
        <v>402</v>
      </c>
      <c r="B1759" s="2">
        <v>1700078</v>
      </c>
      <c r="C1759" s="2" t="s">
        <v>341</v>
      </c>
      <c r="D1759" s="3">
        <f>VLOOKUP(B1759,Sheet2!$A:$O,9,0)</f>
        <v>4284</v>
      </c>
    </row>
    <row r="1760" spans="1:4">
      <c r="A1760" s="8" t="s">
        <v>402</v>
      </c>
      <c r="B1760" s="2">
        <v>1700080</v>
      </c>
      <c r="C1760" s="2" t="s">
        <v>342</v>
      </c>
      <c r="D1760" s="3">
        <f>VLOOKUP(B1760,Sheet2!$A:$O,9,0)</f>
        <v>3529</v>
      </c>
    </row>
    <row r="1761" spans="1:4">
      <c r="A1761" s="8" t="s">
        <v>402</v>
      </c>
      <c r="B1761" s="2">
        <v>1700083</v>
      </c>
      <c r="C1761" s="2" t="s">
        <v>343</v>
      </c>
      <c r="D1761" s="3">
        <f>VLOOKUP(B1761,Sheet2!$A:$O,9,0)</f>
        <v>8333</v>
      </c>
    </row>
    <row r="1762" spans="1:4">
      <c r="A1762" s="8" t="s">
        <v>402</v>
      </c>
      <c r="B1762" s="2">
        <v>1700084</v>
      </c>
      <c r="C1762" s="2" t="s">
        <v>344</v>
      </c>
      <c r="D1762" s="3">
        <f>VLOOKUP(B1762,Sheet2!$A:$O,9,0)</f>
        <v>6282</v>
      </c>
    </row>
    <row r="1763" spans="1:4">
      <c r="A1763" s="8" t="s">
        <v>402</v>
      </c>
      <c r="B1763" s="2">
        <v>1700085</v>
      </c>
      <c r="C1763" s="2" t="s">
        <v>345</v>
      </c>
      <c r="D1763" s="3">
        <f>VLOOKUP(B1763,Sheet2!$A:$O,9,0)</f>
        <v>7860</v>
      </c>
    </row>
    <row r="1764" spans="1:4">
      <c r="A1764" s="8" t="s">
        <v>402</v>
      </c>
      <c r="B1764" s="2">
        <v>1700086</v>
      </c>
      <c r="C1764" s="2" t="s">
        <v>346</v>
      </c>
      <c r="D1764" s="3">
        <f>VLOOKUP(B1764,Sheet2!$A:$O,9,0)</f>
        <v>1814</v>
      </c>
    </row>
    <row r="1765" spans="1:4">
      <c r="A1765" s="8" t="s">
        <v>402</v>
      </c>
      <c r="B1765" s="2">
        <v>1700087</v>
      </c>
      <c r="C1765" s="2" t="s">
        <v>347</v>
      </c>
      <c r="D1765" s="3">
        <f>VLOOKUP(B1765,Sheet2!$A:$O,9,0)</f>
        <v>4660</v>
      </c>
    </row>
    <row r="1766" spans="1:4">
      <c r="A1766" s="8" t="s">
        <v>402</v>
      </c>
      <c r="B1766" s="2">
        <v>1700088</v>
      </c>
      <c r="C1766" s="2" t="s">
        <v>348</v>
      </c>
      <c r="D1766" s="3">
        <f>VLOOKUP(B1766,Sheet2!$A:$O,9,0)</f>
        <v>15500</v>
      </c>
    </row>
    <row r="1767" spans="1:4">
      <c r="A1767" s="8" t="s">
        <v>402</v>
      </c>
      <c r="B1767" s="2">
        <v>1700089</v>
      </c>
      <c r="C1767" s="2" t="s">
        <v>349</v>
      </c>
      <c r="D1767" s="3">
        <f>VLOOKUP(B1767,Sheet2!$A:$O,9,0)</f>
        <v>18500</v>
      </c>
    </row>
    <row r="1768" spans="1:4">
      <c r="A1768" s="8" t="s">
        <v>402</v>
      </c>
      <c r="B1768" s="2">
        <v>1700090</v>
      </c>
      <c r="C1768" s="2" t="s">
        <v>350</v>
      </c>
      <c r="D1768" s="3">
        <f>VLOOKUP(B1768,Sheet2!$A:$O,9,0)</f>
        <v>25490</v>
      </c>
    </row>
    <row r="1769" spans="1:4">
      <c r="A1769" s="8" t="s">
        <v>402</v>
      </c>
      <c r="B1769" s="2">
        <v>1700091</v>
      </c>
      <c r="C1769" s="2" t="s">
        <v>351</v>
      </c>
      <c r="D1769" s="3">
        <f>VLOOKUP(B1769,Sheet2!$A:$O,9,0)</f>
        <v>18000</v>
      </c>
    </row>
    <row r="1770" spans="1:4">
      <c r="A1770" s="8" t="s">
        <v>402</v>
      </c>
      <c r="B1770" s="2">
        <v>1700092</v>
      </c>
      <c r="C1770" s="2" t="s">
        <v>352</v>
      </c>
      <c r="D1770" s="3">
        <f>VLOOKUP(B1770,Sheet2!$A:$O,9,0)</f>
        <v>2284</v>
      </c>
    </row>
    <row r="1771" spans="1:4">
      <c r="A1771" s="8" t="s">
        <v>402</v>
      </c>
      <c r="B1771" s="2">
        <v>1700093</v>
      </c>
      <c r="C1771" s="2" t="s">
        <v>353</v>
      </c>
      <c r="D1771" s="3">
        <f>VLOOKUP(B1771,Sheet2!$A:$O,9,0)</f>
        <v>11180</v>
      </c>
    </row>
    <row r="1772" spans="1:4">
      <c r="A1772" s="8" t="s">
        <v>402</v>
      </c>
      <c r="B1772" s="2">
        <v>1700094</v>
      </c>
      <c r="C1772" s="2" t="s">
        <v>354</v>
      </c>
      <c r="D1772" s="3">
        <f>VLOOKUP(B1772,Sheet2!$A:$O,9,0)</f>
        <v>13529</v>
      </c>
    </row>
    <row r="1773" spans="1:4">
      <c r="A1773" s="8" t="s">
        <v>402</v>
      </c>
      <c r="B1773" s="2">
        <v>1700095</v>
      </c>
      <c r="C1773" s="2" t="s">
        <v>355</v>
      </c>
      <c r="D1773" s="3">
        <f>VLOOKUP(B1773,Sheet2!$A:$O,9,0)</f>
        <v>4500</v>
      </c>
    </row>
    <row r="1774" spans="1:4">
      <c r="A1774" s="8" t="s">
        <v>402</v>
      </c>
      <c r="B1774" s="2">
        <v>1700096</v>
      </c>
      <c r="C1774" s="2" t="s">
        <v>356</v>
      </c>
      <c r="D1774" s="3">
        <f>VLOOKUP(B1774,Sheet2!$A:$O,9,0)</f>
        <v>24510</v>
      </c>
    </row>
    <row r="1775" spans="1:4">
      <c r="A1775" s="8" t="s">
        <v>402</v>
      </c>
      <c r="B1775" s="2">
        <v>1700097</v>
      </c>
      <c r="C1775" s="2" t="s">
        <v>357</v>
      </c>
      <c r="D1775" s="3">
        <f>VLOOKUP(B1775,Sheet2!$A:$O,9,0)</f>
        <v>19608</v>
      </c>
    </row>
    <row r="1776" spans="1:4">
      <c r="A1776" s="8" t="s">
        <v>402</v>
      </c>
      <c r="B1776" s="2">
        <v>1700098</v>
      </c>
      <c r="C1776" s="2" t="s">
        <v>358</v>
      </c>
      <c r="D1776" s="3">
        <f>VLOOKUP(B1776,Sheet2!$A:$O,9,0)</f>
        <v>19608</v>
      </c>
    </row>
    <row r="1777" spans="1:4">
      <c r="A1777" s="8" t="s">
        <v>402</v>
      </c>
      <c r="B1777" s="2">
        <v>1700099</v>
      </c>
      <c r="C1777" s="2" t="s">
        <v>359</v>
      </c>
      <c r="D1777" s="3">
        <f>VLOOKUP(B1777,Sheet2!$A:$O,9,0)</f>
        <v>9000</v>
      </c>
    </row>
    <row r="1778" spans="1:4">
      <c r="A1778" s="8" t="s">
        <v>402</v>
      </c>
      <c r="B1778" s="2">
        <v>1700100</v>
      </c>
      <c r="C1778" s="2" t="s">
        <v>360</v>
      </c>
      <c r="D1778" s="3">
        <f>VLOOKUP(B1778,Sheet2!$A:$O,9,0)</f>
        <v>3029</v>
      </c>
    </row>
    <row r="1779" spans="1:4">
      <c r="A1779" s="8" t="s">
        <v>402</v>
      </c>
      <c r="B1779" s="2">
        <v>1700101</v>
      </c>
      <c r="C1779" s="2" t="s">
        <v>361</v>
      </c>
      <c r="D1779" s="3">
        <f>VLOOKUP(B1779,Sheet2!$A:$O,9,0)</f>
        <v>8647</v>
      </c>
    </row>
    <row r="1780" spans="1:4">
      <c r="A1780" s="8" t="s">
        <v>402</v>
      </c>
      <c r="B1780" s="2">
        <v>1700102</v>
      </c>
      <c r="C1780" s="2" t="s">
        <v>362</v>
      </c>
      <c r="D1780" s="3">
        <f>VLOOKUP(B1780,Sheet2!$A:$O,9,0)</f>
        <v>40196</v>
      </c>
    </row>
    <row r="1781" spans="1:4">
      <c r="A1781" s="8" t="s">
        <v>402</v>
      </c>
      <c r="B1781" s="2">
        <v>1700103</v>
      </c>
      <c r="C1781" s="2" t="s">
        <v>363</v>
      </c>
      <c r="D1781" s="3">
        <f>VLOOKUP(B1781,Sheet2!$A:$O,9,0)</f>
        <v>9000</v>
      </c>
    </row>
    <row r="1782" spans="1:4">
      <c r="A1782" s="8" t="s">
        <v>402</v>
      </c>
      <c r="B1782" s="2">
        <v>1700104</v>
      </c>
      <c r="C1782" s="2" t="s">
        <v>364</v>
      </c>
      <c r="D1782" s="3">
        <f>VLOOKUP(B1782,Sheet2!$A:$O,9,0)</f>
        <v>22620</v>
      </c>
    </row>
    <row r="1783" spans="1:4">
      <c r="A1783" s="8" t="s">
        <v>402</v>
      </c>
      <c r="B1783" s="2">
        <v>1700105</v>
      </c>
      <c r="C1783" s="2" t="s">
        <v>365</v>
      </c>
      <c r="D1783" s="3">
        <f>VLOOKUP(B1783,Sheet2!$A:$O,9,0)</f>
        <v>10588</v>
      </c>
    </row>
    <row r="1784" spans="1:4">
      <c r="A1784" s="8" t="s">
        <v>402</v>
      </c>
      <c r="B1784" s="2">
        <v>1700106</v>
      </c>
      <c r="C1784" s="2" t="s">
        <v>366</v>
      </c>
      <c r="D1784" s="3">
        <f>VLOOKUP(B1784,Sheet2!$A:$O,9,0)</f>
        <v>14020</v>
      </c>
    </row>
    <row r="1785" spans="1:4">
      <c r="A1785" s="8" t="s">
        <v>402</v>
      </c>
      <c r="B1785" s="2">
        <v>1700107</v>
      </c>
      <c r="C1785" s="2" t="s">
        <v>367</v>
      </c>
      <c r="D1785" s="3">
        <f>VLOOKUP(B1785,Sheet2!$A:$O,9,0)</f>
        <v>9020</v>
      </c>
    </row>
    <row r="1786" spans="1:4">
      <c r="A1786" s="8" t="s">
        <v>402</v>
      </c>
      <c r="B1786" s="2">
        <v>1800002</v>
      </c>
      <c r="C1786" s="2" t="s">
        <v>368</v>
      </c>
      <c r="D1786" s="3">
        <f>VLOOKUP(B1786,Sheet2!$A:$O,9,0)</f>
        <v>9520</v>
      </c>
    </row>
    <row r="1787" spans="1:4">
      <c r="A1787" s="8" t="s">
        <v>402</v>
      </c>
      <c r="B1787" s="2">
        <v>1800004</v>
      </c>
      <c r="C1787" s="2" t="s">
        <v>369</v>
      </c>
      <c r="D1787" s="3">
        <f>VLOOKUP(B1787,Sheet2!$A:$O,9,0)</f>
        <v>0</v>
      </c>
    </row>
    <row r="1788" spans="1:4">
      <c r="A1788" s="8" t="s">
        <v>402</v>
      </c>
      <c r="B1788" s="2">
        <v>1800005</v>
      </c>
      <c r="C1788" s="2" t="s">
        <v>370</v>
      </c>
      <c r="D1788" s="3">
        <f>VLOOKUP(B1788,Sheet2!$A:$O,9,0)</f>
        <v>0</v>
      </c>
    </row>
    <row r="1789" spans="1:4">
      <c r="A1789" s="8" t="s">
        <v>402</v>
      </c>
      <c r="B1789" s="2">
        <v>1800006</v>
      </c>
      <c r="C1789" s="2" t="s">
        <v>371</v>
      </c>
      <c r="D1789" s="3">
        <f>VLOOKUP(B1789,Sheet2!$A:$O,9,0)</f>
        <v>0</v>
      </c>
    </row>
    <row r="1790" spans="1:4">
      <c r="A1790" s="8" t="s">
        <v>402</v>
      </c>
      <c r="B1790" s="2">
        <v>1800007</v>
      </c>
      <c r="C1790" s="2" t="s">
        <v>372</v>
      </c>
      <c r="D1790" s="3">
        <f>VLOOKUP(B1790,Sheet2!$A:$O,9,0)</f>
        <v>10000</v>
      </c>
    </row>
    <row r="1791" spans="1:4">
      <c r="A1791" s="8" t="s">
        <v>402</v>
      </c>
      <c r="B1791" s="2">
        <v>1800008</v>
      </c>
      <c r="C1791" s="2" t="s">
        <v>373</v>
      </c>
      <c r="D1791" s="3">
        <f>VLOOKUP(B1791,Sheet2!$A:$O,9,0)</f>
        <v>10110</v>
      </c>
    </row>
    <row r="1792" spans="1:4">
      <c r="A1792" s="8" t="s">
        <v>402</v>
      </c>
      <c r="B1792" s="2">
        <v>1800009</v>
      </c>
      <c r="C1792" s="2" t="s">
        <v>374</v>
      </c>
      <c r="D1792" s="3">
        <f>VLOOKUP(B1792,Sheet2!$A:$O,9,0)</f>
        <v>11800</v>
      </c>
    </row>
    <row r="1793" spans="1:4">
      <c r="A1793" s="8" t="s">
        <v>402</v>
      </c>
      <c r="B1793" s="2">
        <v>1800010</v>
      </c>
      <c r="C1793" s="2" t="s">
        <v>375</v>
      </c>
      <c r="D1793" s="3">
        <f>VLOOKUP(B1793,Sheet2!$A:$O,9,0)</f>
        <v>5784</v>
      </c>
    </row>
    <row r="1794" spans="1:4">
      <c r="A1794" s="8" t="s">
        <v>402</v>
      </c>
      <c r="B1794" s="2">
        <v>1800011</v>
      </c>
      <c r="C1794" s="2" t="s">
        <v>376</v>
      </c>
      <c r="D1794" s="3">
        <f>VLOOKUP(B1794,Sheet2!$A:$O,9,0)</f>
        <v>9363</v>
      </c>
    </row>
    <row r="1795" spans="1:4">
      <c r="A1795" s="8" t="s">
        <v>402</v>
      </c>
      <c r="B1795" s="2">
        <v>1800012</v>
      </c>
      <c r="C1795" s="2" t="s">
        <v>377</v>
      </c>
      <c r="D1795" s="3">
        <f>VLOOKUP(B1795,Sheet2!$A:$O,9,0)</f>
        <v>5725</v>
      </c>
    </row>
    <row r="1796" spans="1:4">
      <c r="A1796" s="8" t="s">
        <v>402</v>
      </c>
      <c r="B1796" s="2">
        <v>1800013</v>
      </c>
      <c r="C1796" s="2" t="s">
        <v>378</v>
      </c>
      <c r="D1796" s="3">
        <f>VLOOKUP(B1796,Sheet2!$A:$O,9,0)</f>
        <v>49100</v>
      </c>
    </row>
    <row r="1797" spans="1:4">
      <c r="A1797" s="8" t="s">
        <v>402</v>
      </c>
      <c r="B1797" s="2">
        <v>1800014</v>
      </c>
      <c r="C1797" s="2" t="s">
        <v>379</v>
      </c>
      <c r="D1797" s="3">
        <f>VLOOKUP(B1797,Sheet2!$A:$O,9,0)</f>
        <v>70000</v>
      </c>
    </row>
    <row r="1798" spans="1:4">
      <c r="A1798" s="8" t="s">
        <v>402</v>
      </c>
      <c r="B1798" s="2">
        <v>1800015</v>
      </c>
      <c r="C1798" s="2" t="s">
        <v>380</v>
      </c>
      <c r="D1798" s="3">
        <f>VLOOKUP(B1798,Sheet2!$A:$O,9,0)</f>
        <v>66700</v>
      </c>
    </row>
    <row r="1799" spans="1:4">
      <c r="A1799" s="8" t="s">
        <v>402</v>
      </c>
      <c r="B1799" s="2">
        <v>1900013</v>
      </c>
      <c r="C1799" s="2" t="s">
        <v>381</v>
      </c>
      <c r="D1799" s="3">
        <f>VLOOKUP(B1799,Sheet2!$A:$O,9,0)</f>
        <v>0</v>
      </c>
    </row>
    <row r="1800" spans="1:4">
      <c r="A1800" s="8" t="s">
        <v>402</v>
      </c>
      <c r="B1800" s="2">
        <v>1900018</v>
      </c>
      <c r="C1800" s="2" t="s">
        <v>382</v>
      </c>
      <c r="D1800" s="3">
        <f>VLOOKUP(B1800,Sheet2!$A:$O,9,0)</f>
        <v>0</v>
      </c>
    </row>
    <row r="1801" spans="1:4">
      <c r="A1801" s="8" t="s">
        <v>403</v>
      </c>
      <c r="B1801" s="5">
        <v>1010101</v>
      </c>
      <c r="C1801" s="5" t="s">
        <v>5</v>
      </c>
      <c r="D1801" s="3">
        <f>VLOOKUP(B1801,Sheet2!$A:$O,10,0)</f>
        <v>698</v>
      </c>
    </row>
    <row r="1802" spans="1:4">
      <c r="A1802" s="8" t="s">
        <v>403</v>
      </c>
      <c r="B1802" s="5">
        <v>1010111</v>
      </c>
      <c r="C1802" s="5" t="s">
        <v>9</v>
      </c>
      <c r="D1802" s="3">
        <f>VLOOKUP(B1802,Sheet2!$A:$O,10,0)</f>
        <v>19100</v>
      </c>
    </row>
    <row r="1803" spans="1:4">
      <c r="A1803" s="8" t="s">
        <v>403</v>
      </c>
      <c r="B1803" s="5">
        <v>1010201</v>
      </c>
      <c r="C1803" s="5" t="s">
        <v>11</v>
      </c>
      <c r="D1803" s="3">
        <f>VLOOKUP(B1803,Sheet2!$A:$O,10,0)</f>
        <v>838</v>
      </c>
    </row>
    <row r="1804" spans="1:4">
      <c r="A1804" s="8" t="s">
        <v>403</v>
      </c>
      <c r="B1804" s="5">
        <v>1010300</v>
      </c>
      <c r="C1804" s="5" t="s">
        <v>213</v>
      </c>
      <c r="D1804" s="3">
        <f>VLOOKUP(B1804,Sheet2!$A:$O,10,0)</f>
        <v>5490</v>
      </c>
    </row>
    <row r="1805" spans="1:4">
      <c r="A1805" s="8" t="s">
        <v>403</v>
      </c>
      <c r="B1805" s="5">
        <v>1010301</v>
      </c>
      <c r="C1805" s="5" t="s">
        <v>214</v>
      </c>
      <c r="D1805" s="3">
        <f>VLOOKUP(B1805,Sheet2!$A:$O,10,0)</f>
        <v>5882</v>
      </c>
    </row>
    <row r="1806" spans="1:4">
      <c r="A1806" s="8" t="s">
        <v>403</v>
      </c>
      <c r="B1806" s="5">
        <v>1010302</v>
      </c>
      <c r="C1806" s="5" t="s">
        <v>16</v>
      </c>
      <c r="D1806" s="3">
        <f>VLOOKUP(B1806,Sheet2!$A:$O,10,0)</f>
        <v>4216</v>
      </c>
    </row>
    <row r="1807" spans="1:4">
      <c r="A1807" s="8" t="s">
        <v>403</v>
      </c>
      <c r="B1807" s="5">
        <v>1010303</v>
      </c>
      <c r="C1807" s="5" t="s">
        <v>18</v>
      </c>
      <c r="D1807" s="3">
        <f>VLOOKUP(B1807,Sheet2!$A:$O,10,0)</f>
        <v>882</v>
      </c>
    </row>
    <row r="1808" spans="1:4">
      <c r="A1808" s="8" t="s">
        <v>403</v>
      </c>
      <c r="B1808" s="5">
        <v>1010304</v>
      </c>
      <c r="C1808" s="5" t="s">
        <v>215</v>
      </c>
      <c r="D1808" s="3">
        <f>VLOOKUP(B1808,Sheet2!$A:$O,10,0)</f>
        <v>1225</v>
      </c>
    </row>
    <row r="1809" spans="1:4">
      <c r="A1809" s="8" t="s">
        <v>403</v>
      </c>
      <c r="B1809" s="5">
        <v>1010401</v>
      </c>
      <c r="C1809" s="5" t="s">
        <v>20</v>
      </c>
      <c r="D1809" s="3">
        <f>VLOOKUP(B1809,Sheet2!$A:$O,10,0)</f>
        <v>3627</v>
      </c>
    </row>
    <row r="1810" spans="1:4">
      <c r="A1810" s="8" t="s">
        <v>403</v>
      </c>
      <c r="B1810" s="5">
        <v>1010405</v>
      </c>
      <c r="C1810" s="5" t="s">
        <v>22</v>
      </c>
      <c r="D1810" s="3">
        <f>VLOOKUP(B1810,Sheet2!$A:$O,10,0)</f>
        <v>9975</v>
      </c>
    </row>
    <row r="1811" spans="1:4">
      <c r="A1811" s="8" t="s">
        <v>403</v>
      </c>
      <c r="B1811" s="5">
        <v>1010501</v>
      </c>
      <c r="C1811" s="5" t="s">
        <v>24</v>
      </c>
      <c r="D1811" s="3">
        <f>VLOOKUP(B1811,Sheet2!$A:$O,10,0)</f>
        <v>980</v>
      </c>
    </row>
    <row r="1812" spans="1:4">
      <c r="A1812" s="8" t="s">
        <v>403</v>
      </c>
      <c r="B1812" s="5">
        <v>1010502</v>
      </c>
      <c r="C1812" s="5" t="s">
        <v>216</v>
      </c>
      <c r="D1812" s="3">
        <f>VLOOKUP(B1812,Sheet2!$A:$O,10,0)</f>
        <v>0</v>
      </c>
    </row>
    <row r="1813" spans="1:4">
      <c r="A1813" s="8" t="s">
        <v>403</v>
      </c>
      <c r="B1813" s="5">
        <v>1010601</v>
      </c>
      <c r="C1813" s="5" t="s">
        <v>26</v>
      </c>
      <c r="D1813" s="3">
        <f>VLOOKUP(B1813,Sheet2!$A:$O,10,0)</f>
        <v>4412</v>
      </c>
    </row>
    <row r="1814" spans="1:4">
      <c r="A1814" s="8" t="s">
        <v>403</v>
      </c>
      <c r="B1814" s="5">
        <v>1010701</v>
      </c>
      <c r="C1814" s="5" t="s">
        <v>28</v>
      </c>
      <c r="D1814" s="3">
        <f>VLOOKUP(B1814,Sheet2!$A:$O,10,0)</f>
        <v>686</v>
      </c>
    </row>
    <row r="1815" spans="1:4">
      <c r="A1815" s="8" t="s">
        <v>403</v>
      </c>
      <c r="B1815" s="5">
        <v>1010801</v>
      </c>
      <c r="C1815" s="5" t="s">
        <v>30</v>
      </c>
      <c r="D1815" s="3">
        <f>VLOOKUP(B1815,Sheet2!$A:$O,10,0)</f>
        <v>7157</v>
      </c>
    </row>
    <row r="1816" spans="1:4">
      <c r="A1816" s="8" t="s">
        <v>403</v>
      </c>
      <c r="B1816" s="5">
        <v>1010901</v>
      </c>
      <c r="C1816" s="5" t="s">
        <v>32</v>
      </c>
      <c r="D1816" s="3">
        <f>VLOOKUP(B1816,Sheet2!$A:$O,10,0)</f>
        <v>4902</v>
      </c>
    </row>
    <row r="1817" spans="1:4">
      <c r="A1817" s="8" t="s">
        <v>403</v>
      </c>
      <c r="B1817" s="5">
        <v>1020101</v>
      </c>
      <c r="C1817" s="5" t="s">
        <v>34</v>
      </c>
      <c r="D1817" s="3">
        <f>VLOOKUP(B1817,Sheet2!$A:$O,10,0)</f>
        <v>17451</v>
      </c>
    </row>
    <row r="1818" spans="1:4">
      <c r="A1818" s="8" t="s">
        <v>403</v>
      </c>
      <c r="B1818" s="5">
        <v>1020201</v>
      </c>
      <c r="C1818" s="5" t="s">
        <v>217</v>
      </c>
      <c r="D1818" s="3">
        <f>VLOOKUP(B1818,Sheet2!$A:$O,10,0)</f>
        <v>5600</v>
      </c>
    </row>
    <row r="1819" spans="1:4">
      <c r="A1819" s="8" t="s">
        <v>403</v>
      </c>
      <c r="B1819" s="5">
        <v>1020301</v>
      </c>
      <c r="C1819" s="5" t="s">
        <v>38</v>
      </c>
      <c r="D1819" s="3">
        <f>VLOOKUP(B1819,Sheet2!$A:$O,10,0)</f>
        <v>2100</v>
      </c>
    </row>
    <row r="1820" spans="1:4">
      <c r="A1820" s="8" t="s">
        <v>403</v>
      </c>
      <c r="B1820" s="5">
        <v>1020401</v>
      </c>
      <c r="C1820" s="5" t="s">
        <v>40</v>
      </c>
      <c r="D1820" s="3">
        <f>VLOOKUP(B1820,Sheet2!$A:$O,10,0)</f>
        <v>3500</v>
      </c>
    </row>
    <row r="1821" spans="1:4">
      <c r="A1821" s="8" t="s">
        <v>403</v>
      </c>
      <c r="B1821" s="5">
        <v>1030102</v>
      </c>
      <c r="C1821" s="5" t="s">
        <v>218</v>
      </c>
      <c r="D1821" s="3">
        <f>VLOOKUP(B1821,Sheet2!$A:$O,10,0)</f>
        <v>0</v>
      </c>
    </row>
    <row r="1822" spans="1:4">
      <c r="A1822" s="8" t="s">
        <v>403</v>
      </c>
      <c r="B1822" s="5">
        <v>1030201</v>
      </c>
      <c r="C1822" s="5" t="s">
        <v>42</v>
      </c>
      <c r="D1822" s="3">
        <f>VLOOKUP(B1822,Sheet2!$A:$O,10,0)</f>
        <v>2451</v>
      </c>
    </row>
    <row r="1823" spans="1:4">
      <c r="A1823" s="8" t="s">
        <v>403</v>
      </c>
      <c r="B1823" s="5">
        <v>1030203</v>
      </c>
      <c r="C1823" s="5" t="s">
        <v>219</v>
      </c>
      <c r="D1823" s="3">
        <f>VLOOKUP(B1823,Sheet2!$A:$O,10,0)</f>
        <v>0</v>
      </c>
    </row>
    <row r="1824" spans="1:4">
      <c r="A1824" s="8" t="s">
        <v>403</v>
      </c>
      <c r="B1824" s="5">
        <v>1030204</v>
      </c>
      <c r="C1824" s="5" t="s">
        <v>220</v>
      </c>
      <c r="D1824" s="3">
        <f>VLOOKUP(B1824,Sheet2!$A:$O,10,0)</f>
        <v>0</v>
      </c>
    </row>
    <row r="1825" spans="1:4">
      <c r="A1825" s="8" t="s">
        <v>403</v>
      </c>
      <c r="B1825" s="5">
        <v>1030205</v>
      </c>
      <c r="C1825" s="5" t="s">
        <v>44</v>
      </c>
      <c r="D1825" s="3">
        <f>VLOOKUP(B1825,Sheet2!$A:$O,10,0)</f>
        <v>5000</v>
      </c>
    </row>
    <row r="1826" spans="1:4">
      <c r="A1826" s="8" t="s">
        <v>403</v>
      </c>
      <c r="B1826" s="5">
        <v>1030206</v>
      </c>
      <c r="C1826" s="5" t="s">
        <v>46</v>
      </c>
      <c r="D1826" s="3">
        <f>VLOOKUP(B1826,Sheet2!$A:$O,10,0)</f>
        <v>6200</v>
      </c>
    </row>
    <row r="1827" spans="1:4">
      <c r="A1827" s="8" t="s">
        <v>403</v>
      </c>
      <c r="B1827" s="5">
        <v>1030207</v>
      </c>
      <c r="C1827" s="5" t="s">
        <v>48</v>
      </c>
      <c r="D1827" s="3">
        <f>VLOOKUP(B1827,Sheet2!$A:$O,10,0)</f>
        <v>4400</v>
      </c>
    </row>
    <row r="1828" spans="1:4">
      <c r="A1828" s="8" t="s">
        <v>403</v>
      </c>
      <c r="B1828" s="5">
        <v>1030501</v>
      </c>
      <c r="C1828" s="5" t="s">
        <v>50</v>
      </c>
      <c r="D1828" s="3">
        <f>VLOOKUP(B1828,Sheet2!$A:$O,10,0)</f>
        <v>1127</v>
      </c>
    </row>
    <row r="1829" spans="1:4">
      <c r="A1829" s="8" t="s">
        <v>403</v>
      </c>
      <c r="B1829" s="5">
        <v>1030601</v>
      </c>
      <c r="C1829" s="5" t="s">
        <v>52</v>
      </c>
      <c r="D1829" s="3">
        <f>VLOOKUP(B1829,Sheet2!$A:$O,10,0)</f>
        <v>3000</v>
      </c>
    </row>
    <row r="1830" spans="1:4">
      <c r="A1830" s="8" t="s">
        <v>403</v>
      </c>
      <c r="B1830" s="5">
        <v>1030701</v>
      </c>
      <c r="C1830" s="5" t="s">
        <v>221</v>
      </c>
      <c r="D1830" s="3">
        <f>VLOOKUP(B1830,Sheet2!$A:$O,10,0)</f>
        <v>3000</v>
      </c>
    </row>
    <row r="1831" spans="1:4">
      <c r="A1831" s="8" t="s">
        <v>403</v>
      </c>
      <c r="B1831" s="5">
        <v>1030705</v>
      </c>
      <c r="C1831" s="5" t="s">
        <v>222</v>
      </c>
      <c r="D1831" s="3">
        <f>VLOOKUP(B1831,Sheet2!$A:$O,10,0)</f>
        <v>0</v>
      </c>
    </row>
    <row r="1832" spans="1:4">
      <c r="A1832" s="8" t="s">
        <v>403</v>
      </c>
      <c r="B1832" s="5">
        <v>1030801</v>
      </c>
      <c r="C1832" s="5" t="s">
        <v>54</v>
      </c>
      <c r="D1832" s="3">
        <f>VLOOKUP(B1832,Sheet2!$A:$O,10,0)</f>
        <v>1373</v>
      </c>
    </row>
    <row r="1833" spans="1:4">
      <c r="A1833" s="8" t="s">
        <v>403</v>
      </c>
      <c r="B1833" s="5">
        <v>1030901</v>
      </c>
      <c r="C1833" s="5" t="s">
        <v>223</v>
      </c>
      <c r="D1833" s="3">
        <f>VLOOKUP(B1833,Sheet2!$A:$O,10,0)</f>
        <v>0</v>
      </c>
    </row>
    <row r="1834" spans="1:4">
      <c r="A1834" s="8" t="s">
        <v>403</v>
      </c>
      <c r="B1834" s="5">
        <v>1040201</v>
      </c>
      <c r="C1834" s="5" t="s">
        <v>56</v>
      </c>
      <c r="D1834" s="3">
        <f>VLOOKUP(B1834,Sheet2!$A:$O,10,0)</f>
        <v>1477</v>
      </c>
    </row>
    <row r="1835" spans="1:4">
      <c r="A1835" s="8" t="s">
        <v>403</v>
      </c>
      <c r="B1835" s="5">
        <v>1040202</v>
      </c>
      <c r="C1835" s="5" t="s">
        <v>224</v>
      </c>
      <c r="D1835" s="3">
        <f>VLOOKUP(B1835,Sheet2!$A:$O,10,0)</f>
        <v>0</v>
      </c>
    </row>
    <row r="1836" spans="1:4">
      <c r="A1836" s="8" t="s">
        <v>403</v>
      </c>
      <c r="B1836" s="5">
        <v>1040203</v>
      </c>
      <c r="C1836" s="5" t="s">
        <v>225</v>
      </c>
      <c r="D1836" s="3">
        <f>VLOOKUP(B1836,Sheet2!$A:$O,10,0)</f>
        <v>0</v>
      </c>
    </row>
    <row r="1837" spans="1:4">
      <c r="A1837" s="8" t="s">
        <v>403</v>
      </c>
      <c r="B1837" s="5">
        <v>1040204</v>
      </c>
      <c r="C1837" s="5" t="s">
        <v>226</v>
      </c>
      <c r="D1837" s="3">
        <f>VLOOKUP(B1837,Sheet2!$A:$O,10,0)</f>
        <v>7917</v>
      </c>
    </row>
    <row r="1838" spans="1:4">
      <c r="A1838" s="8" t="s">
        <v>403</v>
      </c>
      <c r="B1838" s="5">
        <v>1040301</v>
      </c>
      <c r="C1838" s="5" t="s">
        <v>58</v>
      </c>
      <c r="D1838" s="3">
        <f>VLOOKUP(B1838,Sheet2!$A:$O,10,0)</f>
        <v>1650</v>
      </c>
    </row>
    <row r="1839" spans="1:4">
      <c r="A1839" s="8" t="s">
        <v>403</v>
      </c>
      <c r="B1839" s="5">
        <v>1040401</v>
      </c>
      <c r="C1839" s="5" t="s">
        <v>227</v>
      </c>
      <c r="D1839" s="3">
        <f>VLOOKUP(B1839,Sheet2!$A:$O,10,0)</f>
        <v>0</v>
      </c>
    </row>
    <row r="1840" spans="1:4">
      <c r="A1840" s="8" t="s">
        <v>403</v>
      </c>
      <c r="B1840" s="5">
        <v>1050102</v>
      </c>
      <c r="C1840" s="5" t="s">
        <v>60</v>
      </c>
      <c r="D1840" s="3">
        <f>VLOOKUP(B1840,Sheet2!$A:$O,10,0)</f>
        <v>29500</v>
      </c>
    </row>
    <row r="1841" spans="1:4">
      <c r="A1841" s="8" t="s">
        <v>403</v>
      </c>
      <c r="B1841" s="5">
        <v>1050103</v>
      </c>
      <c r="C1841" s="5" t="s">
        <v>228</v>
      </c>
      <c r="D1841" s="3">
        <f>VLOOKUP(B1841,Sheet2!$A:$O,10,0)</f>
        <v>11275</v>
      </c>
    </row>
    <row r="1842" spans="1:4">
      <c r="A1842" s="8" t="s">
        <v>403</v>
      </c>
      <c r="B1842" s="5">
        <v>1050301</v>
      </c>
      <c r="C1842" s="5" t="s">
        <v>62</v>
      </c>
      <c r="D1842" s="3">
        <f>VLOOKUP(B1842,Sheet2!$A:$O,10,0)</f>
        <v>9804</v>
      </c>
    </row>
    <row r="1843" spans="1:4">
      <c r="A1843" s="8" t="s">
        <v>403</v>
      </c>
      <c r="B1843" s="5">
        <v>1050401</v>
      </c>
      <c r="C1843" s="5" t="s">
        <v>64</v>
      </c>
      <c r="D1843" s="3">
        <f>VLOOKUP(B1843,Sheet2!$A:$O,10,0)</f>
        <v>8824</v>
      </c>
    </row>
    <row r="1844" spans="1:4">
      <c r="A1844" s="8" t="s">
        <v>403</v>
      </c>
      <c r="B1844" s="5">
        <v>1050501</v>
      </c>
      <c r="C1844" s="5" t="s">
        <v>66</v>
      </c>
      <c r="D1844" s="3">
        <f>VLOOKUP(B1844,Sheet2!$A:$O,10,0)</f>
        <v>10784</v>
      </c>
    </row>
    <row r="1845" spans="1:4">
      <c r="A1845" s="8" t="s">
        <v>403</v>
      </c>
      <c r="B1845" s="5">
        <v>1050511</v>
      </c>
      <c r="C1845" s="5" t="s">
        <v>68</v>
      </c>
      <c r="D1845" s="3">
        <f>VLOOKUP(B1845,Sheet2!$A:$O,10,0)</f>
        <v>18000</v>
      </c>
    </row>
    <row r="1846" spans="1:4">
      <c r="A1846" s="8" t="s">
        <v>403</v>
      </c>
      <c r="B1846" s="5">
        <v>1050512</v>
      </c>
      <c r="C1846" s="5" t="s">
        <v>229</v>
      </c>
      <c r="D1846" s="3">
        <f>VLOOKUP(B1846,Sheet2!$A:$O,10,0)</f>
        <v>0</v>
      </c>
    </row>
    <row r="1847" spans="1:4">
      <c r="A1847" s="8" t="s">
        <v>403</v>
      </c>
      <c r="B1847" s="5">
        <v>1050521</v>
      </c>
      <c r="C1847" s="5" t="s">
        <v>70</v>
      </c>
      <c r="D1847" s="3">
        <f>VLOOKUP(B1847,Sheet2!$A:$O,10,0)</f>
        <v>14706</v>
      </c>
    </row>
    <row r="1848" spans="1:4">
      <c r="A1848" s="8" t="s">
        <v>403</v>
      </c>
      <c r="B1848" s="5">
        <v>1050531</v>
      </c>
      <c r="C1848" s="5" t="s">
        <v>72</v>
      </c>
      <c r="D1848" s="3">
        <f>VLOOKUP(B1848,Sheet2!$A:$O,10,0)</f>
        <v>21000</v>
      </c>
    </row>
    <row r="1849" spans="1:4">
      <c r="A1849" s="8" t="s">
        <v>403</v>
      </c>
      <c r="B1849" s="5">
        <v>1050541</v>
      </c>
      <c r="C1849" s="5" t="s">
        <v>74</v>
      </c>
      <c r="D1849" s="3">
        <f>VLOOKUP(B1849,Sheet2!$A:$O,10,0)</f>
        <v>11000</v>
      </c>
    </row>
    <row r="1850" spans="1:4">
      <c r="A1850" s="8" t="s">
        <v>403</v>
      </c>
      <c r="B1850" s="5">
        <v>1050551</v>
      </c>
      <c r="C1850" s="5" t="s">
        <v>76</v>
      </c>
      <c r="D1850" s="3">
        <f>VLOOKUP(B1850,Sheet2!$A:$O,10,0)</f>
        <v>54000</v>
      </c>
    </row>
    <row r="1851" spans="1:4">
      <c r="A1851" s="8" t="s">
        <v>403</v>
      </c>
      <c r="B1851" s="5">
        <v>1050561</v>
      </c>
      <c r="C1851" s="5" t="s">
        <v>78</v>
      </c>
      <c r="D1851" s="3">
        <f>VLOOKUP(B1851,Sheet2!$A:$O,10,0)</f>
        <v>98000</v>
      </c>
    </row>
    <row r="1852" spans="1:4">
      <c r="A1852" s="8" t="s">
        <v>403</v>
      </c>
      <c r="B1852" s="5">
        <v>1050571</v>
      </c>
      <c r="C1852" s="5" t="s">
        <v>80</v>
      </c>
      <c r="D1852" s="3">
        <f>VLOOKUP(B1852,Sheet2!$A:$O,10,0)</f>
        <v>58000</v>
      </c>
    </row>
    <row r="1853" spans="1:4">
      <c r="A1853" s="8" t="s">
        <v>403</v>
      </c>
      <c r="B1853" s="5">
        <v>1050581</v>
      </c>
      <c r="C1853" s="5" t="s">
        <v>82</v>
      </c>
      <c r="D1853" s="3">
        <f>VLOOKUP(B1853,Sheet2!$A:$O,10,0)</f>
        <v>57000</v>
      </c>
    </row>
    <row r="1854" spans="1:4">
      <c r="A1854" s="8" t="s">
        <v>403</v>
      </c>
      <c r="B1854" s="5">
        <v>1050591</v>
      </c>
      <c r="C1854" s="5" t="s">
        <v>84</v>
      </c>
      <c r="D1854" s="3">
        <f>VLOOKUP(B1854,Sheet2!$A:$O,10,0)</f>
        <v>97750</v>
      </c>
    </row>
    <row r="1855" spans="1:4">
      <c r="A1855" s="8" t="s">
        <v>403</v>
      </c>
      <c r="B1855" s="5">
        <v>1050601</v>
      </c>
      <c r="C1855" s="5" t="s">
        <v>86</v>
      </c>
      <c r="D1855" s="3">
        <f>VLOOKUP(B1855,Sheet2!$A:$O,10,0)</f>
        <v>5900</v>
      </c>
    </row>
    <row r="1856" spans="1:4">
      <c r="A1856" s="8" t="s">
        <v>403</v>
      </c>
      <c r="B1856" s="5">
        <v>1050701</v>
      </c>
      <c r="C1856" s="5" t="s">
        <v>88</v>
      </c>
      <c r="D1856" s="3">
        <f>VLOOKUP(B1856,Sheet2!$A:$O,10,0)</f>
        <v>5700</v>
      </c>
    </row>
    <row r="1857" spans="1:4">
      <c r="A1857" s="8" t="s">
        <v>403</v>
      </c>
      <c r="B1857" s="5">
        <v>1050702</v>
      </c>
      <c r="C1857" s="5" t="s">
        <v>90</v>
      </c>
      <c r="D1857" s="3">
        <f>VLOOKUP(B1857,Sheet2!$A:$O,10,0)</f>
        <v>5700</v>
      </c>
    </row>
    <row r="1858" spans="1:4">
      <c r="A1858" s="8" t="s">
        <v>403</v>
      </c>
      <c r="B1858" s="5">
        <v>1050711</v>
      </c>
      <c r="C1858" s="5" t="s">
        <v>92</v>
      </c>
      <c r="D1858" s="3">
        <f>VLOOKUP(B1858,Sheet2!$A:$O,10,0)</f>
        <v>2900</v>
      </c>
    </row>
    <row r="1859" spans="1:4">
      <c r="A1859" s="8" t="s">
        <v>403</v>
      </c>
      <c r="B1859" s="5">
        <v>1050721</v>
      </c>
      <c r="C1859" s="5" t="s">
        <v>94</v>
      </c>
      <c r="D1859" s="3">
        <f>VLOOKUP(B1859,Sheet2!$A:$O,10,0)</f>
        <v>14800</v>
      </c>
    </row>
    <row r="1860" spans="1:4">
      <c r="A1860" s="8" t="s">
        <v>403</v>
      </c>
      <c r="B1860" s="5">
        <v>1050801</v>
      </c>
      <c r="C1860" s="5" t="s">
        <v>7</v>
      </c>
      <c r="D1860" s="3">
        <f>VLOOKUP(B1860,Sheet2!$A:$O,10,0)</f>
        <v>1016</v>
      </c>
    </row>
    <row r="1861" spans="1:4">
      <c r="A1861" s="8" t="s">
        <v>403</v>
      </c>
      <c r="B1861" s="5">
        <v>1050901</v>
      </c>
      <c r="C1861" s="5" t="s">
        <v>96</v>
      </c>
      <c r="D1861" s="3">
        <f>VLOOKUP(B1861,Sheet2!$A:$O,10,0)</f>
        <v>1322</v>
      </c>
    </row>
    <row r="1862" spans="1:4">
      <c r="A1862" s="8" t="s">
        <v>403</v>
      </c>
      <c r="B1862" s="5">
        <v>1060101</v>
      </c>
      <c r="C1862" s="5" t="s">
        <v>98</v>
      </c>
      <c r="D1862" s="3">
        <f>VLOOKUP(B1862,Sheet2!$A:$O,10,0)</f>
        <v>2168</v>
      </c>
    </row>
    <row r="1863" spans="1:4">
      <c r="A1863" s="8" t="s">
        <v>403</v>
      </c>
      <c r="B1863" s="5">
        <v>1060401</v>
      </c>
      <c r="C1863" s="5" t="s">
        <v>100</v>
      </c>
      <c r="D1863" s="3">
        <f>VLOOKUP(B1863,Sheet2!$A:$O,10,0)</f>
        <v>71000</v>
      </c>
    </row>
    <row r="1864" spans="1:4">
      <c r="A1864" s="8" t="s">
        <v>403</v>
      </c>
      <c r="B1864" s="5">
        <v>1060412</v>
      </c>
      <c r="C1864" s="5" t="s">
        <v>230</v>
      </c>
      <c r="D1864" s="3">
        <f>VLOOKUP(B1864,Sheet2!$A:$O,10,0)</f>
        <v>33000</v>
      </c>
    </row>
    <row r="1865" spans="1:4">
      <c r="A1865" s="8" t="s">
        <v>403</v>
      </c>
      <c r="B1865" s="5">
        <v>1060421</v>
      </c>
      <c r="C1865" s="5" t="s">
        <v>104</v>
      </c>
      <c r="D1865" s="3">
        <f>VLOOKUP(B1865,Sheet2!$A:$O,10,0)</f>
        <v>76000</v>
      </c>
    </row>
    <row r="1866" spans="1:4">
      <c r="A1866" s="8" t="s">
        <v>403</v>
      </c>
      <c r="B1866" s="5">
        <v>1060441</v>
      </c>
      <c r="C1866" s="5" t="s">
        <v>106</v>
      </c>
      <c r="D1866" s="3">
        <f>VLOOKUP(B1866,Sheet2!$A:$O,10,0)</f>
        <v>6700</v>
      </c>
    </row>
    <row r="1867" spans="1:4">
      <c r="A1867" s="8" t="s">
        <v>403</v>
      </c>
      <c r="B1867" s="5">
        <v>1060451</v>
      </c>
      <c r="C1867" s="5" t="s">
        <v>108</v>
      </c>
      <c r="D1867" s="3">
        <f>VLOOKUP(B1867,Sheet2!$A:$O,10,0)</f>
        <v>38235</v>
      </c>
    </row>
    <row r="1868" spans="1:4">
      <c r="A1868" s="8" t="s">
        <v>403</v>
      </c>
      <c r="B1868" s="5">
        <v>1070101</v>
      </c>
      <c r="C1868" s="5" t="s">
        <v>110</v>
      </c>
      <c r="D1868" s="3">
        <f>VLOOKUP(B1868,Sheet2!$A:$O,10,0)</f>
        <v>3240</v>
      </c>
    </row>
    <row r="1869" spans="1:4">
      <c r="A1869" s="8" t="s">
        <v>403</v>
      </c>
      <c r="B1869" s="5">
        <v>1070301</v>
      </c>
      <c r="C1869" s="5" t="s">
        <v>112</v>
      </c>
      <c r="D1869" s="3">
        <f>VLOOKUP(B1869,Sheet2!$A:$O,10,0)</f>
        <v>37000</v>
      </c>
    </row>
    <row r="1870" spans="1:4">
      <c r="A1870" s="8" t="s">
        <v>403</v>
      </c>
      <c r="B1870" s="5">
        <v>1070401</v>
      </c>
      <c r="C1870" s="5" t="s">
        <v>114</v>
      </c>
      <c r="D1870" s="3">
        <f>VLOOKUP(B1870,Sheet2!$A:$O,10,0)</f>
        <v>12000</v>
      </c>
    </row>
    <row r="1871" spans="1:4">
      <c r="A1871" s="8" t="s">
        <v>403</v>
      </c>
      <c r="B1871" s="5">
        <v>1070501</v>
      </c>
      <c r="C1871" s="5" t="s">
        <v>231</v>
      </c>
      <c r="D1871" s="3">
        <f>VLOOKUP(B1871,Sheet2!$A:$O,10,0)</f>
        <v>5500</v>
      </c>
    </row>
    <row r="1872" spans="1:4">
      <c r="A1872" s="8" t="s">
        <v>403</v>
      </c>
      <c r="B1872" s="5">
        <v>1070701</v>
      </c>
      <c r="C1872" s="5" t="s">
        <v>118</v>
      </c>
      <c r="D1872" s="3">
        <f>VLOOKUP(B1872,Sheet2!$A:$O,10,0)</f>
        <v>36000</v>
      </c>
    </row>
    <row r="1873" spans="1:4">
      <c r="A1873" s="8" t="s">
        <v>403</v>
      </c>
      <c r="B1873" s="5">
        <v>1070801</v>
      </c>
      <c r="C1873" s="5" t="s">
        <v>232</v>
      </c>
      <c r="D1873" s="3">
        <f>VLOOKUP(B1873,Sheet2!$A:$O,10,0)</f>
        <v>35000</v>
      </c>
    </row>
    <row r="1874" spans="1:4">
      <c r="A1874" s="8" t="s">
        <v>403</v>
      </c>
      <c r="B1874" s="5">
        <v>1080101</v>
      </c>
      <c r="C1874" s="5" t="s">
        <v>120</v>
      </c>
      <c r="D1874" s="3">
        <f>VLOOKUP(B1874,Sheet2!$A:$O,10,0)</f>
        <v>11000</v>
      </c>
    </row>
    <row r="1875" spans="1:4">
      <c r="A1875" s="8" t="s">
        <v>403</v>
      </c>
      <c r="B1875" s="5">
        <v>1080201</v>
      </c>
      <c r="C1875" s="5" t="s">
        <v>122</v>
      </c>
      <c r="D1875" s="3">
        <f>VLOOKUP(B1875,Sheet2!$A:$O,10,0)</f>
        <v>540</v>
      </c>
    </row>
    <row r="1876" spans="1:4">
      <c r="A1876" s="8" t="s">
        <v>403</v>
      </c>
      <c r="B1876" s="5">
        <v>1080301</v>
      </c>
      <c r="C1876" s="5" t="s">
        <v>124</v>
      </c>
      <c r="D1876" s="3">
        <f>VLOOKUP(B1876,Sheet2!$A:$O,10,0)</f>
        <v>1550</v>
      </c>
    </row>
    <row r="1877" spans="1:4">
      <c r="A1877" s="8" t="s">
        <v>403</v>
      </c>
      <c r="B1877" s="5">
        <v>1080401</v>
      </c>
      <c r="C1877" s="5" t="s">
        <v>233</v>
      </c>
      <c r="D1877" s="3">
        <f>VLOOKUP(B1877,Sheet2!$A:$O,10,0)</f>
        <v>3300</v>
      </c>
    </row>
    <row r="1878" spans="1:4">
      <c r="A1878" s="8" t="s">
        <v>403</v>
      </c>
      <c r="B1878" s="5">
        <v>1080411</v>
      </c>
      <c r="C1878" s="5" t="s">
        <v>128</v>
      </c>
      <c r="D1878" s="3">
        <f>VLOOKUP(B1878,Sheet2!$A:$O,10,0)</f>
        <v>3300</v>
      </c>
    </row>
    <row r="1879" spans="1:4">
      <c r="A1879" s="8" t="s">
        <v>403</v>
      </c>
      <c r="B1879" s="5">
        <v>1080501</v>
      </c>
      <c r="C1879" s="5" t="s">
        <v>130</v>
      </c>
      <c r="D1879" s="3">
        <f>VLOOKUP(B1879,Sheet2!$A:$O,10,0)</f>
        <v>3800</v>
      </c>
    </row>
    <row r="1880" spans="1:4">
      <c r="A1880" s="8" t="s">
        <v>403</v>
      </c>
      <c r="B1880" s="5">
        <v>1080602</v>
      </c>
      <c r="C1880" s="5" t="s">
        <v>234</v>
      </c>
      <c r="D1880" s="3">
        <f>VLOOKUP(B1880,Sheet2!$A:$O,10,0)</f>
        <v>38600</v>
      </c>
    </row>
    <row r="1881" spans="1:4">
      <c r="A1881" s="8" t="s">
        <v>403</v>
      </c>
      <c r="B1881" s="5">
        <v>1080604</v>
      </c>
      <c r="C1881" s="5" t="s">
        <v>235</v>
      </c>
      <c r="D1881" s="3">
        <f>VLOOKUP(B1881,Sheet2!$A:$O,10,0)</f>
        <v>0</v>
      </c>
    </row>
    <row r="1882" spans="1:4">
      <c r="A1882" s="8" t="s">
        <v>403</v>
      </c>
      <c r="B1882" s="5">
        <v>1080702</v>
      </c>
      <c r="C1882" s="5" t="s">
        <v>236</v>
      </c>
      <c r="D1882" s="3">
        <f>VLOOKUP(B1882,Sheet2!$A:$O,10,0)</f>
        <v>43500</v>
      </c>
    </row>
    <row r="1883" spans="1:4">
      <c r="A1883" s="8" t="s">
        <v>403</v>
      </c>
      <c r="B1883" s="5">
        <v>1080704</v>
      </c>
      <c r="C1883" s="5" t="s">
        <v>237</v>
      </c>
      <c r="D1883" s="3">
        <f>VLOOKUP(B1883,Sheet2!$A:$O,10,0)</f>
        <v>0</v>
      </c>
    </row>
    <row r="1884" spans="1:4">
      <c r="A1884" s="8" t="s">
        <v>403</v>
      </c>
      <c r="B1884" s="5">
        <v>1090104</v>
      </c>
      <c r="C1884" s="5" t="s">
        <v>136</v>
      </c>
      <c r="D1884" s="3">
        <f>VLOOKUP(B1884,Sheet2!$A:$O,10,0)</f>
        <v>40000</v>
      </c>
    </row>
    <row r="1885" spans="1:4">
      <c r="A1885" s="8" t="s">
        <v>403</v>
      </c>
      <c r="B1885" s="5">
        <v>1090112</v>
      </c>
      <c r="C1885" s="5" t="s">
        <v>138</v>
      </c>
      <c r="D1885" s="3">
        <f>VLOOKUP(B1885,Sheet2!$A:$O,10,0)</f>
        <v>35000</v>
      </c>
    </row>
    <row r="1886" spans="1:4">
      <c r="A1886" s="8" t="s">
        <v>403</v>
      </c>
      <c r="B1886" s="5">
        <v>1090201</v>
      </c>
      <c r="C1886" s="5" t="s">
        <v>140</v>
      </c>
      <c r="D1886" s="3">
        <f>VLOOKUP(B1886,Sheet2!$A:$O,10,0)</f>
        <v>15800</v>
      </c>
    </row>
    <row r="1887" spans="1:4">
      <c r="A1887" s="8" t="s">
        <v>403</v>
      </c>
      <c r="B1887" s="5">
        <v>1090202</v>
      </c>
      <c r="C1887" s="5" t="s">
        <v>142</v>
      </c>
      <c r="D1887" s="3">
        <f>VLOOKUP(B1887,Sheet2!$A:$O,10,0)</f>
        <v>98000</v>
      </c>
    </row>
    <row r="1888" spans="1:4">
      <c r="A1888" s="8" t="s">
        <v>403</v>
      </c>
      <c r="B1888" s="5">
        <v>1090203</v>
      </c>
      <c r="C1888" s="5" t="s">
        <v>144</v>
      </c>
      <c r="D1888" s="3">
        <f>VLOOKUP(B1888,Sheet2!$A:$O,10,0)</f>
        <v>23000</v>
      </c>
    </row>
    <row r="1889" spans="1:4">
      <c r="A1889" s="8" t="s">
        <v>403</v>
      </c>
      <c r="B1889" s="5">
        <v>1090211</v>
      </c>
      <c r="C1889" s="5" t="s">
        <v>146</v>
      </c>
      <c r="D1889" s="3">
        <f>VLOOKUP(B1889,Sheet2!$A:$O,10,0)</f>
        <v>67647</v>
      </c>
    </row>
    <row r="1890" spans="1:4">
      <c r="A1890" s="8" t="s">
        <v>403</v>
      </c>
      <c r="B1890" s="5">
        <v>1090301</v>
      </c>
      <c r="C1890" s="5" t="s">
        <v>238</v>
      </c>
      <c r="D1890" s="3">
        <f>VLOOKUP(B1890,Sheet2!$A:$O,10,0)</f>
        <v>32000</v>
      </c>
    </row>
    <row r="1891" spans="1:4">
      <c r="A1891" s="8" t="s">
        <v>403</v>
      </c>
      <c r="B1891" s="5">
        <v>1090311</v>
      </c>
      <c r="C1891" s="5" t="s">
        <v>150</v>
      </c>
      <c r="D1891" s="3">
        <f>VLOOKUP(B1891,Sheet2!$A:$O,10,0)</f>
        <v>37000</v>
      </c>
    </row>
    <row r="1892" spans="1:4">
      <c r="A1892" s="8" t="s">
        <v>403</v>
      </c>
      <c r="B1892" s="5">
        <v>1090321</v>
      </c>
      <c r="C1892" s="5" t="s">
        <v>152</v>
      </c>
      <c r="D1892" s="3">
        <f>VLOOKUP(B1892,Sheet2!$A:$O,10,0)</f>
        <v>66000</v>
      </c>
    </row>
    <row r="1893" spans="1:4">
      <c r="A1893" s="8" t="s">
        <v>403</v>
      </c>
      <c r="B1893" s="5">
        <v>1090401</v>
      </c>
      <c r="C1893" s="5" t="s">
        <v>154</v>
      </c>
      <c r="D1893" s="3">
        <f>VLOOKUP(B1893,Sheet2!$A:$O,10,0)</f>
        <v>8300</v>
      </c>
    </row>
    <row r="1894" spans="1:4">
      <c r="A1894" s="8" t="s">
        <v>403</v>
      </c>
      <c r="B1894" s="5">
        <v>1090411</v>
      </c>
      <c r="C1894" s="5" t="s">
        <v>156</v>
      </c>
      <c r="D1894" s="3">
        <f>VLOOKUP(B1894,Sheet2!$A:$O,10,0)</f>
        <v>45000</v>
      </c>
    </row>
    <row r="1895" spans="1:4">
      <c r="A1895" s="8" t="s">
        <v>403</v>
      </c>
      <c r="B1895" s="5">
        <v>1090421</v>
      </c>
      <c r="C1895" s="5" t="s">
        <v>158</v>
      </c>
      <c r="D1895" s="3">
        <f>VLOOKUP(B1895,Sheet2!$A:$O,10,0)</f>
        <v>36000</v>
      </c>
    </row>
    <row r="1896" spans="1:4">
      <c r="A1896" s="8" t="s">
        <v>403</v>
      </c>
      <c r="B1896" s="5">
        <v>1090551</v>
      </c>
      <c r="C1896" s="5" t="s">
        <v>239</v>
      </c>
      <c r="D1896" s="3">
        <f>VLOOKUP(B1896,Sheet2!$A:$O,10,0)</f>
        <v>4900</v>
      </c>
    </row>
    <row r="1897" spans="1:4">
      <c r="A1897" s="8" t="s">
        <v>403</v>
      </c>
      <c r="B1897" s="5">
        <v>1090602</v>
      </c>
      <c r="C1897" s="5" t="s">
        <v>162</v>
      </c>
      <c r="D1897" s="3">
        <f>VLOOKUP(B1897,Sheet2!$A:$O,10,0)</f>
        <v>5130</v>
      </c>
    </row>
    <row r="1898" spans="1:4">
      <c r="A1898" s="8" t="s">
        <v>403</v>
      </c>
      <c r="B1898" s="5">
        <v>1090611</v>
      </c>
      <c r="C1898" s="5" t="s">
        <v>164</v>
      </c>
      <c r="D1898" s="3">
        <f>VLOOKUP(B1898,Sheet2!$A:$O,10,0)</f>
        <v>4203</v>
      </c>
    </row>
    <row r="1899" spans="1:4">
      <c r="A1899" s="8" t="s">
        <v>403</v>
      </c>
      <c r="B1899" s="5">
        <v>1090701</v>
      </c>
      <c r="C1899" s="5" t="s">
        <v>166</v>
      </c>
      <c r="D1899" s="3">
        <f>VLOOKUP(B1899,Sheet2!$A:$O,10,0)</f>
        <v>21000</v>
      </c>
    </row>
    <row r="1900" spans="1:4">
      <c r="A1900" s="8" t="s">
        <v>403</v>
      </c>
      <c r="B1900" s="5">
        <v>1090901</v>
      </c>
      <c r="C1900" s="5" t="s">
        <v>168</v>
      </c>
      <c r="D1900" s="3">
        <f>VLOOKUP(B1900,Sheet2!$A:$O,10,0)</f>
        <v>4300</v>
      </c>
    </row>
    <row r="1901" spans="1:4">
      <c r="A1901" s="8" t="s">
        <v>403</v>
      </c>
      <c r="B1901" s="5">
        <v>1091001</v>
      </c>
      <c r="C1901" s="5" t="s">
        <v>170</v>
      </c>
      <c r="D1901" s="3">
        <f>VLOOKUP(B1901,Sheet2!$A:$O,10,0)</f>
        <v>7000</v>
      </c>
    </row>
    <row r="1902" spans="1:4">
      <c r="A1902" s="8" t="s">
        <v>403</v>
      </c>
      <c r="B1902" s="5">
        <v>1091002</v>
      </c>
      <c r="C1902" s="5" t="s">
        <v>172</v>
      </c>
      <c r="D1902" s="3">
        <f>VLOOKUP(B1902,Sheet2!$A:$O,10,0)</f>
        <v>6304</v>
      </c>
    </row>
    <row r="1903" spans="1:4">
      <c r="A1903" s="8" t="s">
        <v>403</v>
      </c>
      <c r="B1903" s="5">
        <v>1091003</v>
      </c>
      <c r="C1903" s="5" t="s">
        <v>174</v>
      </c>
      <c r="D1903" s="3">
        <f>VLOOKUP(B1903,Sheet2!$A:$O,10,0)</f>
        <v>11032</v>
      </c>
    </row>
    <row r="1904" spans="1:4">
      <c r="A1904" s="8" t="s">
        <v>403</v>
      </c>
      <c r="B1904" s="5">
        <v>1091004</v>
      </c>
      <c r="C1904" s="5" t="s">
        <v>240</v>
      </c>
      <c r="D1904" s="3">
        <f>VLOOKUP(B1904,Sheet2!$A:$O,10,0)</f>
        <v>0</v>
      </c>
    </row>
    <row r="1905" spans="1:4">
      <c r="A1905" s="8" t="s">
        <v>403</v>
      </c>
      <c r="B1905" s="5">
        <v>1091005</v>
      </c>
      <c r="C1905" s="5" t="s">
        <v>241</v>
      </c>
      <c r="D1905" s="3">
        <f>VLOOKUP(B1905,Sheet2!$A:$O,10,0)</f>
        <v>0</v>
      </c>
    </row>
    <row r="1906" spans="1:4">
      <c r="A1906" s="8" t="s">
        <v>403</v>
      </c>
      <c r="B1906" s="5">
        <v>1091006</v>
      </c>
      <c r="C1906" s="5" t="s">
        <v>242</v>
      </c>
      <c r="D1906" s="3">
        <f>VLOOKUP(B1906,Sheet2!$A:$O,10,0)</f>
        <v>0</v>
      </c>
    </row>
    <row r="1907" spans="1:4">
      <c r="A1907" s="8" t="s">
        <v>403</v>
      </c>
      <c r="B1907" s="5">
        <v>1091007</v>
      </c>
      <c r="C1907" s="5" t="s">
        <v>243</v>
      </c>
      <c r="D1907" s="3">
        <f>VLOOKUP(B1907,Sheet2!$A:$O,10,0)</f>
        <v>2640</v>
      </c>
    </row>
    <row r="1908" spans="1:4">
      <c r="A1908" s="8" t="s">
        <v>403</v>
      </c>
      <c r="B1908" s="5">
        <v>1091008</v>
      </c>
      <c r="C1908" s="5" t="s">
        <v>176</v>
      </c>
      <c r="D1908" s="3">
        <f>VLOOKUP(B1908,Sheet2!$A:$O,10,0)</f>
        <v>0</v>
      </c>
    </row>
    <row r="1909" spans="1:4">
      <c r="A1909" s="8" t="s">
        <v>403</v>
      </c>
      <c r="B1909" s="5">
        <v>1091009</v>
      </c>
      <c r="C1909" s="5" t="s">
        <v>178</v>
      </c>
      <c r="D1909" s="3">
        <f>VLOOKUP(B1909,Sheet2!$A:$O,10,0)</f>
        <v>0</v>
      </c>
    </row>
    <row r="1910" spans="1:4">
      <c r="A1910" s="8" t="s">
        <v>403</v>
      </c>
      <c r="B1910" s="5">
        <v>1091010</v>
      </c>
      <c r="C1910" s="5" t="s">
        <v>180</v>
      </c>
      <c r="D1910" s="3">
        <f>VLOOKUP(B1910,Sheet2!$A:$O,10,0)</f>
        <v>27000</v>
      </c>
    </row>
    <row r="1911" spans="1:4">
      <c r="A1911" s="8" t="s">
        <v>403</v>
      </c>
      <c r="B1911" s="5">
        <v>1091011</v>
      </c>
      <c r="C1911" s="5" t="s">
        <v>182</v>
      </c>
      <c r="D1911" s="3">
        <f>VLOOKUP(B1911,Sheet2!$A:$O,10,0)</f>
        <v>33000</v>
      </c>
    </row>
    <row r="1912" spans="1:4">
      <c r="A1912" s="8" t="s">
        <v>403</v>
      </c>
      <c r="B1912" s="5">
        <v>1091012</v>
      </c>
      <c r="C1912" s="5" t="s">
        <v>184</v>
      </c>
      <c r="D1912" s="3">
        <f>VLOOKUP(B1912,Sheet2!$A:$O,10,0)</f>
        <v>47000</v>
      </c>
    </row>
    <row r="1913" spans="1:4">
      <c r="A1913" s="8" t="s">
        <v>403</v>
      </c>
      <c r="B1913" s="5">
        <v>1091013</v>
      </c>
      <c r="C1913" s="5" t="s">
        <v>186</v>
      </c>
      <c r="D1913" s="3">
        <f>VLOOKUP(B1913,Sheet2!$A:$O,10,0)</f>
        <v>33000</v>
      </c>
    </row>
    <row r="1914" spans="1:4">
      <c r="A1914" s="8" t="s">
        <v>403</v>
      </c>
      <c r="B1914" s="5">
        <v>1091014</v>
      </c>
      <c r="C1914" s="5" t="s">
        <v>244</v>
      </c>
      <c r="D1914" s="3">
        <f>VLOOKUP(B1914,Sheet2!$A:$O,10,0)</f>
        <v>6961</v>
      </c>
    </row>
    <row r="1915" spans="1:4">
      <c r="A1915" s="8" t="s">
        <v>403</v>
      </c>
      <c r="B1915" s="5">
        <v>1091015</v>
      </c>
      <c r="C1915" s="5" t="s">
        <v>245</v>
      </c>
      <c r="D1915" s="3">
        <f>VLOOKUP(B1915,Sheet2!$A:$O,10,0)</f>
        <v>28000</v>
      </c>
    </row>
    <row r="1916" spans="1:4">
      <c r="A1916" s="8" t="s">
        <v>403</v>
      </c>
      <c r="B1916" s="5">
        <v>1091016</v>
      </c>
      <c r="C1916" s="5" t="s">
        <v>246</v>
      </c>
      <c r="D1916" s="3">
        <f>VLOOKUP(B1916,Sheet2!$A:$O,10,0)</f>
        <v>54594</v>
      </c>
    </row>
    <row r="1917" spans="1:4">
      <c r="A1917" s="8" t="s">
        <v>403</v>
      </c>
      <c r="B1917" s="5">
        <v>1091017</v>
      </c>
      <c r="C1917" s="5" t="s">
        <v>247</v>
      </c>
      <c r="D1917" s="3">
        <f>VLOOKUP(B1917,Sheet2!$A:$O,10,0)</f>
        <v>0</v>
      </c>
    </row>
    <row r="1918" spans="1:4">
      <c r="A1918" s="8" t="s">
        <v>403</v>
      </c>
      <c r="B1918" s="5">
        <v>1091018</v>
      </c>
      <c r="C1918" s="5" t="s">
        <v>248</v>
      </c>
      <c r="D1918" s="3">
        <f>VLOOKUP(B1918,Sheet2!$A:$O,10,0)</f>
        <v>0</v>
      </c>
    </row>
    <row r="1919" spans="1:4">
      <c r="A1919" s="8" t="s">
        <v>403</v>
      </c>
      <c r="B1919" s="5">
        <v>1091019</v>
      </c>
      <c r="C1919" s="5" t="s">
        <v>249</v>
      </c>
      <c r="D1919" s="3">
        <f>VLOOKUP(B1919,Sheet2!$A:$O,10,0)</f>
        <v>53387</v>
      </c>
    </row>
    <row r="1920" spans="1:4">
      <c r="A1920" s="8" t="s">
        <v>403</v>
      </c>
      <c r="B1920" s="5">
        <v>1091020</v>
      </c>
      <c r="C1920" s="5" t="s">
        <v>250</v>
      </c>
      <c r="D1920" s="3">
        <f>VLOOKUP(B1920,Sheet2!$A:$O,10,0)</f>
        <v>62745</v>
      </c>
    </row>
    <row r="1921" spans="1:4">
      <c r="A1921" s="8" t="s">
        <v>403</v>
      </c>
      <c r="B1921" s="5">
        <v>1091021</v>
      </c>
      <c r="C1921" s="5" t="s">
        <v>251</v>
      </c>
      <c r="D1921" s="3">
        <f>VLOOKUP(B1921,Sheet2!$A:$O,10,0)</f>
        <v>53922</v>
      </c>
    </row>
    <row r="1922" spans="1:4">
      <c r="A1922" s="8" t="s">
        <v>403</v>
      </c>
      <c r="B1922" s="5">
        <v>1091022</v>
      </c>
      <c r="C1922" s="5" t="s">
        <v>252</v>
      </c>
      <c r="D1922" s="3">
        <f>VLOOKUP(B1922,Sheet2!$A:$O,10,0)</f>
        <v>3235</v>
      </c>
    </row>
    <row r="1923" spans="1:4">
      <c r="A1923" s="8" t="s">
        <v>403</v>
      </c>
      <c r="B1923" s="5">
        <v>1091023</v>
      </c>
      <c r="C1923" s="5" t="s">
        <v>253</v>
      </c>
      <c r="D1923" s="3">
        <f>VLOOKUP(B1923,Sheet2!$A:$O,10,0)</f>
        <v>4412</v>
      </c>
    </row>
    <row r="1924" spans="1:4">
      <c r="A1924" s="8" t="s">
        <v>403</v>
      </c>
      <c r="B1924" s="5">
        <v>1091024</v>
      </c>
      <c r="C1924" s="5" t="s">
        <v>254</v>
      </c>
      <c r="D1924" s="3">
        <f>VLOOKUP(B1924,Sheet2!$A:$O,10,0)</f>
        <v>3922</v>
      </c>
    </row>
    <row r="1925" spans="1:4">
      <c r="A1925" s="8" t="s">
        <v>403</v>
      </c>
      <c r="B1925" s="5">
        <v>1091025</v>
      </c>
      <c r="C1925" s="5" t="s">
        <v>255</v>
      </c>
      <c r="D1925" s="3">
        <f>VLOOKUP(B1925,Sheet2!$A:$O,10,0)</f>
        <v>6275</v>
      </c>
    </row>
    <row r="1926" spans="1:4">
      <c r="A1926" s="8" t="s">
        <v>403</v>
      </c>
      <c r="B1926" s="5">
        <v>1091026</v>
      </c>
      <c r="C1926" s="5" t="s">
        <v>256</v>
      </c>
      <c r="D1926" s="3">
        <f>VLOOKUP(B1926,Sheet2!$A:$O,10,0)</f>
        <v>30196</v>
      </c>
    </row>
    <row r="1927" spans="1:4">
      <c r="A1927" s="8" t="s">
        <v>403</v>
      </c>
      <c r="B1927" s="5">
        <v>1600101</v>
      </c>
      <c r="C1927" s="5" t="s">
        <v>188</v>
      </c>
      <c r="D1927" s="3">
        <f>VLOOKUP(B1927,Sheet2!$A:$O,10,0)</f>
        <v>2402</v>
      </c>
    </row>
    <row r="1928" spans="1:4">
      <c r="A1928" s="8" t="s">
        <v>403</v>
      </c>
      <c r="B1928" s="5">
        <v>1600102</v>
      </c>
      <c r="C1928" s="5" t="s">
        <v>257</v>
      </c>
      <c r="D1928" s="3">
        <f>VLOOKUP(B1928,Sheet2!$A:$O,10,0)</f>
        <v>36275</v>
      </c>
    </row>
    <row r="1929" spans="1:4">
      <c r="A1929" s="8" t="s">
        <v>403</v>
      </c>
      <c r="B1929" s="5">
        <v>1600103</v>
      </c>
      <c r="C1929" s="5" t="s">
        <v>258</v>
      </c>
      <c r="D1929" s="3">
        <f>VLOOKUP(B1929,Sheet2!$A:$O,10,0)</f>
        <v>19800</v>
      </c>
    </row>
    <row r="1930" spans="1:4">
      <c r="A1930" s="8" t="s">
        <v>403</v>
      </c>
      <c r="B1930" s="5">
        <v>1600104</v>
      </c>
      <c r="C1930" s="5" t="s">
        <v>259</v>
      </c>
      <c r="D1930" s="3">
        <f>VLOOKUP(B1930,Sheet2!$A:$O,10,0)</f>
        <v>65000</v>
      </c>
    </row>
    <row r="1931" spans="1:4">
      <c r="A1931" s="8" t="s">
        <v>403</v>
      </c>
      <c r="B1931" s="5">
        <v>1600105</v>
      </c>
      <c r="C1931" s="5" t="s">
        <v>260</v>
      </c>
      <c r="D1931" s="3">
        <f>VLOOKUP(B1931,Sheet2!$A:$O,10,0)</f>
        <v>83950</v>
      </c>
    </row>
    <row r="1932" spans="1:4">
      <c r="A1932" s="8" t="s">
        <v>403</v>
      </c>
      <c r="B1932" s="5">
        <v>1600106</v>
      </c>
      <c r="C1932" s="5" t="s">
        <v>261</v>
      </c>
      <c r="D1932" s="3">
        <f>VLOOKUP(B1932,Sheet2!$A:$O,10,0)</f>
        <v>66667</v>
      </c>
    </row>
    <row r="1933" spans="1:4">
      <c r="A1933" s="8" t="s">
        <v>403</v>
      </c>
      <c r="B1933" s="5">
        <v>1600107</v>
      </c>
      <c r="C1933" s="5" t="s">
        <v>262</v>
      </c>
      <c r="D1933" s="3">
        <f>VLOOKUP(B1933,Sheet2!$A:$O,10,0)</f>
        <v>67647</v>
      </c>
    </row>
    <row r="1934" spans="1:4">
      <c r="A1934" s="8" t="s">
        <v>403</v>
      </c>
      <c r="B1934" s="5">
        <v>1600108</v>
      </c>
      <c r="C1934" s="5" t="s">
        <v>263</v>
      </c>
      <c r="D1934" s="3">
        <f>VLOOKUP(B1934,Sheet2!$A:$O,10,0)</f>
        <v>67647</v>
      </c>
    </row>
    <row r="1935" spans="1:4">
      <c r="A1935" s="8" t="s">
        <v>403</v>
      </c>
      <c r="B1935" s="5">
        <v>1600109</v>
      </c>
      <c r="C1935" s="5" t="s">
        <v>264</v>
      </c>
      <c r="D1935" s="3">
        <f>VLOOKUP(B1935,Sheet2!$A:$O,10,0)</f>
        <v>5882</v>
      </c>
    </row>
    <row r="1936" spans="1:4">
      <c r="A1936" s="8" t="s">
        <v>403</v>
      </c>
      <c r="B1936" s="5">
        <v>1600110</v>
      </c>
      <c r="C1936" s="5" t="s">
        <v>265</v>
      </c>
      <c r="D1936" s="3">
        <f>VLOOKUP(B1936,Sheet2!$A:$O,10,0)</f>
        <v>7917</v>
      </c>
    </row>
    <row r="1937" spans="1:4">
      <c r="A1937" s="8" t="s">
        <v>403</v>
      </c>
      <c r="B1937" s="5">
        <v>1600111</v>
      </c>
      <c r="C1937" s="5" t="s">
        <v>266</v>
      </c>
      <c r="D1937" s="3">
        <f>VLOOKUP(B1937,Sheet2!$A:$O,10,0)</f>
        <v>2266</v>
      </c>
    </row>
    <row r="1938" spans="1:4">
      <c r="A1938" s="8" t="s">
        <v>403</v>
      </c>
      <c r="B1938" s="5">
        <v>1600112</v>
      </c>
      <c r="C1938" s="5" t="s">
        <v>190</v>
      </c>
      <c r="D1938" s="3">
        <f>VLOOKUP(B1938,Sheet2!$A:$O,10,0)</f>
        <v>4800</v>
      </c>
    </row>
    <row r="1939" spans="1:4">
      <c r="A1939" s="8" t="s">
        <v>403</v>
      </c>
      <c r="B1939" s="5">
        <v>1600113</v>
      </c>
      <c r="C1939" s="5" t="s">
        <v>267</v>
      </c>
      <c r="D1939" s="3">
        <f>VLOOKUP(B1939,Sheet2!$A:$O,10,0)</f>
        <v>0</v>
      </c>
    </row>
    <row r="1940" spans="1:4">
      <c r="A1940" s="8" t="s">
        <v>403</v>
      </c>
      <c r="B1940" s="5">
        <v>1600114</v>
      </c>
      <c r="C1940" s="5" t="s">
        <v>268</v>
      </c>
      <c r="D1940" s="3">
        <f>VLOOKUP(B1940,Sheet2!$A:$O,10,0)</f>
        <v>10140</v>
      </c>
    </row>
    <row r="1941" spans="1:4">
      <c r="A1941" s="8" t="s">
        <v>403</v>
      </c>
      <c r="B1941" s="5">
        <v>1700001</v>
      </c>
      <c r="C1941" s="5" t="s">
        <v>269</v>
      </c>
      <c r="D1941" s="3">
        <f>VLOOKUP(B1941,Sheet2!$A:$O,10,0)</f>
        <v>4513</v>
      </c>
    </row>
    <row r="1942" spans="1:4">
      <c r="A1942" s="8" t="s">
        <v>403</v>
      </c>
      <c r="B1942" s="5">
        <v>1700002</v>
      </c>
      <c r="C1942" s="5" t="s">
        <v>270</v>
      </c>
      <c r="D1942" s="3">
        <f>VLOOKUP(B1942,Sheet2!$A:$O,10,0)</f>
        <v>3726</v>
      </c>
    </row>
    <row r="1943" spans="1:4">
      <c r="A1943" s="8" t="s">
        <v>403</v>
      </c>
      <c r="B1943" s="5">
        <v>1700003</v>
      </c>
      <c r="C1943" s="5" t="s">
        <v>271</v>
      </c>
      <c r="D1943" s="3">
        <f>VLOOKUP(B1943,Sheet2!$A:$O,10,0)</f>
        <v>4902</v>
      </c>
    </row>
    <row r="1944" spans="1:4">
      <c r="A1944" s="8" t="s">
        <v>403</v>
      </c>
      <c r="B1944" s="5">
        <v>1700004</v>
      </c>
      <c r="C1944" s="5" t="s">
        <v>272</v>
      </c>
      <c r="D1944" s="3">
        <f>VLOOKUP(B1944,Sheet2!$A:$O,10,0)</f>
        <v>13137</v>
      </c>
    </row>
    <row r="1945" spans="1:4">
      <c r="A1945" s="8" t="s">
        <v>403</v>
      </c>
      <c r="B1945" s="5">
        <v>1700005</v>
      </c>
      <c r="C1945" s="5" t="s">
        <v>192</v>
      </c>
      <c r="D1945" s="3">
        <f>VLOOKUP(B1945,Sheet2!$A:$O,10,0)</f>
        <v>1784</v>
      </c>
    </row>
    <row r="1946" spans="1:4">
      <c r="A1946" s="8" t="s">
        <v>403</v>
      </c>
      <c r="B1946" s="5">
        <v>1700006</v>
      </c>
      <c r="C1946" s="5" t="s">
        <v>273</v>
      </c>
      <c r="D1946" s="3">
        <f>VLOOKUP(B1946,Sheet2!$A:$O,10,0)</f>
        <v>10382</v>
      </c>
    </row>
    <row r="1947" spans="1:4">
      <c r="A1947" s="8" t="s">
        <v>403</v>
      </c>
      <c r="B1947" s="5">
        <v>1700007</v>
      </c>
      <c r="C1947" s="5" t="s">
        <v>274</v>
      </c>
      <c r="D1947" s="3">
        <f>VLOOKUP(B1947,Sheet2!$A:$O,10,0)</f>
        <v>0</v>
      </c>
    </row>
    <row r="1948" spans="1:4">
      <c r="A1948" s="8" t="s">
        <v>403</v>
      </c>
      <c r="B1948" s="5">
        <v>1700008</v>
      </c>
      <c r="C1948" s="5" t="s">
        <v>275</v>
      </c>
      <c r="D1948" s="3">
        <f>VLOOKUP(B1948,Sheet2!$A:$O,10,0)</f>
        <v>0</v>
      </c>
    </row>
    <row r="1949" spans="1:4">
      <c r="A1949" s="8" t="s">
        <v>403</v>
      </c>
      <c r="B1949" s="5">
        <v>1700009</v>
      </c>
      <c r="C1949" s="5" t="s">
        <v>276</v>
      </c>
      <c r="D1949" s="3">
        <f>VLOOKUP(B1949,Sheet2!$A:$O,10,0)</f>
        <v>0</v>
      </c>
    </row>
    <row r="1950" spans="1:4">
      <c r="A1950" s="8" t="s">
        <v>403</v>
      </c>
      <c r="B1950" s="5">
        <v>1700010</v>
      </c>
      <c r="C1950" s="5" t="s">
        <v>277</v>
      </c>
      <c r="D1950" s="3">
        <f>VLOOKUP(B1950,Sheet2!$A:$O,10,0)</f>
        <v>3630</v>
      </c>
    </row>
    <row r="1951" spans="1:4">
      <c r="A1951" s="8" t="s">
        <v>403</v>
      </c>
      <c r="B1951" s="5">
        <v>1700011</v>
      </c>
      <c r="C1951" s="5" t="s">
        <v>278</v>
      </c>
      <c r="D1951" s="3">
        <f>VLOOKUP(B1951,Sheet2!$A:$O,10,0)</f>
        <v>11961</v>
      </c>
    </row>
    <row r="1952" spans="1:4">
      <c r="A1952" s="8" t="s">
        <v>403</v>
      </c>
      <c r="B1952" s="5">
        <v>1700012</v>
      </c>
      <c r="C1952" s="5" t="s">
        <v>279</v>
      </c>
      <c r="D1952" s="3">
        <f>VLOOKUP(B1952,Sheet2!$A:$O,10,0)</f>
        <v>13235</v>
      </c>
    </row>
    <row r="1953" spans="1:4">
      <c r="A1953" s="8" t="s">
        <v>403</v>
      </c>
      <c r="B1953" s="5">
        <v>1700013</v>
      </c>
      <c r="C1953" s="5" t="s">
        <v>280</v>
      </c>
      <c r="D1953" s="3">
        <f>VLOOKUP(B1953,Sheet2!$A:$O,10,0)</f>
        <v>18137</v>
      </c>
    </row>
    <row r="1954" spans="1:4">
      <c r="A1954" s="8" t="s">
        <v>403</v>
      </c>
      <c r="B1954" s="5">
        <v>1700014</v>
      </c>
      <c r="C1954" s="5" t="s">
        <v>194</v>
      </c>
      <c r="D1954" s="3">
        <f>VLOOKUP(B1954,Sheet2!$A:$O,10,0)</f>
        <v>2255</v>
      </c>
    </row>
    <row r="1955" spans="1:4">
      <c r="A1955" s="8" t="s">
        <v>403</v>
      </c>
      <c r="B1955" s="5">
        <v>1700015</v>
      </c>
      <c r="C1955" s="5" t="s">
        <v>281</v>
      </c>
      <c r="D1955" s="3">
        <f>VLOOKUP(B1955,Sheet2!$A:$O,10,0)</f>
        <v>2552</v>
      </c>
    </row>
    <row r="1956" spans="1:4">
      <c r="A1956" s="8" t="s">
        <v>403</v>
      </c>
      <c r="B1956" s="5">
        <v>1700016</v>
      </c>
      <c r="C1956" s="5" t="s">
        <v>282</v>
      </c>
      <c r="D1956" s="3">
        <f>VLOOKUP(B1956,Sheet2!$A:$O,10,0)</f>
        <v>3238</v>
      </c>
    </row>
    <row r="1957" spans="1:4">
      <c r="A1957" s="8" t="s">
        <v>403</v>
      </c>
      <c r="B1957" s="5">
        <v>1700017</v>
      </c>
      <c r="C1957" s="5" t="s">
        <v>283</v>
      </c>
      <c r="D1957" s="3">
        <f>VLOOKUP(B1957,Sheet2!$A:$O,10,0)</f>
        <v>10784</v>
      </c>
    </row>
    <row r="1958" spans="1:4">
      <c r="A1958" s="8" t="s">
        <v>403</v>
      </c>
      <c r="B1958" s="5">
        <v>1700018</v>
      </c>
      <c r="C1958" s="5" t="s">
        <v>284</v>
      </c>
      <c r="D1958" s="3">
        <f>VLOOKUP(B1958,Sheet2!$A:$O,10,0)</f>
        <v>4174</v>
      </c>
    </row>
    <row r="1959" spans="1:4">
      <c r="A1959" s="8" t="s">
        <v>403</v>
      </c>
      <c r="B1959" s="5">
        <v>1700019</v>
      </c>
      <c r="C1959" s="5" t="s">
        <v>285</v>
      </c>
      <c r="D1959" s="3">
        <f>VLOOKUP(B1959,Sheet2!$A:$O,10,0)</f>
        <v>0</v>
      </c>
    </row>
    <row r="1960" spans="1:4">
      <c r="A1960" s="8" t="s">
        <v>403</v>
      </c>
      <c r="B1960" s="5">
        <v>1700020</v>
      </c>
      <c r="C1960" s="5" t="s">
        <v>286</v>
      </c>
      <c r="D1960" s="3">
        <f>VLOOKUP(B1960,Sheet2!$A:$O,10,0)</f>
        <v>49412</v>
      </c>
    </row>
    <row r="1961" spans="1:4">
      <c r="A1961" s="8" t="s">
        <v>403</v>
      </c>
      <c r="B1961" s="5">
        <v>1700021</v>
      </c>
      <c r="C1961" s="5" t="s">
        <v>287</v>
      </c>
      <c r="D1961" s="3">
        <f>VLOOKUP(B1961,Sheet2!$A:$O,10,0)</f>
        <v>78841</v>
      </c>
    </row>
    <row r="1962" spans="1:4">
      <c r="A1962" s="8" t="s">
        <v>403</v>
      </c>
      <c r="B1962" s="5">
        <v>1700022</v>
      </c>
      <c r="C1962" s="5" t="s">
        <v>288</v>
      </c>
      <c r="D1962" s="3">
        <f>VLOOKUP(B1962,Sheet2!$A:$O,10,0)</f>
        <v>33706</v>
      </c>
    </row>
    <row r="1963" spans="1:4">
      <c r="A1963" s="8" t="s">
        <v>403</v>
      </c>
      <c r="B1963" s="5">
        <v>1700023</v>
      </c>
      <c r="C1963" s="5" t="s">
        <v>289</v>
      </c>
      <c r="D1963" s="3">
        <f>VLOOKUP(B1963,Sheet2!$A:$O,10,0)</f>
        <v>7470</v>
      </c>
    </row>
    <row r="1964" spans="1:4">
      <c r="A1964" s="8" t="s">
        <v>403</v>
      </c>
      <c r="B1964" s="5">
        <v>1700024</v>
      </c>
      <c r="C1964" s="5" t="s">
        <v>290</v>
      </c>
      <c r="D1964" s="3">
        <f>VLOOKUP(B1964,Sheet2!$A:$O,10,0)</f>
        <v>0</v>
      </c>
    </row>
    <row r="1965" spans="1:4">
      <c r="A1965" s="8" t="s">
        <v>403</v>
      </c>
      <c r="B1965" s="5">
        <v>1700025</v>
      </c>
      <c r="C1965" s="5" t="s">
        <v>291</v>
      </c>
      <c r="D1965" s="3">
        <f>VLOOKUP(B1965,Sheet2!$A:$O,10,0)</f>
        <v>1961</v>
      </c>
    </row>
    <row r="1966" spans="1:4">
      <c r="A1966" s="8" t="s">
        <v>403</v>
      </c>
      <c r="B1966" s="5">
        <v>1700026</v>
      </c>
      <c r="C1966" s="5" t="s">
        <v>292</v>
      </c>
      <c r="D1966" s="3">
        <f>VLOOKUP(B1966,Sheet2!$A:$O,10,0)</f>
        <v>4412</v>
      </c>
    </row>
    <row r="1967" spans="1:4">
      <c r="A1967" s="8" t="s">
        <v>403</v>
      </c>
      <c r="B1967" s="5">
        <v>1700027</v>
      </c>
      <c r="C1967" s="5" t="s">
        <v>293</v>
      </c>
      <c r="D1967" s="3">
        <f>VLOOKUP(B1967,Sheet2!$A:$O,10,0)</f>
        <v>4412</v>
      </c>
    </row>
    <row r="1968" spans="1:4">
      <c r="A1968" s="8" t="s">
        <v>403</v>
      </c>
      <c r="B1968" s="5">
        <v>1700028</v>
      </c>
      <c r="C1968" s="5" t="s">
        <v>294</v>
      </c>
      <c r="D1968" s="3">
        <f>VLOOKUP(B1968,Sheet2!$A:$O,10,0)</f>
        <v>9500</v>
      </c>
    </row>
    <row r="1969" spans="1:4">
      <c r="A1969" s="8" t="s">
        <v>403</v>
      </c>
      <c r="B1969" s="5">
        <v>1700029</v>
      </c>
      <c r="C1969" s="5" t="s">
        <v>295</v>
      </c>
      <c r="D1969" s="3">
        <f>VLOOKUP(B1969,Sheet2!$A:$O,10,0)</f>
        <v>10670</v>
      </c>
    </row>
    <row r="1970" spans="1:4">
      <c r="A1970" s="8" t="s">
        <v>403</v>
      </c>
      <c r="B1970" s="5">
        <v>1700030</v>
      </c>
      <c r="C1970" s="5" t="s">
        <v>296</v>
      </c>
      <c r="D1970" s="3">
        <f>VLOOKUP(B1970,Sheet2!$A:$O,10,0)</f>
        <v>12720</v>
      </c>
    </row>
    <row r="1971" spans="1:4">
      <c r="A1971" s="8" t="s">
        <v>403</v>
      </c>
      <c r="B1971" s="5">
        <v>1700031</v>
      </c>
      <c r="C1971" s="5" t="s">
        <v>196</v>
      </c>
      <c r="D1971" s="3">
        <f>VLOOKUP(B1971,Sheet2!$A:$O,10,0)</f>
        <v>1961</v>
      </c>
    </row>
    <row r="1972" spans="1:4">
      <c r="A1972" s="8" t="s">
        <v>403</v>
      </c>
      <c r="B1972" s="5">
        <v>1700032</v>
      </c>
      <c r="C1972" s="5" t="s">
        <v>297</v>
      </c>
      <c r="D1972" s="3">
        <f>VLOOKUP(B1972,Sheet2!$A:$O,10,0)</f>
        <v>0</v>
      </c>
    </row>
    <row r="1973" spans="1:4">
      <c r="A1973" s="8" t="s">
        <v>403</v>
      </c>
      <c r="B1973" s="5">
        <v>1700033</v>
      </c>
      <c r="C1973" s="5" t="s">
        <v>298</v>
      </c>
      <c r="D1973" s="3">
        <f>VLOOKUP(B1973,Sheet2!$A:$O,10,0)</f>
        <v>0</v>
      </c>
    </row>
    <row r="1974" spans="1:4">
      <c r="A1974" s="8" t="s">
        <v>403</v>
      </c>
      <c r="B1974" s="5">
        <v>1700034</v>
      </c>
      <c r="C1974" s="5" t="s">
        <v>299</v>
      </c>
      <c r="D1974" s="3">
        <f>VLOOKUP(B1974,Sheet2!$A:$O,10,0)</f>
        <v>17475</v>
      </c>
    </row>
    <row r="1975" spans="1:4">
      <c r="A1975" s="8" t="s">
        <v>403</v>
      </c>
      <c r="B1975" s="5">
        <v>1700035</v>
      </c>
      <c r="C1975" s="5" t="s">
        <v>300</v>
      </c>
      <c r="D1975" s="3">
        <f>VLOOKUP(B1975,Sheet2!$A:$O,10,0)</f>
        <v>64367</v>
      </c>
    </row>
    <row r="1976" spans="1:4">
      <c r="A1976" s="8" t="s">
        <v>403</v>
      </c>
      <c r="B1976" s="5">
        <v>1700036</v>
      </c>
      <c r="C1976" s="5" t="s">
        <v>301</v>
      </c>
      <c r="D1976" s="3">
        <f>VLOOKUP(B1976,Sheet2!$A:$O,10,0)</f>
        <v>5200</v>
      </c>
    </row>
    <row r="1977" spans="1:4">
      <c r="A1977" s="8" t="s">
        <v>403</v>
      </c>
      <c r="B1977" s="5">
        <v>1700037</v>
      </c>
      <c r="C1977" s="5" t="s">
        <v>302</v>
      </c>
      <c r="D1977" s="3">
        <f>VLOOKUP(B1977,Sheet2!$A:$O,10,0)</f>
        <v>7533</v>
      </c>
    </row>
    <row r="1978" spans="1:4">
      <c r="A1978" s="8" t="s">
        <v>403</v>
      </c>
      <c r="B1978" s="5">
        <v>1700038</v>
      </c>
      <c r="C1978" s="5" t="s">
        <v>303</v>
      </c>
      <c r="D1978" s="3">
        <f>VLOOKUP(B1978,Sheet2!$A:$O,10,0)</f>
        <v>2500</v>
      </c>
    </row>
    <row r="1979" spans="1:4">
      <c r="A1979" s="8" t="s">
        <v>403</v>
      </c>
      <c r="B1979" s="5">
        <v>1700039</v>
      </c>
      <c r="C1979" s="5" t="s">
        <v>304</v>
      </c>
      <c r="D1979" s="3">
        <f>VLOOKUP(B1979,Sheet2!$A:$O,10,0)</f>
        <v>2431</v>
      </c>
    </row>
    <row r="1980" spans="1:4">
      <c r="A1980" s="8" t="s">
        <v>403</v>
      </c>
      <c r="B1980" s="5">
        <v>1700040</v>
      </c>
      <c r="C1980" s="5" t="s">
        <v>305</v>
      </c>
      <c r="D1980" s="3">
        <f>VLOOKUP(B1980,Sheet2!$A:$O,10,0)</f>
        <v>1967</v>
      </c>
    </row>
    <row r="1981" spans="1:4">
      <c r="A1981" s="8" t="s">
        <v>403</v>
      </c>
      <c r="B1981" s="5">
        <v>1700041</v>
      </c>
      <c r="C1981" s="5" t="s">
        <v>306</v>
      </c>
      <c r="D1981" s="3">
        <f>VLOOKUP(B1981,Sheet2!$A:$O,10,0)</f>
        <v>3000</v>
      </c>
    </row>
    <row r="1982" spans="1:4">
      <c r="A1982" s="8" t="s">
        <v>403</v>
      </c>
      <c r="B1982" s="5">
        <v>1700042</v>
      </c>
      <c r="C1982" s="5" t="s">
        <v>307</v>
      </c>
      <c r="D1982" s="3">
        <f>VLOOKUP(B1982,Sheet2!$A:$O,10,0)</f>
        <v>3222</v>
      </c>
    </row>
    <row r="1983" spans="1:4">
      <c r="A1983" s="8" t="s">
        <v>403</v>
      </c>
      <c r="B1983" s="5">
        <v>1700043</v>
      </c>
      <c r="C1983" s="5" t="s">
        <v>308</v>
      </c>
      <c r="D1983" s="3">
        <f>VLOOKUP(B1983,Sheet2!$A:$O,10,0)</f>
        <v>4029</v>
      </c>
    </row>
    <row r="1984" spans="1:4">
      <c r="A1984" s="8" t="s">
        <v>403</v>
      </c>
      <c r="B1984" s="5">
        <v>1700044</v>
      </c>
      <c r="C1984" s="5" t="s">
        <v>309</v>
      </c>
      <c r="D1984" s="3">
        <f>VLOOKUP(B1984,Sheet2!$A:$O,10,0)</f>
        <v>7000</v>
      </c>
    </row>
    <row r="1985" spans="1:4">
      <c r="A1985" s="8" t="s">
        <v>403</v>
      </c>
      <c r="B1985" s="5">
        <v>1700045</v>
      </c>
      <c r="C1985" s="5" t="s">
        <v>310</v>
      </c>
      <c r="D1985" s="3">
        <f>VLOOKUP(B1985,Sheet2!$A:$O,10,0)</f>
        <v>3461</v>
      </c>
    </row>
    <row r="1986" spans="1:4">
      <c r="A1986" s="8" t="s">
        <v>403</v>
      </c>
      <c r="B1986" s="5">
        <v>1700046</v>
      </c>
      <c r="C1986" s="5" t="s">
        <v>311</v>
      </c>
      <c r="D1986" s="3">
        <f>VLOOKUP(B1986,Sheet2!$A:$O,10,0)</f>
        <v>6863</v>
      </c>
    </row>
    <row r="1987" spans="1:4">
      <c r="A1987" s="8" t="s">
        <v>403</v>
      </c>
      <c r="B1987" s="5">
        <v>1700047</v>
      </c>
      <c r="C1987" s="5" t="s">
        <v>312</v>
      </c>
      <c r="D1987" s="3">
        <f>VLOOKUP(B1987,Sheet2!$A:$O,10,0)</f>
        <v>22150</v>
      </c>
    </row>
    <row r="1988" spans="1:4">
      <c r="A1988" s="8" t="s">
        <v>403</v>
      </c>
      <c r="B1988" s="5">
        <v>1700048</v>
      </c>
      <c r="C1988" s="5" t="s">
        <v>313</v>
      </c>
      <c r="D1988" s="3">
        <f>VLOOKUP(B1988,Sheet2!$A:$O,10,0)</f>
        <v>13330</v>
      </c>
    </row>
    <row r="1989" spans="1:4">
      <c r="A1989" s="8" t="s">
        <v>403</v>
      </c>
      <c r="B1989" s="5">
        <v>1700049</v>
      </c>
      <c r="C1989" s="5" t="s">
        <v>314</v>
      </c>
      <c r="D1989" s="3">
        <f>VLOOKUP(B1989,Sheet2!$A:$O,10,0)</f>
        <v>5785</v>
      </c>
    </row>
    <row r="1990" spans="1:4">
      <c r="A1990" s="8" t="s">
        <v>403</v>
      </c>
      <c r="B1990" s="5">
        <v>1700050</v>
      </c>
      <c r="C1990" s="5" t="s">
        <v>315</v>
      </c>
      <c r="D1990" s="3">
        <f>VLOOKUP(B1990,Sheet2!$A:$O,10,0)</f>
        <v>39000</v>
      </c>
    </row>
    <row r="1991" spans="1:4">
      <c r="A1991" s="8" t="s">
        <v>403</v>
      </c>
      <c r="B1991" s="5">
        <v>1700051</v>
      </c>
      <c r="C1991" s="5" t="s">
        <v>316</v>
      </c>
      <c r="D1991" s="3">
        <f>VLOOKUP(B1991,Sheet2!$A:$O,10,0)</f>
        <v>11500</v>
      </c>
    </row>
    <row r="1992" spans="1:4">
      <c r="A1992" s="8" t="s">
        <v>403</v>
      </c>
      <c r="B1992" s="5">
        <v>1700052</v>
      </c>
      <c r="C1992" s="5" t="s">
        <v>317</v>
      </c>
      <c r="D1992" s="3">
        <f>VLOOKUP(B1992,Sheet2!$A:$O,10,0)</f>
        <v>3444</v>
      </c>
    </row>
    <row r="1993" spans="1:4">
      <c r="A1993" s="8" t="s">
        <v>403</v>
      </c>
      <c r="B1993" s="5">
        <v>1700053</v>
      </c>
      <c r="C1993" s="5" t="s">
        <v>318</v>
      </c>
      <c r="D1993" s="3">
        <f>VLOOKUP(B1993,Sheet2!$A:$O,10,0)</f>
        <v>15530</v>
      </c>
    </row>
    <row r="1994" spans="1:4">
      <c r="A1994" s="8" t="s">
        <v>403</v>
      </c>
      <c r="B1994" s="5">
        <v>1700054</v>
      </c>
      <c r="C1994" s="5" t="s">
        <v>319</v>
      </c>
      <c r="D1994" s="3">
        <f>VLOOKUP(B1994,Sheet2!$A:$O,10,0)</f>
        <v>11670</v>
      </c>
    </row>
    <row r="1995" spans="1:4">
      <c r="A1995" s="8" t="s">
        <v>403</v>
      </c>
      <c r="B1995" s="5">
        <v>1700055</v>
      </c>
      <c r="C1995" s="5" t="s">
        <v>320</v>
      </c>
      <c r="D1995" s="3">
        <f>VLOOKUP(B1995,Sheet2!$A:$O,10,0)</f>
        <v>11940</v>
      </c>
    </row>
    <row r="1996" spans="1:4">
      <c r="A1996" s="8" t="s">
        <v>403</v>
      </c>
      <c r="B1996" s="5">
        <v>1700056</v>
      </c>
      <c r="C1996" s="5" t="s">
        <v>321</v>
      </c>
      <c r="D1996" s="3">
        <f>VLOOKUP(B1996,Sheet2!$A:$O,10,0)</f>
        <v>6144</v>
      </c>
    </row>
    <row r="1997" spans="1:4">
      <c r="A1997" s="8" t="s">
        <v>403</v>
      </c>
      <c r="B1997" s="5">
        <v>1700057</v>
      </c>
      <c r="C1997" s="5" t="s">
        <v>322</v>
      </c>
      <c r="D1997" s="3">
        <f>VLOOKUP(B1997,Sheet2!$A:$O,10,0)</f>
        <v>2098</v>
      </c>
    </row>
    <row r="1998" spans="1:4">
      <c r="A1998" s="8" t="s">
        <v>403</v>
      </c>
      <c r="B1998" s="5">
        <v>1700058</v>
      </c>
      <c r="C1998" s="5" t="s">
        <v>323</v>
      </c>
      <c r="D1998" s="3">
        <f>VLOOKUP(B1998,Sheet2!$A:$O,10,0)</f>
        <v>5800</v>
      </c>
    </row>
    <row r="1999" spans="1:4">
      <c r="A1999" s="8" t="s">
        <v>403</v>
      </c>
      <c r="B1999" s="5">
        <v>1700059</v>
      </c>
      <c r="C1999" s="5" t="s">
        <v>324</v>
      </c>
      <c r="D1999" s="3">
        <f>VLOOKUP(B1999,Sheet2!$A:$O,10,0)</f>
        <v>27667</v>
      </c>
    </row>
    <row r="2000" spans="1:4">
      <c r="A2000" s="8" t="s">
        <v>403</v>
      </c>
      <c r="B2000" s="5">
        <v>1700060</v>
      </c>
      <c r="C2000" s="5" t="s">
        <v>325</v>
      </c>
      <c r="D2000" s="3">
        <f>VLOOKUP(B2000,Sheet2!$A:$O,10,0)</f>
        <v>3402</v>
      </c>
    </row>
    <row r="2001" spans="1:4">
      <c r="A2001" s="8" t="s">
        <v>403</v>
      </c>
      <c r="B2001" s="5">
        <v>1700061</v>
      </c>
      <c r="C2001" s="5" t="s">
        <v>326</v>
      </c>
      <c r="D2001" s="3">
        <f>VLOOKUP(B2001,Sheet2!$A:$O,10,0)</f>
        <v>8920</v>
      </c>
    </row>
    <row r="2002" spans="1:4">
      <c r="A2002" s="8" t="s">
        <v>403</v>
      </c>
      <c r="B2002" s="5">
        <v>1700062</v>
      </c>
      <c r="C2002" s="5" t="s">
        <v>327</v>
      </c>
      <c r="D2002" s="3">
        <f>VLOOKUP(B2002,Sheet2!$A:$O,10,0)</f>
        <v>10520</v>
      </c>
    </row>
    <row r="2003" spans="1:4">
      <c r="A2003" s="8" t="s">
        <v>403</v>
      </c>
      <c r="B2003" s="5">
        <v>1700063</v>
      </c>
      <c r="C2003" s="5" t="s">
        <v>328</v>
      </c>
      <c r="D2003" s="3">
        <f>VLOOKUP(B2003,Sheet2!$A:$O,10,0)</f>
        <v>10550</v>
      </c>
    </row>
    <row r="2004" spans="1:4">
      <c r="A2004" s="8" t="s">
        <v>403</v>
      </c>
      <c r="B2004" s="5">
        <v>1700064</v>
      </c>
      <c r="C2004" s="5" t="s">
        <v>329</v>
      </c>
      <c r="D2004" s="3">
        <f>VLOOKUP(B2004,Sheet2!$A:$O,10,0)</f>
        <v>11060</v>
      </c>
    </row>
    <row r="2005" spans="1:4">
      <c r="A2005" s="8" t="s">
        <v>403</v>
      </c>
      <c r="B2005" s="5">
        <v>1700065</v>
      </c>
      <c r="C2005" s="5" t="s">
        <v>330</v>
      </c>
      <c r="D2005" s="3">
        <f>VLOOKUP(B2005,Sheet2!$A:$O,10,0)</f>
        <v>12760</v>
      </c>
    </row>
    <row r="2006" spans="1:4">
      <c r="A2006" s="8" t="s">
        <v>403</v>
      </c>
      <c r="B2006" s="5">
        <v>1700066</v>
      </c>
      <c r="C2006" s="5" t="s">
        <v>331</v>
      </c>
      <c r="D2006" s="3">
        <f>VLOOKUP(B2006,Sheet2!$A:$O,10,0)</f>
        <v>13200</v>
      </c>
    </row>
    <row r="2007" spans="1:4">
      <c r="A2007" s="8" t="s">
        <v>403</v>
      </c>
      <c r="B2007" s="5">
        <v>1700067</v>
      </c>
      <c r="C2007" s="5" t="s">
        <v>332</v>
      </c>
      <c r="D2007" s="3">
        <f>VLOOKUP(B2007,Sheet2!$A:$O,10,0)</f>
        <v>10720</v>
      </c>
    </row>
    <row r="2008" spans="1:4">
      <c r="A2008" s="8" t="s">
        <v>403</v>
      </c>
      <c r="B2008" s="5">
        <v>1700068</v>
      </c>
      <c r="C2008" s="5" t="s">
        <v>333</v>
      </c>
      <c r="D2008" s="3">
        <f>VLOOKUP(B2008,Sheet2!$A:$O,10,0)</f>
        <v>12720</v>
      </c>
    </row>
    <row r="2009" spans="1:4">
      <c r="A2009" s="8" t="s">
        <v>403</v>
      </c>
      <c r="B2009" s="5">
        <v>1700069</v>
      </c>
      <c r="C2009" s="5" t="s">
        <v>334</v>
      </c>
      <c r="D2009" s="3">
        <f>VLOOKUP(B2009,Sheet2!$A:$O,10,0)</f>
        <v>14000</v>
      </c>
    </row>
    <row r="2010" spans="1:4">
      <c r="A2010" s="8" t="s">
        <v>403</v>
      </c>
      <c r="B2010" s="5">
        <v>1700070</v>
      </c>
      <c r="C2010" s="5" t="s">
        <v>335</v>
      </c>
      <c r="D2010" s="3">
        <f>VLOOKUP(B2010,Sheet2!$A:$O,10,0)</f>
        <v>1618</v>
      </c>
    </row>
    <row r="2011" spans="1:4">
      <c r="A2011" s="8" t="s">
        <v>403</v>
      </c>
      <c r="B2011" s="5">
        <v>1700071</v>
      </c>
      <c r="C2011" s="5" t="s">
        <v>336</v>
      </c>
      <c r="D2011" s="3">
        <f>VLOOKUP(B2011,Sheet2!$A:$O,10,0)</f>
        <v>12190</v>
      </c>
    </row>
    <row r="2012" spans="1:4">
      <c r="A2012" s="8" t="s">
        <v>403</v>
      </c>
      <c r="B2012" s="5">
        <v>1700072</v>
      </c>
      <c r="C2012" s="5" t="s">
        <v>337</v>
      </c>
      <c r="D2012" s="3">
        <f>VLOOKUP(B2012,Sheet2!$A:$O,10,0)</f>
        <v>10180</v>
      </c>
    </row>
    <row r="2013" spans="1:4">
      <c r="A2013" s="8" t="s">
        <v>403</v>
      </c>
      <c r="B2013" s="5">
        <v>1700073</v>
      </c>
      <c r="C2013" s="5" t="s">
        <v>338</v>
      </c>
      <c r="D2013" s="3">
        <f>VLOOKUP(B2013,Sheet2!$A:$O,10,0)</f>
        <v>9020</v>
      </c>
    </row>
    <row r="2014" spans="1:4">
      <c r="A2014" s="8" t="s">
        <v>403</v>
      </c>
      <c r="B2014" s="5">
        <v>1700076</v>
      </c>
      <c r="C2014" s="5" t="s">
        <v>339</v>
      </c>
      <c r="D2014" s="3">
        <f>VLOOKUP(B2014,Sheet2!$A:$O,10,0)</f>
        <v>3520</v>
      </c>
    </row>
    <row r="2015" spans="1:4">
      <c r="A2015" s="8" t="s">
        <v>403</v>
      </c>
      <c r="B2015" s="5">
        <v>1700077</v>
      </c>
      <c r="C2015" s="5" t="s">
        <v>340</v>
      </c>
      <c r="D2015" s="3">
        <f>VLOOKUP(B2015,Sheet2!$A:$O,10,0)</f>
        <v>3520</v>
      </c>
    </row>
    <row r="2016" spans="1:4">
      <c r="A2016" s="8" t="s">
        <v>403</v>
      </c>
      <c r="B2016" s="5">
        <v>1700078</v>
      </c>
      <c r="C2016" s="5" t="s">
        <v>341</v>
      </c>
      <c r="D2016" s="3">
        <f>VLOOKUP(B2016,Sheet2!$A:$O,10,0)</f>
        <v>4520</v>
      </c>
    </row>
    <row r="2017" spans="1:4">
      <c r="A2017" s="8" t="s">
        <v>403</v>
      </c>
      <c r="B2017" s="5">
        <v>1700080</v>
      </c>
      <c r="C2017" s="5" t="s">
        <v>342</v>
      </c>
      <c r="D2017" s="3">
        <f>VLOOKUP(B2017,Sheet2!$A:$O,10,0)</f>
        <v>3529</v>
      </c>
    </row>
    <row r="2018" spans="1:4">
      <c r="A2018" s="8" t="s">
        <v>403</v>
      </c>
      <c r="B2018" s="5">
        <v>1700083</v>
      </c>
      <c r="C2018" s="5" t="s">
        <v>343</v>
      </c>
      <c r="D2018" s="3">
        <f>VLOOKUP(B2018,Sheet2!$A:$O,10,0)</f>
        <v>8333</v>
      </c>
    </row>
    <row r="2019" spans="1:4">
      <c r="A2019" s="8" t="s">
        <v>403</v>
      </c>
      <c r="B2019" s="5">
        <v>1700084</v>
      </c>
      <c r="C2019" s="5" t="s">
        <v>344</v>
      </c>
      <c r="D2019" s="3">
        <f>VLOOKUP(B2019,Sheet2!$A:$O,10,0)</f>
        <v>6282</v>
      </c>
    </row>
    <row r="2020" spans="1:4">
      <c r="A2020" s="8" t="s">
        <v>403</v>
      </c>
      <c r="B2020" s="5">
        <v>1700085</v>
      </c>
      <c r="C2020" s="5" t="s">
        <v>345</v>
      </c>
      <c r="D2020" s="3">
        <f>VLOOKUP(B2020,Sheet2!$A:$O,10,0)</f>
        <v>7860</v>
      </c>
    </row>
    <row r="2021" spans="1:4">
      <c r="A2021" s="8" t="s">
        <v>403</v>
      </c>
      <c r="B2021" s="5">
        <v>1700086</v>
      </c>
      <c r="C2021" s="5" t="s">
        <v>346</v>
      </c>
      <c r="D2021" s="3">
        <f>VLOOKUP(B2021,Sheet2!$A:$O,10,0)</f>
        <v>1814</v>
      </c>
    </row>
    <row r="2022" spans="1:4">
      <c r="A2022" s="8" t="s">
        <v>403</v>
      </c>
      <c r="B2022" s="5">
        <v>1700087</v>
      </c>
      <c r="C2022" s="5" t="s">
        <v>347</v>
      </c>
      <c r="D2022" s="3">
        <f>VLOOKUP(B2022,Sheet2!$A:$O,10,0)</f>
        <v>4890</v>
      </c>
    </row>
    <row r="2023" spans="1:4">
      <c r="A2023" s="8" t="s">
        <v>403</v>
      </c>
      <c r="B2023" s="5">
        <v>1700088</v>
      </c>
      <c r="C2023" s="5" t="s">
        <v>348</v>
      </c>
      <c r="D2023" s="3">
        <f>VLOOKUP(B2023,Sheet2!$A:$O,10,0)</f>
        <v>15500</v>
      </c>
    </row>
    <row r="2024" spans="1:4">
      <c r="A2024" s="8" t="s">
        <v>403</v>
      </c>
      <c r="B2024" s="5">
        <v>1700089</v>
      </c>
      <c r="C2024" s="5" t="s">
        <v>349</v>
      </c>
      <c r="D2024" s="3">
        <f>VLOOKUP(B2024,Sheet2!$A:$O,10,0)</f>
        <v>18500</v>
      </c>
    </row>
    <row r="2025" spans="1:4">
      <c r="A2025" s="8" t="s">
        <v>403</v>
      </c>
      <c r="B2025" s="5">
        <v>1700090</v>
      </c>
      <c r="C2025" s="5" t="s">
        <v>350</v>
      </c>
      <c r="D2025" s="3">
        <f>VLOOKUP(B2025,Sheet2!$A:$O,10,0)</f>
        <v>25490</v>
      </c>
    </row>
    <row r="2026" spans="1:4">
      <c r="A2026" s="8" t="s">
        <v>403</v>
      </c>
      <c r="B2026" s="5">
        <v>1700091</v>
      </c>
      <c r="C2026" s="5" t="s">
        <v>351</v>
      </c>
      <c r="D2026" s="3">
        <f>VLOOKUP(B2026,Sheet2!$A:$O,10,0)</f>
        <v>18353</v>
      </c>
    </row>
    <row r="2027" spans="1:4">
      <c r="A2027" s="8" t="s">
        <v>403</v>
      </c>
      <c r="B2027" s="5">
        <v>1700092</v>
      </c>
      <c r="C2027" s="5" t="s">
        <v>352</v>
      </c>
      <c r="D2027" s="3">
        <f>VLOOKUP(B2027,Sheet2!$A:$O,10,0)</f>
        <v>1863</v>
      </c>
    </row>
    <row r="2028" spans="1:4">
      <c r="A2028" s="8" t="s">
        <v>403</v>
      </c>
      <c r="B2028" s="5">
        <v>1700093</v>
      </c>
      <c r="C2028" s="5" t="s">
        <v>353</v>
      </c>
      <c r="D2028" s="3">
        <f>VLOOKUP(B2028,Sheet2!$A:$O,10,0)</f>
        <v>11180</v>
      </c>
    </row>
    <row r="2029" spans="1:4">
      <c r="A2029" s="8" t="s">
        <v>403</v>
      </c>
      <c r="B2029" s="5">
        <v>1700094</v>
      </c>
      <c r="C2029" s="5" t="s">
        <v>354</v>
      </c>
      <c r="D2029" s="3">
        <f>VLOOKUP(B2029,Sheet2!$A:$O,10,0)</f>
        <v>13529</v>
      </c>
    </row>
    <row r="2030" spans="1:4">
      <c r="A2030" s="8" t="s">
        <v>403</v>
      </c>
      <c r="B2030" s="5">
        <v>1700095</v>
      </c>
      <c r="C2030" s="5" t="s">
        <v>355</v>
      </c>
      <c r="D2030" s="3">
        <f>VLOOKUP(B2030,Sheet2!$A:$O,10,0)</f>
        <v>4500</v>
      </c>
    </row>
    <row r="2031" spans="1:4">
      <c r="A2031" s="8" t="s">
        <v>403</v>
      </c>
      <c r="B2031" s="5">
        <v>1700096</v>
      </c>
      <c r="C2031" s="5" t="s">
        <v>356</v>
      </c>
      <c r="D2031" s="3">
        <f>VLOOKUP(B2031,Sheet2!$A:$O,10,0)</f>
        <v>24510</v>
      </c>
    </row>
    <row r="2032" spans="1:4">
      <c r="A2032" s="8" t="s">
        <v>403</v>
      </c>
      <c r="B2032" s="5">
        <v>1700097</v>
      </c>
      <c r="C2032" s="5" t="s">
        <v>357</v>
      </c>
      <c r="D2032" s="3">
        <f>VLOOKUP(B2032,Sheet2!$A:$O,10,0)</f>
        <v>19608</v>
      </c>
    </row>
    <row r="2033" spans="1:4">
      <c r="A2033" s="8" t="s">
        <v>403</v>
      </c>
      <c r="B2033" s="5">
        <v>1700098</v>
      </c>
      <c r="C2033" s="5" t="s">
        <v>358</v>
      </c>
      <c r="D2033" s="3">
        <f>VLOOKUP(B2033,Sheet2!$A:$O,10,0)</f>
        <v>19608</v>
      </c>
    </row>
    <row r="2034" spans="1:4">
      <c r="A2034" s="8" t="s">
        <v>403</v>
      </c>
      <c r="B2034" s="5">
        <v>1700099</v>
      </c>
      <c r="C2034" s="5" t="s">
        <v>359</v>
      </c>
      <c r="D2034" s="3">
        <f>VLOOKUP(B2034,Sheet2!$A:$O,10,0)</f>
        <v>9000</v>
      </c>
    </row>
    <row r="2035" spans="1:4">
      <c r="A2035" s="8" t="s">
        <v>403</v>
      </c>
      <c r="B2035" s="5">
        <v>1700100</v>
      </c>
      <c r="C2035" s="5" t="s">
        <v>360</v>
      </c>
      <c r="D2035" s="3">
        <f>VLOOKUP(B2035,Sheet2!$A:$O,10,0)</f>
        <v>3030</v>
      </c>
    </row>
    <row r="2036" spans="1:4">
      <c r="A2036" s="8" t="s">
        <v>403</v>
      </c>
      <c r="B2036" s="5">
        <v>1700101</v>
      </c>
      <c r="C2036" s="5" t="s">
        <v>361</v>
      </c>
      <c r="D2036" s="3">
        <f>VLOOKUP(B2036,Sheet2!$A:$O,10,0)</f>
        <v>8647</v>
      </c>
    </row>
    <row r="2037" spans="1:4">
      <c r="A2037" s="8" t="s">
        <v>403</v>
      </c>
      <c r="B2037" s="5">
        <v>1700102</v>
      </c>
      <c r="C2037" s="5" t="s">
        <v>362</v>
      </c>
      <c r="D2037" s="3">
        <f>VLOOKUP(B2037,Sheet2!$A:$O,10,0)</f>
        <v>40196</v>
      </c>
    </row>
    <row r="2038" spans="1:4">
      <c r="A2038" s="8" t="s">
        <v>403</v>
      </c>
      <c r="B2038" s="5">
        <v>1700103</v>
      </c>
      <c r="C2038" s="5" t="s">
        <v>363</v>
      </c>
      <c r="D2038" s="3">
        <f>VLOOKUP(B2038,Sheet2!$A:$O,10,0)</f>
        <v>9000</v>
      </c>
    </row>
    <row r="2039" spans="1:4">
      <c r="A2039" s="8" t="s">
        <v>403</v>
      </c>
      <c r="B2039" s="5">
        <v>1700104</v>
      </c>
      <c r="C2039" s="5" t="s">
        <v>364</v>
      </c>
      <c r="D2039" s="3">
        <f>VLOOKUP(B2039,Sheet2!$A:$O,10,0)</f>
        <v>22620</v>
      </c>
    </row>
    <row r="2040" spans="1:4">
      <c r="A2040" s="8" t="s">
        <v>403</v>
      </c>
      <c r="B2040" s="5">
        <v>1700105</v>
      </c>
      <c r="C2040" s="5" t="s">
        <v>365</v>
      </c>
      <c r="D2040" s="3">
        <f>VLOOKUP(B2040,Sheet2!$A:$O,10,0)</f>
        <v>10588</v>
      </c>
    </row>
    <row r="2041" spans="1:4">
      <c r="A2041" s="8" t="s">
        <v>403</v>
      </c>
      <c r="B2041" s="5">
        <v>1700106</v>
      </c>
      <c r="C2041" s="5" t="s">
        <v>366</v>
      </c>
      <c r="D2041" s="3">
        <f>VLOOKUP(B2041,Sheet2!$A:$O,10,0)</f>
        <v>14020</v>
      </c>
    </row>
    <row r="2042" spans="1:4">
      <c r="A2042" s="8" t="s">
        <v>403</v>
      </c>
      <c r="B2042" s="5">
        <v>1700107</v>
      </c>
      <c r="C2042" s="5" t="s">
        <v>367</v>
      </c>
      <c r="D2042" s="3">
        <f>VLOOKUP(B2042,Sheet2!$A:$O,10,0)</f>
        <v>9020</v>
      </c>
    </row>
    <row r="2043" spans="1:4">
      <c r="A2043" s="8" t="s">
        <v>403</v>
      </c>
      <c r="B2043" s="5">
        <v>1800002</v>
      </c>
      <c r="C2043" s="5" t="s">
        <v>368</v>
      </c>
      <c r="D2043" s="3">
        <f>VLOOKUP(B2043,Sheet2!$A:$O,10,0)</f>
        <v>9520</v>
      </c>
    </row>
    <row r="2044" spans="1:4">
      <c r="A2044" s="8" t="s">
        <v>403</v>
      </c>
      <c r="B2044" s="5">
        <v>1800004</v>
      </c>
      <c r="C2044" s="5" t="s">
        <v>369</v>
      </c>
      <c r="D2044" s="3">
        <f>VLOOKUP(B2044,Sheet2!$A:$O,10,0)</f>
        <v>0</v>
      </c>
    </row>
    <row r="2045" spans="1:4">
      <c r="A2045" s="8" t="s">
        <v>403</v>
      </c>
      <c r="B2045" s="5">
        <v>1800005</v>
      </c>
      <c r="C2045" s="5" t="s">
        <v>370</v>
      </c>
      <c r="D2045" s="3">
        <f>VLOOKUP(B2045,Sheet2!$A:$O,10,0)</f>
        <v>0</v>
      </c>
    </row>
    <row r="2046" spans="1:4">
      <c r="A2046" s="8" t="s">
        <v>403</v>
      </c>
      <c r="B2046" s="5">
        <v>1800006</v>
      </c>
      <c r="C2046" s="5" t="s">
        <v>371</v>
      </c>
      <c r="D2046" s="3">
        <f>VLOOKUP(B2046,Sheet2!$A:$O,10,0)</f>
        <v>0</v>
      </c>
    </row>
    <row r="2047" spans="1:4">
      <c r="A2047" s="8" t="s">
        <v>403</v>
      </c>
      <c r="B2047" s="5">
        <v>1800007</v>
      </c>
      <c r="C2047" s="5" t="s">
        <v>372</v>
      </c>
      <c r="D2047" s="3">
        <f>VLOOKUP(B2047,Sheet2!$A:$O,10,0)</f>
        <v>10000</v>
      </c>
    </row>
    <row r="2048" spans="1:4">
      <c r="A2048" s="8" t="s">
        <v>403</v>
      </c>
      <c r="B2048" s="5">
        <v>1800008</v>
      </c>
      <c r="C2048" s="5" t="s">
        <v>373</v>
      </c>
      <c r="D2048" s="3">
        <f>VLOOKUP(B2048,Sheet2!$A:$O,10,0)</f>
        <v>10110</v>
      </c>
    </row>
    <row r="2049" spans="1:4">
      <c r="A2049" s="8" t="s">
        <v>403</v>
      </c>
      <c r="B2049" s="5">
        <v>1800009</v>
      </c>
      <c r="C2049" s="5" t="s">
        <v>374</v>
      </c>
      <c r="D2049" s="3">
        <f>VLOOKUP(B2049,Sheet2!$A:$O,10,0)</f>
        <v>11800</v>
      </c>
    </row>
    <row r="2050" spans="1:4">
      <c r="A2050" s="8" t="s">
        <v>403</v>
      </c>
      <c r="B2050" s="5">
        <v>1800010</v>
      </c>
      <c r="C2050" s="5" t="s">
        <v>375</v>
      </c>
      <c r="D2050" s="3">
        <f>VLOOKUP(B2050,Sheet2!$A:$O,10,0)</f>
        <v>5784</v>
      </c>
    </row>
    <row r="2051" spans="1:4">
      <c r="A2051" s="8" t="s">
        <v>403</v>
      </c>
      <c r="B2051" s="5">
        <v>1800011</v>
      </c>
      <c r="C2051" s="5" t="s">
        <v>376</v>
      </c>
      <c r="D2051" s="3">
        <f>VLOOKUP(B2051,Sheet2!$A:$O,10,0)</f>
        <v>9363</v>
      </c>
    </row>
    <row r="2052" spans="1:4">
      <c r="A2052" s="8" t="s">
        <v>403</v>
      </c>
      <c r="B2052" s="5">
        <v>1800012</v>
      </c>
      <c r="C2052" s="5" t="s">
        <v>377</v>
      </c>
      <c r="D2052" s="3">
        <f>VLOOKUP(B2052,Sheet2!$A:$O,10,0)</f>
        <v>5725</v>
      </c>
    </row>
    <row r="2053" spans="1:4">
      <c r="A2053" s="8" t="s">
        <v>403</v>
      </c>
      <c r="B2053" s="5">
        <v>1800013</v>
      </c>
      <c r="C2053" s="5" t="s">
        <v>378</v>
      </c>
      <c r="D2053" s="3">
        <f>VLOOKUP(B2053,Sheet2!$A:$O,10,0)</f>
        <v>49100</v>
      </c>
    </row>
    <row r="2054" spans="1:4">
      <c r="A2054" s="8" t="s">
        <v>403</v>
      </c>
      <c r="B2054" s="5">
        <v>1800014</v>
      </c>
      <c r="C2054" s="5" t="s">
        <v>379</v>
      </c>
      <c r="D2054" s="3">
        <f>VLOOKUP(B2054,Sheet2!$A:$O,10,0)</f>
        <v>70000</v>
      </c>
    </row>
    <row r="2055" spans="1:4">
      <c r="A2055" s="8" t="s">
        <v>403</v>
      </c>
      <c r="B2055" s="5">
        <v>1800015</v>
      </c>
      <c r="C2055" s="5" t="s">
        <v>380</v>
      </c>
      <c r="D2055" s="3">
        <f>VLOOKUP(B2055,Sheet2!$A:$O,10,0)</f>
        <v>66700</v>
      </c>
    </row>
    <row r="2056" spans="1:4">
      <c r="A2056" s="8" t="s">
        <v>403</v>
      </c>
      <c r="B2056" s="5">
        <v>1900013</v>
      </c>
      <c r="C2056" s="5" t="s">
        <v>381</v>
      </c>
      <c r="D2056" s="3">
        <f>VLOOKUP(B2056,Sheet2!$A:$O,10,0)</f>
        <v>0</v>
      </c>
    </row>
    <row r="2057" spans="1:4">
      <c r="A2057" s="8" t="s">
        <v>403</v>
      </c>
      <c r="B2057" s="5">
        <v>1900018</v>
      </c>
      <c r="C2057" s="5" t="s">
        <v>382</v>
      </c>
      <c r="D2057" s="3">
        <f>VLOOKUP(B2057,Sheet2!$A:$O,10,0)</f>
        <v>0</v>
      </c>
    </row>
    <row r="2058" spans="1:4">
      <c r="A2058" s="8" t="s">
        <v>404</v>
      </c>
      <c r="B2058" s="5">
        <v>1010101</v>
      </c>
      <c r="C2058" s="5" t="s">
        <v>5</v>
      </c>
      <c r="D2058" s="3">
        <f>VLOOKUP(B2058,Sheet2!$A:$O,11,0)</f>
        <v>697</v>
      </c>
    </row>
    <row r="2059" spans="1:4">
      <c r="A2059" s="8" t="s">
        <v>404</v>
      </c>
      <c r="B2059" s="5">
        <v>1010111</v>
      </c>
      <c r="C2059" s="5" t="s">
        <v>9</v>
      </c>
      <c r="D2059" s="3">
        <f>VLOOKUP(B2059,Sheet2!$A:$O,11,0)</f>
        <v>19100</v>
      </c>
    </row>
    <row r="2060" spans="1:4">
      <c r="A2060" s="8" t="s">
        <v>404</v>
      </c>
      <c r="B2060" s="5">
        <v>1010201</v>
      </c>
      <c r="C2060" s="5" t="s">
        <v>11</v>
      </c>
      <c r="D2060" s="3">
        <f>VLOOKUP(B2060,Sheet2!$A:$O,11,0)</f>
        <v>882</v>
      </c>
    </row>
    <row r="2061" spans="1:4">
      <c r="A2061" s="8" t="s">
        <v>404</v>
      </c>
      <c r="B2061" s="5">
        <v>1010300</v>
      </c>
      <c r="C2061" s="5" t="s">
        <v>213</v>
      </c>
      <c r="D2061" s="3">
        <f>VLOOKUP(B2061,Sheet2!$A:$O,11,0)</f>
        <v>5490</v>
      </c>
    </row>
    <row r="2062" spans="1:4">
      <c r="A2062" s="8" t="s">
        <v>404</v>
      </c>
      <c r="B2062" s="5">
        <v>1010301</v>
      </c>
      <c r="C2062" s="5" t="s">
        <v>214</v>
      </c>
      <c r="D2062" s="3">
        <f>VLOOKUP(B2062,Sheet2!$A:$O,11,0)</f>
        <v>6730</v>
      </c>
    </row>
    <row r="2063" spans="1:4">
      <c r="A2063" s="8" t="s">
        <v>404</v>
      </c>
      <c r="B2063" s="5">
        <v>1010302</v>
      </c>
      <c r="C2063" s="5" t="s">
        <v>16</v>
      </c>
      <c r="D2063" s="3">
        <f>VLOOKUP(B2063,Sheet2!$A:$O,11,0)</f>
        <v>4216</v>
      </c>
    </row>
    <row r="2064" spans="1:4">
      <c r="A2064" s="8" t="s">
        <v>404</v>
      </c>
      <c r="B2064" s="5">
        <v>1010303</v>
      </c>
      <c r="C2064" s="5" t="s">
        <v>18</v>
      </c>
      <c r="D2064" s="3">
        <f>VLOOKUP(B2064,Sheet2!$A:$O,11,0)</f>
        <v>882</v>
      </c>
    </row>
    <row r="2065" spans="1:4">
      <c r="A2065" s="8" t="s">
        <v>404</v>
      </c>
      <c r="B2065" s="5">
        <v>1010304</v>
      </c>
      <c r="C2065" s="5" t="s">
        <v>215</v>
      </c>
      <c r="D2065" s="3">
        <f>VLOOKUP(B2065,Sheet2!$A:$O,11,0)</f>
        <v>1225</v>
      </c>
    </row>
    <row r="2066" spans="1:4">
      <c r="A2066" s="8" t="s">
        <v>404</v>
      </c>
      <c r="B2066" s="5">
        <v>1010401</v>
      </c>
      <c r="C2066" s="5" t="s">
        <v>20</v>
      </c>
      <c r="D2066" s="3">
        <f>VLOOKUP(B2066,Sheet2!$A:$O,11,0)</f>
        <v>3627</v>
      </c>
    </row>
    <row r="2067" spans="1:4">
      <c r="A2067" s="8" t="s">
        <v>404</v>
      </c>
      <c r="B2067" s="5">
        <v>1010405</v>
      </c>
      <c r="C2067" s="5" t="s">
        <v>22</v>
      </c>
      <c r="D2067" s="3">
        <f>VLOOKUP(B2067,Sheet2!$A:$O,11,0)</f>
        <v>9975</v>
      </c>
    </row>
    <row r="2068" spans="1:4">
      <c r="A2068" s="8" t="s">
        <v>404</v>
      </c>
      <c r="B2068" s="5">
        <v>1010501</v>
      </c>
      <c r="C2068" s="5" t="s">
        <v>24</v>
      </c>
      <c r="D2068" s="3">
        <f>VLOOKUP(B2068,Sheet2!$A:$O,11,0)</f>
        <v>980</v>
      </c>
    </row>
    <row r="2069" spans="1:4">
      <c r="A2069" s="8" t="s">
        <v>404</v>
      </c>
      <c r="B2069" s="5">
        <v>1010502</v>
      </c>
      <c r="C2069" s="5" t="s">
        <v>216</v>
      </c>
      <c r="D2069" s="3">
        <f>VLOOKUP(B2069,Sheet2!$A:$O,11,0)</f>
        <v>0</v>
      </c>
    </row>
    <row r="2070" spans="1:4">
      <c r="A2070" s="8" t="s">
        <v>404</v>
      </c>
      <c r="B2070" s="5">
        <v>1010601</v>
      </c>
      <c r="C2070" s="5" t="s">
        <v>26</v>
      </c>
      <c r="D2070" s="3">
        <f>VLOOKUP(B2070,Sheet2!$A:$O,11,0)</f>
        <v>4412</v>
      </c>
    </row>
    <row r="2071" spans="1:4">
      <c r="A2071" s="8" t="s">
        <v>404</v>
      </c>
      <c r="B2071" s="5">
        <v>1010701</v>
      </c>
      <c r="C2071" s="5" t="s">
        <v>28</v>
      </c>
      <c r="D2071" s="3">
        <f>VLOOKUP(B2071,Sheet2!$A:$O,11,0)</f>
        <v>686</v>
      </c>
    </row>
    <row r="2072" spans="1:4">
      <c r="A2072" s="8" t="s">
        <v>404</v>
      </c>
      <c r="B2072" s="5">
        <v>1010801</v>
      </c>
      <c r="C2072" s="5" t="s">
        <v>30</v>
      </c>
      <c r="D2072" s="3">
        <f>VLOOKUP(B2072,Sheet2!$A:$O,11,0)</f>
        <v>7157</v>
      </c>
    </row>
    <row r="2073" spans="1:4">
      <c r="A2073" s="8" t="s">
        <v>404</v>
      </c>
      <c r="B2073" s="5">
        <v>1010901</v>
      </c>
      <c r="C2073" s="5" t="s">
        <v>32</v>
      </c>
      <c r="D2073" s="3">
        <f>VLOOKUP(B2073,Sheet2!$A:$O,11,0)</f>
        <v>4902</v>
      </c>
    </row>
    <row r="2074" spans="1:4">
      <c r="A2074" s="8" t="s">
        <v>404</v>
      </c>
      <c r="B2074" s="5">
        <v>1020101</v>
      </c>
      <c r="C2074" s="5" t="s">
        <v>34</v>
      </c>
      <c r="D2074" s="3">
        <f>VLOOKUP(B2074,Sheet2!$A:$O,11,0)</f>
        <v>17451</v>
      </c>
    </row>
    <row r="2075" spans="1:4">
      <c r="A2075" s="8" t="s">
        <v>404</v>
      </c>
      <c r="B2075" s="5">
        <v>1020201</v>
      </c>
      <c r="C2075" s="5" t="s">
        <v>217</v>
      </c>
      <c r="D2075" s="3">
        <f>VLOOKUP(B2075,Sheet2!$A:$O,11,0)</f>
        <v>5600</v>
      </c>
    </row>
    <row r="2076" spans="1:4">
      <c r="A2076" s="8" t="s">
        <v>404</v>
      </c>
      <c r="B2076" s="5">
        <v>1020301</v>
      </c>
      <c r="C2076" s="5" t="s">
        <v>38</v>
      </c>
      <c r="D2076" s="3">
        <f>VLOOKUP(B2076,Sheet2!$A:$O,11,0)</f>
        <v>2100</v>
      </c>
    </row>
    <row r="2077" spans="1:4">
      <c r="A2077" s="8" t="s">
        <v>404</v>
      </c>
      <c r="B2077" s="5">
        <v>1020401</v>
      </c>
      <c r="C2077" s="5" t="s">
        <v>40</v>
      </c>
      <c r="D2077" s="3">
        <f>VLOOKUP(B2077,Sheet2!$A:$O,11,0)</f>
        <v>3500</v>
      </c>
    </row>
    <row r="2078" spans="1:4">
      <c r="A2078" s="8" t="s">
        <v>404</v>
      </c>
      <c r="B2078" s="5">
        <v>1030102</v>
      </c>
      <c r="C2078" s="5" t="s">
        <v>218</v>
      </c>
      <c r="D2078" s="3">
        <f>VLOOKUP(B2078,Sheet2!$A:$O,11,0)</f>
        <v>0</v>
      </c>
    </row>
    <row r="2079" spans="1:4">
      <c r="A2079" s="8" t="s">
        <v>404</v>
      </c>
      <c r="B2079" s="5">
        <v>1030201</v>
      </c>
      <c r="C2079" s="5" t="s">
        <v>42</v>
      </c>
      <c r="D2079" s="3">
        <f>VLOOKUP(B2079,Sheet2!$A:$O,11,0)</f>
        <v>2598</v>
      </c>
    </row>
    <row r="2080" spans="1:4">
      <c r="A2080" s="8" t="s">
        <v>404</v>
      </c>
      <c r="B2080" s="5">
        <v>1030203</v>
      </c>
      <c r="C2080" s="5" t="s">
        <v>219</v>
      </c>
      <c r="D2080" s="3">
        <f>VLOOKUP(B2080,Sheet2!$A:$O,11,0)</f>
        <v>0</v>
      </c>
    </row>
    <row r="2081" spans="1:4">
      <c r="A2081" s="8" t="s">
        <v>404</v>
      </c>
      <c r="B2081" s="5">
        <v>1030204</v>
      </c>
      <c r="C2081" s="5" t="s">
        <v>220</v>
      </c>
      <c r="D2081" s="3">
        <f>VLOOKUP(B2081,Sheet2!$A:$O,11,0)</f>
        <v>0</v>
      </c>
    </row>
    <row r="2082" spans="1:4">
      <c r="A2082" s="8" t="s">
        <v>404</v>
      </c>
      <c r="B2082" s="5">
        <v>1030205</v>
      </c>
      <c r="C2082" s="5" t="s">
        <v>44</v>
      </c>
      <c r="D2082" s="3">
        <f>VLOOKUP(B2082,Sheet2!$A:$O,11,0)</f>
        <v>5000</v>
      </c>
    </row>
    <row r="2083" spans="1:4">
      <c r="A2083" s="8" t="s">
        <v>404</v>
      </c>
      <c r="B2083" s="5">
        <v>1030206</v>
      </c>
      <c r="C2083" s="5" t="s">
        <v>46</v>
      </c>
      <c r="D2083" s="3">
        <f>VLOOKUP(B2083,Sheet2!$A:$O,11,0)</f>
        <v>6200</v>
      </c>
    </row>
    <row r="2084" spans="1:4">
      <c r="A2084" s="8" t="s">
        <v>404</v>
      </c>
      <c r="B2084" s="5">
        <v>1030207</v>
      </c>
      <c r="C2084" s="5" t="s">
        <v>48</v>
      </c>
      <c r="D2084" s="3">
        <f>VLOOKUP(B2084,Sheet2!$A:$O,11,0)</f>
        <v>4400</v>
      </c>
    </row>
    <row r="2085" spans="1:4">
      <c r="A2085" s="8" t="s">
        <v>404</v>
      </c>
      <c r="B2085" s="5">
        <v>1030501</v>
      </c>
      <c r="C2085" s="5" t="s">
        <v>50</v>
      </c>
      <c r="D2085" s="3">
        <f>VLOOKUP(B2085,Sheet2!$A:$O,11,0)</f>
        <v>1127</v>
      </c>
    </row>
    <row r="2086" spans="1:4">
      <c r="A2086" s="8" t="s">
        <v>404</v>
      </c>
      <c r="B2086" s="5">
        <v>1030601</v>
      </c>
      <c r="C2086" s="5" t="s">
        <v>52</v>
      </c>
      <c r="D2086" s="3">
        <f>VLOOKUP(B2086,Sheet2!$A:$O,11,0)</f>
        <v>3000</v>
      </c>
    </row>
    <row r="2087" spans="1:4">
      <c r="A2087" s="8" t="s">
        <v>404</v>
      </c>
      <c r="B2087" s="5">
        <v>1030701</v>
      </c>
      <c r="C2087" s="5" t="s">
        <v>221</v>
      </c>
      <c r="D2087" s="3">
        <f>VLOOKUP(B2087,Sheet2!$A:$O,11,0)</f>
        <v>3000</v>
      </c>
    </row>
    <row r="2088" spans="1:4">
      <c r="A2088" s="8" t="s">
        <v>404</v>
      </c>
      <c r="B2088" s="5">
        <v>1030705</v>
      </c>
      <c r="C2088" s="5" t="s">
        <v>222</v>
      </c>
      <c r="D2088" s="3">
        <f>VLOOKUP(B2088,Sheet2!$A:$O,11,0)</f>
        <v>0</v>
      </c>
    </row>
    <row r="2089" spans="1:4">
      <c r="A2089" s="8" t="s">
        <v>404</v>
      </c>
      <c r="B2089" s="5">
        <v>1030801</v>
      </c>
      <c r="C2089" s="5" t="s">
        <v>54</v>
      </c>
      <c r="D2089" s="3">
        <f>VLOOKUP(B2089,Sheet2!$A:$O,11,0)</f>
        <v>1373</v>
      </c>
    </row>
    <row r="2090" spans="1:4">
      <c r="A2090" s="8" t="s">
        <v>404</v>
      </c>
      <c r="B2090" s="5">
        <v>1030901</v>
      </c>
      <c r="C2090" s="5" t="s">
        <v>223</v>
      </c>
      <c r="D2090" s="3">
        <f>VLOOKUP(B2090,Sheet2!$A:$O,11,0)</f>
        <v>0</v>
      </c>
    </row>
    <row r="2091" spans="1:4">
      <c r="A2091" s="8" t="s">
        <v>404</v>
      </c>
      <c r="B2091" s="5">
        <v>1040201</v>
      </c>
      <c r="C2091" s="5" t="s">
        <v>56</v>
      </c>
      <c r="D2091" s="3">
        <f>VLOOKUP(B2091,Sheet2!$A:$O,11,0)</f>
        <v>1450</v>
      </c>
    </row>
    <row r="2092" spans="1:4">
      <c r="A2092" s="8" t="s">
        <v>404</v>
      </c>
      <c r="B2092" s="5">
        <v>1040202</v>
      </c>
      <c r="C2092" s="5" t="s">
        <v>224</v>
      </c>
      <c r="D2092" s="3">
        <f>VLOOKUP(B2092,Sheet2!$A:$O,11,0)</f>
        <v>0</v>
      </c>
    </row>
    <row r="2093" spans="1:4">
      <c r="A2093" s="8" t="s">
        <v>404</v>
      </c>
      <c r="B2093" s="5">
        <v>1040203</v>
      </c>
      <c r="C2093" s="5" t="s">
        <v>225</v>
      </c>
      <c r="D2093" s="3">
        <f>VLOOKUP(B2093,Sheet2!$A:$O,11,0)</f>
        <v>0</v>
      </c>
    </row>
    <row r="2094" spans="1:4">
      <c r="A2094" s="8" t="s">
        <v>404</v>
      </c>
      <c r="B2094" s="5">
        <v>1040204</v>
      </c>
      <c r="C2094" s="5" t="s">
        <v>226</v>
      </c>
      <c r="D2094" s="3">
        <f>VLOOKUP(B2094,Sheet2!$A:$O,11,0)</f>
        <v>7917</v>
      </c>
    </row>
    <row r="2095" spans="1:4">
      <c r="A2095" s="8" t="s">
        <v>404</v>
      </c>
      <c r="B2095" s="5">
        <v>1040301</v>
      </c>
      <c r="C2095" s="5" t="s">
        <v>58</v>
      </c>
      <c r="D2095" s="3">
        <f>VLOOKUP(B2095,Sheet2!$A:$O,11,0)</f>
        <v>1650</v>
      </c>
    </row>
    <row r="2096" spans="1:4">
      <c r="A2096" s="8" t="s">
        <v>404</v>
      </c>
      <c r="B2096" s="5">
        <v>1040401</v>
      </c>
      <c r="C2096" s="5" t="s">
        <v>227</v>
      </c>
      <c r="D2096" s="3">
        <f>VLOOKUP(B2096,Sheet2!$A:$O,11,0)</f>
        <v>0</v>
      </c>
    </row>
    <row r="2097" spans="1:4">
      <c r="A2097" s="8" t="s">
        <v>404</v>
      </c>
      <c r="B2097" s="5">
        <v>1050102</v>
      </c>
      <c r="C2097" s="5" t="s">
        <v>60</v>
      </c>
      <c r="D2097" s="3">
        <f>VLOOKUP(B2097,Sheet2!$A:$O,11,0)</f>
        <v>29500</v>
      </c>
    </row>
    <row r="2098" spans="1:4">
      <c r="A2098" s="8" t="s">
        <v>404</v>
      </c>
      <c r="B2098" s="5">
        <v>1050103</v>
      </c>
      <c r="C2098" s="5" t="s">
        <v>228</v>
      </c>
      <c r="D2098" s="3">
        <f>VLOOKUP(B2098,Sheet2!$A:$O,11,0)</f>
        <v>11275</v>
      </c>
    </row>
    <row r="2099" spans="1:4">
      <c r="A2099" s="8" t="s">
        <v>404</v>
      </c>
      <c r="B2099" s="5">
        <v>1050301</v>
      </c>
      <c r="C2099" s="5" t="s">
        <v>62</v>
      </c>
      <c r="D2099" s="3">
        <f>VLOOKUP(B2099,Sheet2!$A:$O,11,0)</f>
        <v>9804</v>
      </c>
    </row>
    <row r="2100" spans="1:4">
      <c r="A2100" s="8" t="s">
        <v>404</v>
      </c>
      <c r="B2100" s="5">
        <v>1050401</v>
      </c>
      <c r="C2100" s="5" t="s">
        <v>64</v>
      </c>
      <c r="D2100" s="3">
        <f>VLOOKUP(B2100,Sheet2!$A:$O,11,0)</f>
        <v>8824</v>
      </c>
    </row>
    <row r="2101" spans="1:4">
      <c r="A2101" s="8" t="s">
        <v>404</v>
      </c>
      <c r="B2101" s="5">
        <v>1050501</v>
      </c>
      <c r="C2101" s="5" t="s">
        <v>66</v>
      </c>
      <c r="D2101" s="3">
        <f>VLOOKUP(B2101,Sheet2!$A:$O,11,0)</f>
        <v>10784</v>
      </c>
    </row>
    <row r="2102" spans="1:4">
      <c r="A2102" s="8" t="s">
        <v>404</v>
      </c>
      <c r="B2102" s="5">
        <v>1050511</v>
      </c>
      <c r="C2102" s="5" t="s">
        <v>68</v>
      </c>
      <c r="D2102" s="3">
        <f>VLOOKUP(B2102,Sheet2!$A:$O,11,0)</f>
        <v>18000</v>
      </c>
    </row>
    <row r="2103" spans="1:4">
      <c r="A2103" s="8" t="s">
        <v>404</v>
      </c>
      <c r="B2103" s="5">
        <v>1050512</v>
      </c>
      <c r="C2103" s="5" t="s">
        <v>229</v>
      </c>
      <c r="D2103" s="3">
        <f>VLOOKUP(B2103,Sheet2!$A:$O,11,0)</f>
        <v>0</v>
      </c>
    </row>
    <row r="2104" spans="1:4">
      <c r="A2104" s="8" t="s">
        <v>404</v>
      </c>
      <c r="B2104" s="5">
        <v>1050521</v>
      </c>
      <c r="C2104" s="5" t="s">
        <v>70</v>
      </c>
      <c r="D2104" s="3">
        <f>VLOOKUP(B2104,Sheet2!$A:$O,11,0)</f>
        <v>14706</v>
      </c>
    </row>
    <row r="2105" spans="1:4">
      <c r="A2105" s="8" t="s">
        <v>404</v>
      </c>
      <c r="B2105" s="5">
        <v>1050531</v>
      </c>
      <c r="C2105" s="5" t="s">
        <v>72</v>
      </c>
      <c r="D2105" s="3">
        <f>VLOOKUP(B2105,Sheet2!$A:$O,11,0)</f>
        <v>21000</v>
      </c>
    </row>
    <row r="2106" spans="1:4">
      <c r="A2106" s="8" t="s">
        <v>404</v>
      </c>
      <c r="B2106" s="5">
        <v>1050541</v>
      </c>
      <c r="C2106" s="5" t="s">
        <v>74</v>
      </c>
      <c r="D2106" s="3">
        <f>VLOOKUP(B2106,Sheet2!$A:$O,11,0)</f>
        <v>11000</v>
      </c>
    </row>
    <row r="2107" spans="1:4">
      <c r="A2107" s="8" t="s">
        <v>404</v>
      </c>
      <c r="B2107" s="5">
        <v>1050551</v>
      </c>
      <c r="C2107" s="5" t="s">
        <v>76</v>
      </c>
      <c r="D2107" s="3">
        <f>VLOOKUP(B2107,Sheet2!$A:$O,11,0)</f>
        <v>54000</v>
      </c>
    </row>
    <row r="2108" spans="1:4">
      <c r="A2108" s="8" t="s">
        <v>404</v>
      </c>
      <c r="B2108" s="5">
        <v>1050561</v>
      </c>
      <c r="C2108" s="5" t="s">
        <v>78</v>
      </c>
      <c r="D2108" s="3">
        <f>VLOOKUP(B2108,Sheet2!$A:$O,11,0)</f>
        <v>77321</v>
      </c>
    </row>
    <row r="2109" spans="1:4">
      <c r="A2109" s="8" t="s">
        <v>404</v>
      </c>
      <c r="B2109" s="5">
        <v>1050571</v>
      </c>
      <c r="C2109" s="5" t="s">
        <v>80</v>
      </c>
      <c r="D2109" s="3">
        <f>VLOOKUP(B2109,Sheet2!$A:$O,11,0)</f>
        <v>58000</v>
      </c>
    </row>
    <row r="2110" spans="1:4">
      <c r="A2110" s="8" t="s">
        <v>404</v>
      </c>
      <c r="B2110" s="5">
        <v>1050581</v>
      </c>
      <c r="C2110" s="5" t="s">
        <v>82</v>
      </c>
      <c r="D2110" s="3">
        <f>VLOOKUP(B2110,Sheet2!$A:$O,11,0)</f>
        <v>57000</v>
      </c>
    </row>
    <row r="2111" spans="1:4">
      <c r="A2111" s="8" t="s">
        <v>404</v>
      </c>
      <c r="B2111" s="5">
        <v>1050591</v>
      </c>
      <c r="C2111" s="5" t="s">
        <v>84</v>
      </c>
      <c r="D2111" s="3">
        <f>VLOOKUP(B2111,Sheet2!$A:$O,11,0)</f>
        <v>97750</v>
      </c>
    </row>
    <row r="2112" spans="1:4">
      <c r="A2112" s="8" t="s">
        <v>404</v>
      </c>
      <c r="B2112" s="5">
        <v>1050601</v>
      </c>
      <c r="C2112" s="5" t="s">
        <v>86</v>
      </c>
      <c r="D2112" s="3">
        <f>VLOOKUP(B2112,Sheet2!$A:$O,11,0)</f>
        <v>5900</v>
      </c>
    </row>
    <row r="2113" spans="1:4">
      <c r="A2113" s="8" t="s">
        <v>404</v>
      </c>
      <c r="B2113" s="5">
        <v>1050701</v>
      </c>
      <c r="C2113" s="5" t="s">
        <v>88</v>
      </c>
      <c r="D2113" s="3">
        <f>VLOOKUP(B2113,Sheet2!$A:$O,11,0)</f>
        <v>5700</v>
      </c>
    </row>
    <row r="2114" spans="1:4">
      <c r="A2114" s="8" t="s">
        <v>404</v>
      </c>
      <c r="B2114" s="5">
        <v>1050702</v>
      </c>
      <c r="C2114" s="5" t="s">
        <v>90</v>
      </c>
      <c r="D2114" s="3">
        <f>VLOOKUP(B2114,Sheet2!$A:$O,11,0)</f>
        <v>6000</v>
      </c>
    </row>
    <row r="2115" spans="1:4">
      <c r="A2115" s="8" t="s">
        <v>404</v>
      </c>
      <c r="B2115" s="5">
        <v>1050711</v>
      </c>
      <c r="C2115" s="5" t="s">
        <v>92</v>
      </c>
      <c r="D2115" s="3">
        <f>VLOOKUP(B2115,Sheet2!$A:$O,11,0)</f>
        <v>2900</v>
      </c>
    </row>
    <row r="2116" spans="1:4">
      <c r="A2116" s="8" t="s">
        <v>404</v>
      </c>
      <c r="B2116" s="5">
        <v>1050721</v>
      </c>
      <c r="C2116" s="5" t="s">
        <v>94</v>
      </c>
      <c r="D2116" s="3">
        <f>VLOOKUP(B2116,Sheet2!$A:$O,11,0)</f>
        <v>14800</v>
      </c>
    </row>
    <row r="2117" spans="1:4">
      <c r="A2117" s="8" t="s">
        <v>404</v>
      </c>
      <c r="B2117" s="5">
        <v>1050801</v>
      </c>
      <c r="C2117" s="5" t="s">
        <v>7</v>
      </c>
      <c r="D2117" s="3">
        <f>VLOOKUP(B2117,Sheet2!$A:$O,11,0)</f>
        <v>1006</v>
      </c>
    </row>
    <row r="2118" spans="1:4">
      <c r="A2118" s="8" t="s">
        <v>404</v>
      </c>
      <c r="B2118" s="5">
        <v>1050901</v>
      </c>
      <c r="C2118" s="5" t="s">
        <v>96</v>
      </c>
      <c r="D2118" s="3">
        <f>VLOOKUP(B2118,Sheet2!$A:$O,11,0)</f>
        <v>1283</v>
      </c>
    </row>
    <row r="2119" spans="1:4">
      <c r="A2119" s="8" t="s">
        <v>404</v>
      </c>
      <c r="B2119" s="5">
        <v>1060101</v>
      </c>
      <c r="C2119" s="5" t="s">
        <v>98</v>
      </c>
      <c r="D2119" s="3">
        <f>VLOOKUP(B2119,Sheet2!$A:$O,11,0)</f>
        <v>2195</v>
      </c>
    </row>
    <row r="2120" spans="1:4">
      <c r="A2120" s="8" t="s">
        <v>404</v>
      </c>
      <c r="B2120" s="5">
        <v>1060401</v>
      </c>
      <c r="C2120" s="5" t="s">
        <v>100</v>
      </c>
      <c r="D2120" s="3">
        <f>VLOOKUP(B2120,Sheet2!$A:$O,11,0)</f>
        <v>71000</v>
      </c>
    </row>
    <row r="2121" spans="1:4">
      <c r="A2121" s="8" t="s">
        <v>404</v>
      </c>
      <c r="B2121" s="5">
        <v>1060412</v>
      </c>
      <c r="C2121" s="5" t="s">
        <v>230</v>
      </c>
      <c r="D2121" s="3">
        <f>VLOOKUP(B2121,Sheet2!$A:$O,11,0)</f>
        <v>33000</v>
      </c>
    </row>
    <row r="2122" spans="1:4">
      <c r="A2122" s="8" t="s">
        <v>404</v>
      </c>
      <c r="B2122" s="5">
        <v>1060421</v>
      </c>
      <c r="C2122" s="5" t="s">
        <v>104</v>
      </c>
      <c r="D2122" s="3">
        <f>VLOOKUP(B2122,Sheet2!$A:$O,11,0)</f>
        <v>130000</v>
      </c>
    </row>
    <row r="2123" spans="1:4">
      <c r="A2123" s="8" t="s">
        <v>404</v>
      </c>
      <c r="B2123" s="5">
        <v>1060441</v>
      </c>
      <c r="C2123" s="5" t="s">
        <v>106</v>
      </c>
      <c r="D2123" s="3">
        <f>VLOOKUP(B2123,Sheet2!$A:$O,11,0)</f>
        <v>6500</v>
      </c>
    </row>
    <row r="2124" spans="1:4">
      <c r="A2124" s="8" t="s">
        <v>404</v>
      </c>
      <c r="B2124" s="5">
        <v>1060451</v>
      </c>
      <c r="C2124" s="5" t="s">
        <v>108</v>
      </c>
      <c r="D2124" s="3">
        <f>VLOOKUP(B2124,Sheet2!$A:$O,11,0)</f>
        <v>38235</v>
      </c>
    </row>
    <row r="2125" spans="1:4">
      <c r="A2125" s="8" t="s">
        <v>404</v>
      </c>
      <c r="B2125" s="5">
        <v>1070101</v>
      </c>
      <c r="C2125" s="5" t="s">
        <v>110</v>
      </c>
      <c r="D2125" s="3">
        <f>VLOOKUP(B2125,Sheet2!$A:$O,11,0)</f>
        <v>3820</v>
      </c>
    </row>
    <row r="2126" spans="1:4">
      <c r="A2126" s="8" t="s">
        <v>404</v>
      </c>
      <c r="B2126" s="5">
        <v>1070301</v>
      </c>
      <c r="C2126" s="5" t="s">
        <v>112</v>
      </c>
      <c r="D2126" s="3">
        <f>VLOOKUP(B2126,Sheet2!$A:$O,11,0)</f>
        <v>35000</v>
      </c>
    </row>
    <row r="2127" spans="1:4">
      <c r="A2127" s="8" t="s">
        <v>404</v>
      </c>
      <c r="B2127" s="5">
        <v>1070401</v>
      </c>
      <c r="C2127" s="5" t="s">
        <v>114</v>
      </c>
      <c r="D2127" s="3">
        <f>VLOOKUP(B2127,Sheet2!$A:$O,11,0)</f>
        <v>12000</v>
      </c>
    </row>
    <row r="2128" spans="1:4">
      <c r="A2128" s="8" t="s">
        <v>404</v>
      </c>
      <c r="B2128" s="5">
        <v>1070501</v>
      </c>
      <c r="C2128" s="5" t="s">
        <v>231</v>
      </c>
      <c r="D2128" s="3">
        <f>VLOOKUP(B2128,Sheet2!$A:$O,11,0)</f>
        <v>5500</v>
      </c>
    </row>
    <row r="2129" spans="1:4">
      <c r="A2129" s="8" t="s">
        <v>404</v>
      </c>
      <c r="B2129" s="5">
        <v>1070701</v>
      </c>
      <c r="C2129" s="5" t="s">
        <v>118</v>
      </c>
      <c r="D2129" s="3">
        <f>VLOOKUP(B2129,Sheet2!$A:$O,11,0)</f>
        <v>36000</v>
      </c>
    </row>
    <row r="2130" spans="1:4">
      <c r="A2130" s="8" t="s">
        <v>404</v>
      </c>
      <c r="B2130" s="5">
        <v>1070801</v>
      </c>
      <c r="C2130" s="5" t="s">
        <v>232</v>
      </c>
      <c r="D2130" s="3">
        <f>VLOOKUP(B2130,Sheet2!$A:$O,11,0)</f>
        <v>35000</v>
      </c>
    </row>
    <row r="2131" spans="1:4">
      <c r="A2131" s="8" t="s">
        <v>404</v>
      </c>
      <c r="B2131" s="5">
        <v>1080101</v>
      </c>
      <c r="C2131" s="5" t="s">
        <v>120</v>
      </c>
      <c r="D2131" s="3">
        <f>VLOOKUP(B2131,Sheet2!$A:$O,11,0)</f>
        <v>11000</v>
      </c>
    </row>
    <row r="2132" spans="1:4">
      <c r="A2132" s="8" t="s">
        <v>404</v>
      </c>
      <c r="B2132" s="5">
        <v>1080201</v>
      </c>
      <c r="C2132" s="5" t="s">
        <v>122</v>
      </c>
      <c r="D2132" s="3">
        <f>VLOOKUP(B2132,Sheet2!$A:$O,11,0)</f>
        <v>540</v>
      </c>
    </row>
    <row r="2133" spans="1:4">
      <c r="A2133" s="8" t="s">
        <v>404</v>
      </c>
      <c r="B2133" s="5">
        <v>1080301</v>
      </c>
      <c r="C2133" s="5" t="s">
        <v>124</v>
      </c>
      <c r="D2133" s="3">
        <f>VLOOKUP(B2133,Sheet2!$A:$O,11,0)</f>
        <v>1550</v>
      </c>
    </row>
    <row r="2134" spans="1:4">
      <c r="A2134" s="8" t="s">
        <v>404</v>
      </c>
      <c r="B2134" s="5">
        <v>1080401</v>
      </c>
      <c r="C2134" s="5" t="s">
        <v>233</v>
      </c>
      <c r="D2134" s="3">
        <f>VLOOKUP(B2134,Sheet2!$A:$O,11,0)</f>
        <v>3300</v>
      </c>
    </row>
    <row r="2135" spans="1:4">
      <c r="A2135" s="8" t="s">
        <v>404</v>
      </c>
      <c r="B2135" s="5">
        <v>1080411</v>
      </c>
      <c r="C2135" s="5" t="s">
        <v>128</v>
      </c>
      <c r="D2135" s="3">
        <f>VLOOKUP(B2135,Sheet2!$A:$O,11,0)</f>
        <v>3300</v>
      </c>
    </row>
    <row r="2136" spans="1:4">
      <c r="A2136" s="8" t="s">
        <v>404</v>
      </c>
      <c r="B2136" s="5">
        <v>1080501</v>
      </c>
      <c r="C2136" s="5" t="s">
        <v>130</v>
      </c>
      <c r="D2136" s="3">
        <f>VLOOKUP(B2136,Sheet2!$A:$O,11,0)</f>
        <v>3800</v>
      </c>
    </row>
    <row r="2137" spans="1:4">
      <c r="A2137" s="8" t="s">
        <v>404</v>
      </c>
      <c r="B2137" s="5">
        <v>1080602</v>
      </c>
      <c r="C2137" s="5" t="s">
        <v>234</v>
      </c>
      <c r="D2137" s="3">
        <f>VLOOKUP(B2137,Sheet2!$A:$O,11,0)</f>
        <v>38600</v>
      </c>
    </row>
    <row r="2138" spans="1:4">
      <c r="A2138" s="8" t="s">
        <v>404</v>
      </c>
      <c r="B2138" s="5">
        <v>1080604</v>
      </c>
      <c r="C2138" s="5" t="s">
        <v>235</v>
      </c>
      <c r="D2138" s="3">
        <f>VLOOKUP(B2138,Sheet2!$A:$O,11,0)</f>
        <v>0</v>
      </c>
    </row>
    <row r="2139" spans="1:4">
      <c r="A2139" s="8" t="s">
        <v>404</v>
      </c>
      <c r="B2139" s="5">
        <v>1080702</v>
      </c>
      <c r="C2139" s="5" t="s">
        <v>236</v>
      </c>
      <c r="D2139" s="3">
        <f>VLOOKUP(B2139,Sheet2!$A:$O,11,0)</f>
        <v>43500</v>
      </c>
    </row>
    <row r="2140" spans="1:4">
      <c r="A2140" s="8" t="s">
        <v>404</v>
      </c>
      <c r="B2140" s="5">
        <v>1080704</v>
      </c>
      <c r="C2140" s="5" t="s">
        <v>237</v>
      </c>
      <c r="D2140" s="3">
        <f>VLOOKUP(B2140,Sheet2!$A:$O,11,0)</f>
        <v>0</v>
      </c>
    </row>
    <row r="2141" spans="1:4">
      <c r="A2141" s="8" t="s">
        <v>404</v>
      </c>
      <c r="B2141" s="5">
        <v>1090104</v>
      </c>
      <c r="C2141" s="5" t="s">
        <v>136</v>
      </c>
      <c r="D2141" s="3">
        <f>VLOOKUP(B2141,Sheet2!$A:$O,11,0)</f>
        <v>40000</v>
      </c>
    </row>
    <row r="2142" spans="1:4">
      <c r="A2142" s="8" t="s">
        <v>404</v>
      </c>
      <c r="B2142" s="5">
        <v>1090112</v>
      </c>
      <c r="C2142" s="5" t="s">
        <v>138</v>
      </c>
      <c r="D2142" s="3">
        <f>VLOOKUP(B2142,Sheet2!$A:$O,11,0)</f>
        <v>35000</v>
      </c>
    </row>
    <row r="2143" spans="1:4">
      <c r="A2143" s="8" t="s">
        <v>404</v>
      </c>
      <c r="B2143" s="5">
        <v>1090201</v>
      </c>
      <c r="C2143" s="5" t="s">
        <v>140</v>
      </c>
      <c r="D2143" s="3">
        <f>VLOOKUP(B2143,Sheet2!$A:$O,11,0)</f>
        <v>15800</v>
      </c>
    </row>
    <row r="2144" spans="1:4">
      <c r="A2144" s="8" t="s">
        <v>404</v>
      </c>
      <c r="B2144" s="5">
        <v>1090202</v>
      </c>
      <c r="C2144" s="5" t="s">
        <v>142</v>
      </c>
      <c r="D2144" s="3">
        <f>VLOOKUP(B2144,Sheet2!$A:$O,11,0)</f>
        <v>98000</v>
      </c>
    </row>
    <row r="2145" spans="1:4">
      <c r="A2145" s="8" t="s">
        <v>404</v>
      </c>
      <c r="B2145" s="5">
        <v>1090203</v>
      </c>
      <c r="C2145" s="5" t="s">
        <v>144</v>
      </c>
      <c r="D2145" s="3">
        <f>VLOOKUP(B2145,Sheet2!$A:$O,11,0)</f>
        <v>23000</v>
      </c>
    </row>
    <row r="2146" spans="1:4">
      <c r="A2146" s="8" t="s">
        <v>404</v>
      </c>
      <c r="B2146" s="5">
        <v>1090211</v>
      </c>
      <c r="C2146" s="5" t="s">
        <v>146</v>
      </c>
      <c r="D2146" s="3">
        <f>VLOOKUP(B2146,Sheet2!$A:$O,11,0)</f>
        <v>67647</v>
      </c>
    </row>
    <row r="2147" spans="1:4">
      <c r="A2147" s="8" t="s">
        <v>404</v>
      </c>
      <c r="B2147" s="5">
        <v>1090301</v>
      </c>
      <c r="C2147" s="5" t="s">
        <v>238</v>
      </c>
      <c r="D2147" s="3">
        <f>VLOOKUP(B2147,Sheet2!$A:$O,11,0)</f>
        <v>32000</v>
      </c>
    </row>
    <row r="2148" spans="1:4">
      <c r="A2148" s="8" t="s">
        <v>404</v>
      </c>
      <c r="B2148" s="5">
        <v>1090311</v>
      </c>
      <c r="C2148" s="5" t="s">
        <v>150</v>
      </c>
      <c r="D2148" s="3">
        <f>VLOOKUP(B2148,Sheet2!$A:$O,11,0)</f>
        <v>37000</v>
      </c>
    </row>
    <row r="2149" spans="1:4">
      <c r="A2149" s="8" t="s">
        <v>404</v>
      </c>
      <c r="B2149" s="5">
        <v>1090321</v>
      </c>
      <c r="C2149" s="5" t="s">
        <v>152</v>
      </c>
      <c r="D2149" s="3">
        <f>VLOOKUP(B2149,Sheet2!$A:$O,11,0)</f>
        <v>66000</v>
      </c>
    </row>
    <row r="2150" spans="1:4">
      <c r="A2150" s="8" t="s">
        <v>404</v>
      </c>
      <c r="B2150" s="5">
        <v>1090401</v>
      </c>
      <c r="C2150" s="5" t="s">
        <v>154</v>
      </c>
      <c r="D2150" s="3">
        <f>VLOOKUP(B2150,Sheet2!$A:$O,11,0)</f>
        <v>8300</v>
      </c>
    </row>
    <row r="2151" spans="1:4">
      <c r="A2151" s="8" t="s">
        <v>404</v>
      </c>
      <c r="B2151" s="5">
        <v>1090411</v>
      </c>
      <c r="C2151" s="5" t="s">
        <v>156</v>
      </c>
      <c r="D2151" s="3">
        <f>VLOOKUP(B2151,Sheet2!$A:$O,11,0)</f>
        <v>45000</v>
      </c>
    </row>
    <row r="2152" spans="1:4">
      <c r="A2152" s="8" t="s">
        <v>404</v>
      </c>
      <c r="B2152" s="5">
        <v>1090421</v>
      </c>
      <c r="C2152" s="5" t="s">
        <v>158</v>
      </c>
      <c r="D2152" s="3">
        <f>VLOOKUP(B2152,Sheet2!$A:$O,11,0)</f>
        <v>36000</v>
      </c>
    </row>
    <row r="2153" spans="1:4">
      <c r="A2153" s="8" t="s">
        <v>404</v>
      </c>
      <c r="B2153" s="5">
        <v>1090551</v>
      </c>
      <c r="C2153" s="5" t="s">
        <v>239</v>
      </c>
      <c r="D2153" s="3">
        <f>VLOOKUP(B2153,Sheet2!$A:$O,11,0)</f>
        <v>4900</v>
      </c>
    </row>
    <row r="2154" spans="1:4">
      <c r="A2154" s="8" t="s">
        <v>404</v>
      </c>
      <c r="B2154" s="5">
        <v>1090602</v>
      </c>
      <c r="C2154" s="5" t="s">
        <v>162</v>
      </c>
      <c r="D2154" s="3">
        <f>VLOOKUP(B2154,Sheet2!$A:$O,11,0)</f>
        <v>5130</v>
      </c>
    </row>
    <row r="2155" spans="1:4">
      <c r="A2155" s="8" t="s">
        <v>404</v>
      </c>
      <c r="B2155" s="5">
        <v>1090611</v>
      </c>
      <c r="C2155" s="5" t="s">
        <v>164</v>
      </c>
      <c r="D2155" s="3">
        <f>VLOOKUP(B2155,Sheet2!$A:$O,11,0)</f>
        <v>4190</v>
      </c>
    </row>
    <row r="2156" spans="1:4">
      <c r="A2156" s="8" t="s">
        <v>404</v>
      </c>
      <c r="B2156" s="5">
        <v>1090701</v>
      </c>
      <c r="C2156" s="5" t="s">
        <v>166</v>
      </c>
      <c r="D2156" s="3">
        <f>VLOOKUP(B2156,Sheet2!$A:$O,11,0)</f>
        <v>21000</v>
      </c>
    </row>
    <row r="2157" spans="1:4">
      <c r="A2157" s="8" t="s">
        <v>404</v>
      </c>
      <c r="B2157" s="5">
        <v>1090901</v>
      </c>
      <c r="C2157" s="5" t="s">
        <v>168</v>
      </c>
      <c r="D2157" s="3">
        <f>VLOOKUP(B2157,Sheet2!$A:$O,11,0)</f>
        <v>4300</v>
      </c>
    </row>
    <row r="2158" spans="1:4">
      <c r="A2158" s="8" t="s">
        <v>404</v>
      </c>
      <c r="B2158" s="5">
        <v>1091001</v>
      </c>
      <c r="C2158" s="5" t="s">
        <v>170</v>
      </c>
      <c r="D2158" s="3">
        <f>VLOOKUP(B2158,Sheet2!$A:$O,11,0)</f>
        <v>7000</v>
      </c>
    </row>
    <row r="2159" spans="1:4">
      <c r="A2159" s="8" t="s">
        <v>404</v>
      </c>
      <c r="B2159" s="5">
        <v>1091002</v>
      </c>
      <c r="C2159" s="5" t="s">
        <v>172</v>
      </c>
      <c r="D2159" s="3">
        <f>VLOOKUP(B2159,Sheet2!$A:$O,11,0)</f>
        <v>6304</v>
      </c>
    </row>
    <row r="2160" spans="1:4">
      <c r="A2160" s="8" t="s">
        <v>404</v>
      </c>
      <c r="B2160" s="5">
        <v>1091003</v>
      </c>
      <c r="C2160" s="5" t="s">
        <v>174</v>
      </c>
      <c r="D2160" s="3">
        <f>VLOOKUP(B2160,Sheet2!$A:$O,11,0)</f>
        <v>8173</v>
      </c>
    </row>
    <row r="2161" spans="1:4">
      <c r="A2161" s="8" t="s">
        <v>404</v>
      </c>
      <c r="B2161" s="5">
        <v>1091004</v>
      </c>
      <c r="C2161" s="5" t="s">
        <v>240</v>
      </c>
      <c r="D2161" s="3">
        <f>VLOOKUP(B2161,Sheet2!$A:$O,11,0)</f>
        <v>0</v>
      </c>
    </row>
    <row r="2162" spans="1:4">
      <c r="A2162" s="8" t="s">
        <v>404</v>
      </c>
      <c r="B2162" s="5">
        <v>1091005</v>
      </c>
      <c r="C2162" s="5" t="s">
        <v>241</v>
      </c>
      <c r="D2162" s="3">
        <f>VLOOKUP(B2162,Sheet2!$A:$O,11,0)</f>
        <v>0</v>
      </c>
    </row>
    <row r="2163" spans="1:4">
      <c r="A2163" s="8" t="s">
        <v>404</v>
      </c>
      <c r="B2163" s="5">
        <v>1091006</v>
      </c>
      <c r="C2163" s="5" t="s">
        <v>242</v>
      </c>
      <c r="D2163" s="3">
        <f>VLOOKUP(B2163,Sheet2!$A:$O,11,0)</f>
        <v>0</v>
      </c>
    </row>
    <row r="2164" spans="1:4">
      <c r="A2164" s="8" t="s">
        <v>404</v>
      </c>
      <c r="B2164" s="5">
        <v>1091007</v>
      </c>
      <c r="C2164" s="5" t="s">
        <v>243</v>
      </c>
      <c r="D2164" s="3">
        <f>VLOOKUP(B2164,Sheet2!$A:$O,11,0)</f>
        <v>2640</v>
      </c>
    </row>
    <row r="2165" spans="1:4">
      <c r="A2165" s="8" t="s">
        <v>404</v>
      </c>
      <c r="B2165" s="5">
        <v>1091008</v>
      </c>
      <c r="C2165" s="5" t="s">
        <v>176</v>
      </c>
      <c r="D2165" s="3">
        <f>VLOOKUP(B2165,Sheet2!$A:$O,11,0)</f>
        <v>0</v>
      </c>
    </row>
    <row r="2166" spans="1:4">
      <c r="A2166" s="8" t="s">
        <v>404</v>
      </c>
      <c r="B2166" s="5">
        <v>1091009</v>
      </c>
      <c r="C2166" s="5" t="s">
        <v>178</v>
      </c>
      <c r="D2166" s="3">
        <f>VLOOKUP(B2166,Sheet2!$A:$O,11,0)</f>
        <v>0</v>
      </c>
    </row>
    <row r="2167" spans="1:4">
      <c r="A2167" s="8" t="s">
        <v>404</v>
      </c>
      <c r="B2167" s="5">
        <v>1091010</v>
      </c>
      <c r="C2167" s="5" t="s">
        <v>180</v>
      </c>
      <c r="D2167" s="3">
        <f>VLOOKUP(B2167,Sheet2!$A:$O,11,0)</f>
        <v>27000</v>
      </c>
    </row>
    <row r="2168" spans="1:4">
      <c r="A2168" s="8" t="s">
        <v>404</v>
      </c>
      <c r="B2168" s="5">
        <v>1091011</v>
      </c>
      <c r="C2168" s="5" t="s">
        <v>182</v>
      </c>
      <c r="D2168" s="3">
        <f>VLOOKUP(B2168,Sheet2!$A:$O,11,0)</f>
        <v>33000</v>
      </c>
    </row>
    <row r="2169" spans="1:4">
      <c r="A2169" s="8" t="s">
        <v>404</v>
      </c>
      <c r="B2169" s="5">
        <v>1091012</v>
      </c>
      <c r="C2169" s="5" t="s">
        <v>184</v>
      </c>
      <c r="D2169" s="3">
        <f>VLOOKUP(B2169,Sheet2!$A:$O,11,0)</f>
        <v>47000</v>
      </c>
    </row>
    <row r="2170" spans="1:4">
      <c r="A2170" s="8" t="s">
        <v>404</v>
      </c>
      <c r="B2170" s="5">
        <v>1091013</v>
      </c>
      <c r="C2170" s="5" t="s">
        <v>186</v>
      </c>
      <c r="D2170" s="3">
        <f>VLOOKUP(B2170,Sheet2!$A:$O,11,0)</f>
        <v>33000</v>
      </c>
    </row>
    <row r="2171" spans="1:4">
      <c r="A2171" s="8" t="s">
        <v>404</v>
      </c>
      <c r="B2171" s="5">
        <v>1091014</v>
      </c>
      <c r="C2171" s="5" t="s">
        <v>244</v>
      </c>
      <c r="D2171" s="3">
        <f>VLOOKUP(B2171,Sheet2!$A:$O,11,0)</f>
        <v>6961</v>
      </c>
    </row>
    <row r="2172" spans="1:4">
      <c r="A2172" s="8" t="s">
        <v>404</v>
      </c>
      <c r="B2172" s="5">
        <v>1091015</v>
      </c>
      <c r="C2172" s="5" t="s">
        <v>245</v>
      </c>
      <c r="D2172" s="3">
        <f>VLOOKUP(B2172,Sheet2!$A:$O,11,0)</f>
        <v>28000</v>
      </c>
    </row>
    <row r="2173" spans="1:4">
      <c r="A2173" s="8" t="s">
        <v>404</v>
      </c>
      <c r="B2173" s="5">
        <v>1091016</v>
      </c>
      <c r="C2173" s="5" t="s">
        <v>246</v>
      </c>
      <c r="D2173" s="3">
        <f>VLOOKUP(B2173,Sheet2!$A:$O,11,0)</f>
        <v>54594</v>
      </c>
    </row>
    <row r="2174" spans="1:4">
      <c r="A2174" s="8" t="s">
        <v>404</v>
      </c>
      <c r="B2174" s="5">
        <v>1091017</v>
      </c>
      <c r="C2174" s="5" t="s">
        <v>247</v>
      </c>
      <c r="D2174" s="3">
        <f>VLOOKUP(B2174,Sheet2!$A:$O,11,0)</f>
        <v>74833</v>
      </c>
    </row>
    <row r="2175" spans="1:4">
      <c r="A2175" s="8" t="s">
        <v>404</v>
      </c>
      <c r="B2175" s="5">
        <v>1091018</v>
      </c>
      <c r="C2175" s="5" t="s">
        <v>248</v>
      </c>
      <c r="D2175" s="3">
        <f>VLOOKUP(B2175,Sheet2!$A:$O,11,0)</f>
        <v>33031</v>
      </c>
    </row>
    <row r="2176" spans="1:4">
      <c r="A2176" s="8" t="s">
        <v>404</v>
      </c>
      <c r="B2176" s="5">
        <v>1091019</v>
      </c>
      <c r="C2176" s="5" t="s">
        <v>249</v>
      </c>
      <c r="D2176" s="3">
        <f>VLOOKUP(B2176,Sheet2!$A:$O,11,0)</f>
        <v>53387</v>
      </c>
    </row>
    <row r="2177" spans="1:4">
      <c r="A2177" s="8" t="s">
        <v>404</v>
      </c>
      <c r="B2177" s="5">
        <v>1091020</v>
      </c>
      <c r="C2177" s="5" t="s">
        <v>250</v>
      </c>
      <c r="D2177" s="3">
        <f>VLOOKUP(B2177,Sheet2!$A:$O,11,0)</f>
        <v>100500</v>
      </c>
    </row>
    <row r="2178" spans="1:4">
      <c r="A2178" s="8" t="s">
        <v>404</v>
      </c>
      <c r="B2178" s="5">
        <v>1091021</v>
      </c>
      <c r="C2178" s="5" t="s">
        <v>251</v>
      </c>
      <c r="D2178" s="3">
        <f>VLOOKUP(B2178,Sheet2!$A:$O,11,0)</f>
        <v>50600</v>
      </c>
    </row>
    <row r="2179" spans="1:4">
      <c r="A2179" s="8" t="s">
        <v>404</v>
      </c>
      <c r="B2179" s="5">
        <v>1091022</v>
      </c>
      <c r="C2179" s="5" t="s">
        <v>252</v>
      </c>
      <c r="D2179" s="3">
        <f>VLOOKUP(B2179,Sheet2!$A:$O,11,0)</f>
        <v>3235</v>
      </c>
    </row>
    <row r="2180" spans="1:4">
      <c r="A2180" s="8" t="s">
        <v>404</v>
      </c>
      <c r="B2180" s="5">
        <v>1091023</v>
      </c>
      <c r="C2180" s="5" t="s">
        <v>253</v>
      </c>
      <c r="D2180" s="3">
        <f>VLOOKUP(B2180,Sheet2!$A:$O,11,0)</f>
        <v>4412</v>
      </c>
    </row>
    <row r="2181" spans="1:4">
      <c r="A2181" s="8" t="s">
        <v>404</v>
      </c>
      <c r="B2181" s="5">
        <v>1091024</v>
      </c>
      <c r="C2181" s="5" t="s">
        <v>254</v>
      </c>
      <c r="D2181" s="3">
        <f>VLOOKUP(B2181,Sheet2!$A:$O,11,0)</f>
        <v>3922</v>
      </c>
    </row>
    <row r="2182" spans="1:4">
      <c r="A2182" s="8" t="s">
        <v>404</v>
      </c>
      <c r="B2182" s="5">
        <v>1091025</v>
      </c>
      <c r="C2182" s="5" t="s">
        <v>255</v>
      </c>
      <c r="D2182" s="3">
        <f>VLOOKUP(B2182,Sheet2!$A:$O,11,0)</f>
        <v>6275</v>
      </c>
    </row>
    <row r="2183" spans="1:4">
      <c r="A2183" s="8" t="s">
        <v>404</v>
      </c>
      <c r="B2183" s="5">
        <v>1091026</v>
      </c>
      <c r="C2183" s="5" t="s">
        <v>256</v>
      </c>
      <c r="D2183" s="3">
        <f>VLOOKUP(B2183,Sheet2!$A:$O,11,0)</f>
        <v>30686</v>
      </c>
    </row>
    <row r="2184" spans="1:4">
      <c r="A2184" s="8" t="s">
        <v>404</v>
      </c>
      <c r="B2184" s="5">
        <v>1600101</v>
      </c>
      <c r="C2184" s="5" t="s">
        <v>188</v>
      </c>
      <c r="D2184" s="3">
        <f>VLOOKUP(B2184,Sheet2!$A:$O,11,0)</f>
        <v>2545</v>
      </c>
    </row>
    <row r="2185" spans="1:4">
      <c r="A2185" s="8" t="s">
        <v>404</v>
      </c>
      <c r="B2185" s="5">
        <v>1600102</v>
      </c>
      <c r="C2185" s="5" t="s">
        <v>257</v>
      </c>
      <c r="D2185" s="3">
        <f>VLOOKUP(B2185,Sheet2!$A:$O,11,0)</f>
        <v>36275</v>
      </c>
    </row>
    <row r="2186" spans="1:4">
      <c r="A2186" s="8" t="s">
        <v>404</v>
      </c>
      <c r="B2186" s="5">
        <v>1600103</v>
      </c>
      <c r="C2186" s="5" t="s">
        <v>258</v>
      </c>
      <c r="D2186" s="3">
        <f>VLOOKUP(B2186,Sheet2!$A:$O,11,0)</f>
        <v>19800</v>
      </c>
    </row>
    <row r="2187" spans="1:4">
      <c r="A2187" s="8" t="s">
        <v>404</v>
      </c>
      <c r="B2187" s="5">
        <v>1600104</v>
      </c>
      <c r="C2187" s="5" t="s">
        <v>259</v>
      </c>
      <c r="D2187" s="3">
        <f>VLOOKUP(B2187,Sheet2!$A:$O,11,0)</f>
        <v>65000</v>
      </c>
    </row>
    <row r="2188" spans="1:4">
      <c r="A2188" s="8" t="s">
        <v>404</v>
      </c>
      <c r="B2188" s="5">
        <v>1600105</v>
      </c>
      <c r="C2188" s="5" t="s">
        <v>260</v>
      </c>
      <c r="D2188" s="3">
        <f>VLOOKUP(B2188,Sheet2!$A:$O,11,0)</f>
        <v>83950</v>
      </c>
    </row>
    <row r="2189" spans="1:4">
      <c r="A2189" s="8" t="s">
        <v>404</v>
      </c>
      <c r="B2189" s="5">
        <v>1600106</v>
      </c>
      <c r="C2189" s="5" t="s">
        <v>261</v>
      </c>
      <c r="D2189" s="3">
        <f>VLOOKUP(B2189,Sheet2!$A:$O,11,0)</f>
        <v>108071</v>
      </c>
    </row>
    <row r="2190" spans="1:4">
      <c r="A2190" s="8" t="s">
        <v>404</v>
      </c>
      <c r="B2190" s="5">
        <v>1600107</v>
      </c>
      <c r="C2190" s="5" t="s">
        <v>262</v>
      </c>
      <c r="D2190" s="3">
        <f>VLOOKUP(B2190,Sheet2!$A:$O,11,0)</f>
        <v>86601</v>
      </c>
    </row>
    <row r="2191" spans="1:4">
      <c r="A2191" s="8" t="s">
        <v>404</v>
      </c>
      <c r="B2191" s="5">
        <v>1600108</v>
      </c>
      <c r="C2191" s="5" t="s">
        <v>263</v>
      </c>
      <c r="D2191" s="3">
        <f>VLOOKUP(B2191,Sheet2!$A:$O,11,0)</f>
        <v>74041</v>
      </c>
    </row>
    <row r="2192" spans="1:4">
      <c r="A2192" s="8" t="s">
        <v>404</v>
      </c>
      <c r="B2192" s="5">
        <v>1600109</v>
      </c>
      <c r="C2192" s="5" t="s">
        <v>264</v>
      </c>
      <c r="D2192" s="3">
        <f>VLOOKUP(B2192,Sheet2!$A:$O,11,0)</f>
        <v>5882</v>
      </c>
    </row>
    <row r="2193" spans="1:4">
      <c r="A2193" s="8" t="s">
        <v>404</v>
      </c>
      <c r="B2193" s="5">
        <v>1600110</v>
      </c>
      <c r="C2193" s="5" t="s">
        <v>265</v>
      </c>
      <c r="D2193" s="3">
        <f>VLOOKUP(B2193,Sheet2!$A:$O,11,0)</f>
        <v>7917</v>
      </c>
    </row>
    <row r="2194" spans="1:4">
      <c r="A2194" s="8" t="s">
        <v>404</v>
      </c>
      <c r="B2194" s="5">
        <v>1600111</v>
      </c>
      <c r="C2194" s="5" t="s">
        <v>266</v>
      </c>
      <c r="D2194" s="3">
        <f>VLOOKUP(B2194,Sheet2!$A:$O,11,0)</f>
        <v>2266</v>
      </c>
    </row>
    <row r="2195" spans="1:4">
      <c r="A2195" s="8" t="s">
        <v>404</v>
      </c>
      <c r="B2195" s="5">
        <v>1600112</v>
      </c>
      <c r="C2195" s="5" t="s">
        <v>190</v>
      </c>
      <c r="D2195" s="3">
        <f>VLOOKUP(B2195,Sheet2!$A:$O,11,0)</f>
        <v>4800</v>
      </c>
    </row>
    <row r="2196" spans="1:4">
      <c r="A2196" s="8" t="s">
        <v>404</v>
      </c>
      <c r="B2196" s="5">
        <v>1600113</v>
      </c>
      <c r="C2196" s="5" t="s">
        <v>267</v>
      </c>
      <c r="D2196" s="3">
        <f>VLOOKUP(B2196,Sheet2!$A:$O,11,0)</f>
        <v>0</v>
      </c>
    </row>
    <row r="2197" spans="1:4">
      <c r="A2197" s="8" t="s">
        <v>404</v>
      </c>
      <c r="B2197" s="5">
        <v>1600114</v>
      </c>
      <c r="C2197" s="5" t="s">
        <v>268</v>
      </c>
      <c r="D2197" s="3">
        <f>VLOOKUP(B2197,Sheet2!$A:$O,11,0)</f>
        <v>10140</v>
      </c>
    </row>
    <row r="2198" spans="1:4">
      <c r="A2198" s="8" t="s">
        <v>404</v>
      </c>
      <c r="B2198" s="5">
        <v>1700001</v>
      </c>
      <c r="C2198" s="5" t="s">
        <v>269</v>
      </c>
      <c r="D2198" s="3">
        <f>VLOOKUP(B2198,Sheet2!$A:$O,11,0)</f>
        <v>4681</v>
      </c>
    </row>
    <row r="2199" spans="1:4">
      <c r="A2199" s="8" t="s">
        <v>404</v>
      </c>
      <c r="B2199" s="5">
        <v>1700002</v>
      </c>
      <c r="C2199" s="5" t="s">
        <v>270</v>
      </c>
      <c r="D2199" s="3">
        <f>VLOOKUP(B2199,Sheet2!$A:$O,11,0)</f>
        <v>3726</v>
      </c>
    </row>
    <row r="2200" spans="1:4">
      <c r="A2200" s="8" t="s">
        <v>404</v>
      </c>
      <c r="B2200" s="5">
        <v>1700003</v>
      </c>
      <c r="C2200" s="5" t="s">
        <v>271</v>
      </c>
      <c r="D2200" s="3">
        <f>VLOOKUP(B2200,Sheet2!$A:$O,11,0)</f>
        <v>4902</v>
      </c>
    </row>
    <row r="2201" spans="1:4">
      <c r="A2201" s="8" t="s">
        <v>404</v>
      </c>
      <c r="B2201" s="5">
        <v>1700004</v>
      </c>
      <c r="C2201" s="5" t="s">
        <v>272</v>
      </c>
      <c r="D2201" s="3">
        <f>VLOOKUP(B2201,Sheet2!$A:$O,11,0)</f>
        <v>13137</v>
      </c>
    </row>
    <row r="2202" spans="1:4">
      <c r="A2202" s="8" t="s">
        <v>404</v>
      </c>
      <c r="B2202" s="5">
        <v>1700005</v>
      </c>
      <c r="C2202" s="5" t="s">
        <v>192</v>
      </c>
      <c r="D2202" s="3">
        <f>VLOOKUP(B2202,Sheet2!$A:$O,11,0)</f>
        <v>1765</v>
      </c>
    </row>
    <row r="2203" spans="1:4">
      <c r="A2203" s="8" t="s">
        <v>404</v>
      </c>
      <c r="B2203" s="5">
        <v>1700006</v>
      </c>
      <c r="C2203" s="5" t="s">
        <v>273</v>
      </c>
      <c r="D2203" s="3">
        <f>VLOOKUP(B2203,Sheet2!$A:$O,11,0)</f>
        <v>6676</v>
      </c>
    </row>
    <row r="2204" spans="1:4">
      <c r="A2204" s="8" t="s">
        <v>404</v>
      </c>
      <c r="B2204" s="5">
        <v>1700007</v>
      </c>
      <c r="C2204" s="5" t="s">
        <v>274</v>
      </c>
      <c r="D2204" s="3">
        <f>VLOOKUP(B2204,Sheet2!$A:$O,11,0)</f>
        <v>0</v>
      </c>
    </row>
    <row r="2205" spans="1:4">
      <c r="A2205" s="8" t="s">
        <v>404</v>
      </c>
      <c r="B2205" s="5">
        <v>1700008</v>
      </c>
      <c r="C2205" s="5" t="s">
        <v>275</v>
      </c>
      <c r="D2205" s="3">
        <f>VLOOKUP(B2205,Sheet2!$A:$O,11,0)</f>
        <v>0</v>
      </c>
    </row>
    <row r="2206" spans="1:4">
      <c r="A2206" s="8" t="s">
        <v>404</v>
      </c>
      <c r="B2206" s="5">
        <v>1700009</v>
      </c>
      <c r="C2206" s="5" t="s">
        <v>276</v>
      </c>
      <c r="D2206" s="3">
        <f>VLOOKUP(B2206,Sheet2!$A:$O,11,0)</f>
        <v>0</v>
      </c>
    </row>
    <row r="2207" spans="1:4">
      <c r="A2207" s="8" t="s">
        <v>404</v>
      </c>
      <c r="B2207" s="5">
        <v>1700010</v>
      </c>
      <c r="C2207" s="5" t="s">
        <v>277</v>
      </c>
      <c r="D2207" s="3">
        <f>VLOOKUP(B2207,Sheet2!$A:$O,11,0)</f>
        <v>3630</v>
      </c>
    </row>
    <row r="2208" spans="1:4">
      <c r="A2208" s="8" t="s">
        <v>404</v>
      </c>
      <c r="B2208" s="5">
        <v>1700011</v>
      </c>
      <c r="C2208" s="5" t="s">
        <v>278</v>
      </c>
      <c r="D2208" s="3">
        <f>VLOOKUP(B2208,Sheet2!$A:$O,11,0)</f>
        <v>11961</v>
      </c>
    </row>
    <row r="2209" spans="1:4">
      <c r="A2209" s="8" t="s">
        <v>404</v>
      </c>
      <c r="B2209" s="5">
        <v>1700012</v>
      </c>
      <c r="C2209" s="5" t="s">
        <v>279</v>
      </c>
      <c r="D2209" s="3">
        <f>VLOOKUP(B2209,Sheet2!$A:$O,11,0)</f>
        <v>13235</v>
      </c>
    </row>
    <row r="2210" spans="1:4">
      <c r="A2210" s="8" t="s">
        <v>404</v>
      </c>
      <c r="B2210" s="5">
        <v>1700013</v>
      </c>
      <c r="C2210" s="5" t="s">
        <v>280</v>
      </c>
      <c r="D2210" s="3">
        <f>VLOOKUP(B2210,Sheet2!$A:$O,11,0)</f>
        <v>18137</v>
      </c>
    </row>
    <row r="2211" spans="1:4">
      <c r="A2211" s="8" t="s">
        <v>404</v>
      </c>
      <c r="B2211" s="5">
        <v>1700014</v>
      </c>
      <c r="C2211" s="5" t="s">
        <v>194</v>
      </c>
      <c r="D2211" s="3">
        <f>VLOOKUP(B2211,Sheet2!$A:$O,11,0)</f>
        <v>2255</v>
      </c>
    </row>
    <row r="2212" spans="1:4">
      <c r="A2212" s="8" t="s">
        <v>404</v>
      </c>
      <c r="B2212" s="5">
        <v>1700015</v>
      </c>
      <c r="C2212" s="5" t="s">
        <v>281</v>
      </c>
      <c r="D2212" s="3">
        <f>VLOOKUP(B2212,Sheet2!$A:$O,11,0)</f>
        <v>5160</v>
      </c>
    </row>
    <row r="2213" spans="1:4">
      <c r="A2213" s="8" t="s">
        <v>404</v>
      </c>
      <c r="B2213" s="5">
        <v>1700016</v>
      </c>
      <c r="C2213" s="5" t="s">
        <v>282</v>
      </c>
      <c r="D2213" s="3">
        <f>VLOOKUP(B2213,Sheet2!$A:$O,11,0)</f>
        <v>3637</v>
      </c>
    </row>
    <row r="2214" spans="1:4">
      <c r="A2214" s="8" t="s">
        <v>404</v>
      </c>
      <c r="B2214" s="5">
        <v>1700017</v>
      </c>
      <c r="C2214" s="5" t="s">
        <v>283</v>
      </c>
      <c r="D2214" s="3">
        <f>VLOOKUP(B2214,Sheet2!$A:$O,11,0)</f>
        <v>10784</v>
      </c>
    </row>
    <row r="2215" spans="1:4">
      <c r="A2215" s="8" t="s">
        <v>404</v>
      </c>
      <c r="B2215" s="5">
        <v>1700018</v>
      </c>
      <c r="C2215" s="5" t="s">
        <v>284</v>
      </c>
      <c r="D2215" s="3">
        <f>VLOOKUP(B2215,Sheet2!$A:$O,11,0)</f>
        <v>3820</v>
      </c>
    </row>
    <row r="2216" spans="1:4">
      <c r="A2216" s="8" t="s">
        <v>404</v>
      </c>
      <c r="B2216" s="5">
        <v>1700019</v>
      </c>
      <c r="C2216" s="5" t="s">
        <v>285</v>
      </c>
      <c r="D2216" s="3">
        <f>VLOOKUP(B2216,Sheet2!$A:$O,11,0)</f>
        <v>0</v>
      </c>
    </row>
    <row r="2217" spans="1:4">
      <c r="A2217" s="8" t="s">
        <v>404</v>
      </c>
      <c r="B2217" s="5">
        <v>1700020</v>
      </c>
      <c r="C2217" s="5" t="s">
        <v>286</v>
      </c>
      <c r="D2217" s="3">
        <f>VLOOKUP(B2217,Sheet2!$A:$O,11,0)</f>
        <v>49412</v>
      </c>
    </row>
    <row r="2218" spans="1:4">
      <c r="A2218" s="8" t="s">
        <v>404</v>
      </c>
      <c r="B2218" s="5">
        <v>1700021</v>
      </c>
      <c r="C2218" s="5" t="s">
        <v>287</v>
      </c>
      <c r="D2218" s="3">
        <f>VLOOKUP(B2218,Sheet2!$A:$O,11,0)</f>
        <v>76843</v>
      </c>
    </row>
    <row r="2219" spans="1:4">
      <c r="A2219" s="8" t="s">
        <v>404</v>
      </c>
      <c r="B2219" s="5">
        <v>1700022</v>
      </c>
      <c r="C2219" s="5" t="s">
        <v>288</v>
      </c>
      <c r="D2219" s="3">
        <f>VLOOKUP(B2219,Sheet2!$A:$O,11,0)</f>
        <v>27726</v>
      </c>
    </row>
    <row r="2220" spans="1:4">
      <c r="A2220" s="8" t="s">
        <v>404</v>
      </c>
      <c r="B2220" s="5">
        <v>1700023</v>
      </c>
      <c r="C2220" s="5" t="s">
        <v>289</v>
      </c>
      <c r="D2220" s="3">
        <f>VLOOKUP(B2220,Sheet2!$A:$O,11,0)</f>
        <v>8251</v>
      </c>
    </row>
    <row r="2221" spans="1:4">
      <c r="A2221" s="8" t="s">
        <v>404</v>
      </c>
      <c r="B2221" s="5">
        <v>1700024</v>
      </c>
      <c r="C2221" s="5" t="s">
        <v>290</v>
      </c>
      <c r="D2221" s="3">
        <f>VLOOKUP(B2221,Sheet2!$A:$O,11,0)</f>
        <v>0</v>
      </c>
    </row>
    <row r="2222" spans="1:4">
      <c r="A2222" s="8" t="s">
        <v>404</v>
      </c>
      <c r="B2222" s="5">
        <v>1700025</v>
      </c>
      <c r="C2222" s="5" t="s">
        <v>291</v>
      </c>
      <c r="D2222" s="3">
        <f>VLOOKUP(B2222,Sheet2!$A:$O,11,0)</f>
        <v>1961</v>
      </c>
    </row>
    <row r="2223" spans="1:4">
      <c r="A2223" s="8" t="s">
        <v>404</v>
      </c>
      <c r="B2223" s="5">
        <v>1700026</v>
      </c>
      <c r="C2223" s="5" t="s">
        <v>292</v>
      </c>
      <c r="D2223" s="3">
        <f>VLOOKUP(B2223,Sheet2!$A:$O,11,0)</f>
        <v>4412</v>
      </c>
    </row>
    <row r="2224" spans="1:4">
      <c r="A2224" s="8" t="s">
        <v>404</v>
      </c>
      <c r="B2224" s="5">
        <v>1700027</v>
      </c>
      <c r="C2224" s="5" t="s">
        <v>293</v>
      </c>
      <c r="D2224" s="3">
        <f>VLOOKUP(B2224,Sheet2!$A:$O,11,0)</f>
        <v>4412</v>
      </c>
    </row>
    <row r="2225" spans="1:4">
      <c r="A2225" s="8" t="s">
        <v>404</v>
      </c>
      <c r="B2225" s="5">
        <v>1700028</v>
      </c>
      <c r="C2225" s="5" t="s">
        <v>294</v>
      </c>
      <c r="D2225" s="3">
        <f>VLOOKUP(B2225,Sheet2!$A:$O,11,0)</f>
        <v>9500</v>
      </c>
    </row>
    <row r="2226" spans="1:4">
      <c r="A2226" s="8" t="s">
        <v>404</v>
      </c>
      <c r="B2226" s="5">
        <v>1700029</v>
      </c>
      <c r="C2226" s="5" t="s">
        <v>295</v>
      </c>
      <c r="D2226" s="3">
        <f>VLOOKUP(B2226,Sheet2!$A:$O,11,0)</f>
        <v>10670</v>
      </c>
    </row>
    <row r="2227" spans="1:4">
      <c r="A2227" s="8" t="s">
        <v>404</v>
      </c>
      <c r="B2227" s="5">
        <v>1700030</v>
      </c>
      <c r="C2227" s="5" t="s">
        <v>296</v>
      </c>
      <c r="D2227" s="3">
        <f>VLOOKUP(B2227,Sheet2!$A:$O,11,0)</f>
        <v>12720</v>
      </c>
    </row>
    <row r="2228" spans="1:4">
      <c r="A2228" s="8" t="s">
        <v>404</v>
      </c>
      <c r="B2228" s="5">
        <v>1700031</v>
      </c>
      <c r="C2228" s="5" t="s">
        <v>196</v>
      </c>
      <c r="D2228" s="3">
        <f>VLOOKUP(B2228,Sheet2!$A:$O,11,0)</f>
        <v>1961</v>
      </c>
    </row>
    <row r="2229" spans="1:4">
      <c r="A2229" s="8" t="s">
        <v>404</v>
      </c>
      <c r="B2229" s="5">
        <v>1700032</v>
      </c>
      <c r="C2229" s="5" t="s">
        <v>297</v>
      </c>
      <c r="D2229" s="3">
        <f>VLOOKUP(B2229,Sheet2!$A:$O,11,0)</f>
        <v>0</v>
      </c>
    </row>
    <row r="2230" spans="1:4">
      <c r="A2230" s="8" t="s">
        <v>404</v>
      </c>
      <c r="B2230" s="5">
        <v>1700033</v>
      </c>
      <c r="C2230" s="5" t="s">
        <v>298</v>
      </c>
      <c r="D2230" s="3">
        <f>VLOOKUP(B2230,Sheet2!$A:$O,11,0)</f>
        <v>0</v>
      </c>
    </row>
    <row r="2231" spans="1:4">
      <c r="A2231" s="8" t="s">
        <v>404</v>
      </c>
      <c r="B2231" s="5">
        <v>1700034</v>
      </c>
      <c r="C2231" s="5" t="s">
        <v>299</v>
      </c>
      <c r="D2231" s="3">
        <f>VLOOKUP(B2231,Sheet2!$A:$O,11,0)</f>
        <v>17475</v>
      </c>
    </row>
    <row r="2232" spans="1:4">
      <c r="A2232" s="8" t="s">
        <v>404</v>
      </c>
      <c r="B2232" s="5">
        <v>1700035</v>
      </c>
      <c r="C2232" s="5" t="s">
        <v>300</v>
      </c>
      <c r="D2232" s="3">
        <f>VLOOKUP(B2232,Sheet2!$A:$O,11,0)</f>
        <v>64367</v>
      </c>
    </row>
    <row r="2233" spans="1:4">
      <c r="A2233" s="8" t="s">
        <v>404</v>
      </c>
      <c r="B2233" s="5">
        <v>1700036</v>
      </c>
      <c r="C2233" s="5" t="s">
        <v>301</v>
      </c>
      <c r="D2233" s="3">
        <f>VLOOKUP(B2233,Sheet2!$A:$O,11,0)</f>
        <v>5200</v>
      </c>
    </row>
    <row r="2234" spans="1:4">
      <c r="A2234" s="8" t="s">
        <v>404</v>
      </c>
      <c r="B2234" s="5">
        <v>1700037</v>
      </c>
      <c r="C2234" s="5" t="s">
        <v>302</v>
      </c>
      <c r="D2234" s="3">
        <f>VLOOKUP(B2234,Sheet2!$A:$O,11,0)</f>
        <v>7533</v>
      </c>
    </row>
    <row r="2235" spans="1:4">
      <c r="A2235" s="8" t="s">
        <v>404</v>
      </c>
      <c r="B2235" s="5">
        <v>1700038</v>
      </c>
      <c r="C2235" s="5" t="s">
        <v>303</v>
      </c>
      <c r="D2235" s="3">
        <f>VLOOKUP(B2235,Sheet2!$A:$O,11,0)</f>
        <v>2500</v>
      </c>
    </row>
    <row r="2236" spans="1:4">
      <c r="A2236" s="8" t="s">
        <v>404</v>
      </c>
      <c r="B2236" s="5">
        <v>1700039</v>
      </c>
      <c r="C2236" s="5" t="s">
        <v>304</v>
      </c>
      <c r="D2236" s="3">
        <f>VLOOKUP(B2236,Sheet2!$A:$O,11,0)</f>
        <v>2431</v>
      </c>
    </row>
    <row r="2237" spans="1:4">
      <c r="A2237" s="8" t="s">
        <v>404</v>
      </c>
      <c r="B2237" s="5">
        <v>1700040</v>
      </c>
      <c r="C2237" s="5" t="s">
        <v>305</v>
      </c>
      <c r="D2237" s="3">
        <f>VLOOKUP(B2237,Sheet2!$A:$O,11,0)</f>
        <v>1967</v>
      </c>
    </row>
    <row r="2238" spans="1:4">
      <c r="A2238" s="8" t="s">
        <v>404</v>
      </c>
      <c r="B2238" s="5">
        <v>1700041</v>
      </c>
      <c r="C2238" s="5" t="s">
        <v>306</v>
      </c>
      <c r="D2238" s="3">
        <f>VLOOKUP(B2238,Sheet2!$A:$O,11,0)</f>
        <v>3000</v>
      </c>
    </row>
    <row r="2239" spans="1:4">
      <c r="A2239" s="8" t="s">
        <v>404</v>
      </c>
      <c r="B2239" s="5">
        <v>1700042</v>
      </c>
      <c r="C2239" s="5" t="s">
        <v>307</v>
      </c>
      <c r="D2239" s="3">
        <f>VLOOKUP(B2239,Sheet2!$A:$O,11,0)</f>
        <v>3211</v>
      </c>
    </row>
    <row r="2240" spans="1:4">
      <c r="A2240" s="8" t="s">
        <v>404</v>
      </c>
      <c r="B2240" s="5">
        <v>1700043</v>
      </c>
      <c r="C2240" s="5" t="s">
        <v>308</v>
      </c>
      <c r="D2240" s="3">
        <f>VLOOKUP(B2240,Sheet2!$A:$O,11,0)</f>
        <v>5877</v>
      </c>
    </row>
    <row r="2241" spans="1:4">
      <c r="A2241" s="8" t="s">
        <v>404</v>
      </c>
      <c r="B2241" s="5">
        <v>1700044</v>
      </c>
      <c r="C2241" s="5" t="s">
        <v>309</v>
      </c>
      <c r="D2241" s="3">
        <f>VLOOKUP(B2241,Sheet2!$A:$O,11,0)</f>
        <v>7000</v>
      </c>
    </row>
    <row r="2242" spans="1:4">
      <c r="A2242" s="8" t="s">
        <v>404</v>
      </c>
      <c r="B2242" s="5">
        <v>1700045</v>
      </c>
      <c r="C2242" s="5" t="s">
        <v>310</v>
      </c>
      <c r="D2242" s="3">
        <f>VLOOKUP(B2242,Sheet2!$A:$O,11,0)</f>
        <v>3461</v>
      </c>
    </row>
    <row r="2243" spans="1:4">
      <c r="A2243" s="8" t="s">
        <v>404</v>
      </c>
      <c r="B2243" s="5">
        <v>1700046</v>
      </c>
      <c r="C2243" s="5" t="s">
        <v>311</v>
      </c>
      <c r="D2243" s="3">
        <f>VLOOKUP(B2243,Sheet2!$A:$O,11,0)</f>
        <v>6863</v>
      </c>
    </row>
    <row r="2244" spans="1:4">
      <c r="A2244" s="8" t="s">
        <v>404</v>
      </c>
      <c r="B2244" s="5">
        <v>1700047</v>
      </c>
      <c r="C2244" s="5" t="s">
        <v>312</v>
      </c>
      <c r="D2244" s="3">
        <f>VLOOKUP(B2244,Sheet2!$A:$O,11,0)</f>
        <v>22150</v>
      </c>
    </row>
    <row r="2245" spans="1:4">
      <c r="A2245" s="8" t="s">
        <v>404</v>
      </c>
      <c r="B2245" s="5">
        <v>1700048</v>
      </c>
      <c r="C2245" s="5" t="s">
        <v>313</v>
      </c>
      <c r="D2245" s="3">
        <f>VLOOKUP(B2245,Sheet2!$A:$O,11,0)</f>
        <v>13330</v>
      </c>
    </row>
    <row r="2246" spans="1:4">
      <c r="A2246" s="8" t="s">
        <v>404</v>
      </c>
      <c r="B2246" s="5">
        <v>1700049</v>
      </c>
      <c r="C2246" s="5" t="s">
        <v>314</v>
      </c>
      <c r="D2246" s="3">
        <f>VLOOKUP(B2246,Sheet2!$A:$O,11,0)</f>
        <v>5785</v>
      </c>
    </row>
    <row r="2247" spans="1:4">
      <c r="A2247" s="8" t="s">
        <v>404</v>
      </c>
      <c r="B2247" s="5">
        <v>1700050</v>
      </c>
      <c r="C2247" s="5" t="s">
        <v>315</v>
      </c>
      <c r="D2247" s="3">
        <f>VLOOKUP(B2247,Sheet2!$A:$O,11,0)</f>
        <v>39000</v>
      </c>
    </row>
    <row r="2248" spans="1:4">
      <c r="A2248" s="8" t="s">
        <v>404</v>
      </c>
      <c r="B2248" s="5">
        <v>1700051</v>
      </c>
      <c r="C2248" s="5" t="s">
        <v>316</v>
      </c>
      <c r="D2248" s="3">
        <f>VLOOKUP(B2248,Sheet2!$A:$O,11,0)</f>
        <v>11500</v>
      </c>
    </row>
    <row r="2249" spans="1:4">
      <c r="A2249" s="8" t="s">
        <v>404</v>
      </c>
      <c r="B2249" s="5">
        <v>1700052</v>
      </c>
      <c r="C2249" s="5" t="s">
        <v>317</v>
      </c>
      <c r="D2249" s="3">
        <f>VLOOKUP(B2249,Sheet2!$A:$O,11,0)</f>
        <v>3444</v>
      </c>
    </row>
    <row r="2250" spans="1:4">
      <c r="A2250" s="8" t="s">
        <v>404</v>
      </c>
      <c r="B2250" s="5">
        <v>1700053</v>
      </c>
      <c r="C2250" s="5" t="s">
        <v>318</v>
      </c>
      <c r="D2250" s="3">
        <f>VLOOKUP(B2250,Sheet2!$A:$O,11,0)</f>
        <v>15530</v>
      </c>
    </row>
    <row r="2251" spans="1:4">
      <c r="A2251" s="8" t="s">
        <v>404</v>
      </c>
      <c r="B2251" s="5">
        <v>1700054</v>
      </c>
      <c r="C2251" s="5" t="s">
        <v>319</v>
      </c>
      <c r="D2251" s="3">
        <f>VLOOKUP(B2251,Sheet2!$A:$O,11,0)</f>
        <v>11670</v>
      </c>
    </row>
    <row r="2252" spans="1:4">
      <c r="A2252" s="8" t="s">
        <v>404</v>
      </c>
      <c r="B2252" s="5">
        <v>1700055</v>
      </c>
      <c r="C2252" s="5" t="s">
        <v>320</v>
      </c>
      <c r="D2252" s="3">
        <f>VLOOKUP(B2252,Sheet2!$A:$O,11,0)</f>
        <v>11940</v>
      </c>
    </row>
    <row r="2253" spans="1:4">
      <c r="A2253" s="8" t="s">
        <v>404</v>
      </c>
      <c r="B2253" s="5">
        <v>1700056</v>
      </c>
      <c r="C2253" s="5" t="s">
        <v>321</v>
      </c>
      <c r="D2253" s="3">
        <f>VLOOKUP(B2253,Sheet2!$A:$O,11,0)</f>
        <v>6226</v>
      </c>
    </row>
    <row r="2254" spans="1:4">
      <c r="A2254" s="8" t="s">
        <v>404</v>
      </c>
      <c r="B2254" s="5">
        <v>1700057</v>
      </c>
      <c r="C2254" s="5" t="s">
        <v>322</v>
      </c>
      <c r="D2254" s="3">
        <f>VLOOKUP(B2254,Sheet2!$A:$O,11,0)</f>
        <v>2098</v>
      </c>
    </row>
    <row r="2255" spans="1:4">
      <c r="A2255" s="8" t="s">
        <v>404</v>
      </c>
      <c r="B2255" s="5">
        <v>1700058</v>
      </c>
      <c r="C2255" s="5" t="s">
        <v>323</v>
      </c>
      <c r="D2255" s="3">
        <f>VLOOKUP(B2255,Sheet2!$A:$O,11,0)</f>
        <v>5800</v>
      </c>
    </row>
    <row r="2256" spans="1:4">
      <c r="A2256" s="8" t="s">
        <v>404</v>
      </c>
      <c r="B2256" s="5">
        <v>1700059</v>
      </c>
      <c r="C2256" s="5" t="s">
        <v>324</v>
      </c>
      <c r="D2256" s="3">
        <f>VLOOKUP(B2256,Sheet2!$A:$O,11,0)</f>
        <v>27667</v>
      </c>
    </row>
    <row r="2257" spans="1:4">
      <c r="A2257" s="8" t="s">
        <v>404</v>
      </c>
      <c r="B2257" s="5">
        <v>1700060</v>
      </c>
      <c r="C2257" s="5" t="s">
        <v>325</v>
      </c>
      <c r="D2257" s="3">
        <f>VLOOKUP(B2257,Sheet2!$A:$O,11,0)</f>
        <v>3402</v>
      </c>
    </row>
    <row r="2258" spans="1:4">
      <c r="A2258" s="8" t="s">
        <v>404</v>
      </c>
      <c r="B2258" s="5">
        <v>1700061</v>
      </c>
      <c r="C2258" s="5" t="s">
        <v>326</v>
      </c>
      <c r="D2258" s="3">
        <f>VLOOKUP(B2258,Sheet2!$A:$O,11,0)</f>
        <v>8920</v>
      </c>
    </row>
    <row r="2259" spans="1:4">
      <c r="A2259" s="8" t="s">
        <v>404</v>
      </c>
      <c r="B2259" s="5">
        <v>1700062</v>
      </c>
      <c r="C2259" s="5" t="s">
        <v>327</v>
      </c>
      <c r="D2259" s="3">
        <f>VLOOKUP(B2259,Sheet2!$A:$O,11,0)</f>
        <v>10520</v>
      </c>
    </row>
    <row r="2260" spans="1:4">
      <c r="A2260" s="8" t="s">
        <v>404</v>
      </c>
      <c r="B2260" s="5">
        <v>1700063</v>
      </c>
      <c r="C2260" s="5" t="s">
        <v>328</v>
      </c>
      <c r="D2260" s="3">
        <f>VLOOKUP(B2260,Sheet2!$A:$O,11,0)</f>
        <v>10550</v>
      </c>
    </row>
    <row r="2261" spans="1:4">
      <c r="A2261" s="8" t="s">
        <v>404</v>
      </c>
      <c r="B2261" s="5">
        <v>1700064</v>
      </c>
      <c r="C2261" s="5" t="s">
        <v>329</v>
      </c>
      <c r="D2261" s="3">
        <f>VLOOKUP(B2261,Sheet2!$A:$O,11,0)</f>
        <v>11060</v>
      </c>
    </row>
    <row r="2262" spans="1:4">
      <c r="A2262" s="8" t="s">
        <v>404</v>
      </c>
      <c r="B2262" s="5">
        <v>1700065</v>
      </c>
      <c r="C2262" s="5" t="s">
        <v>330</v>
      </c>
      <c r="D2262" s="3">
        <f>VLOOKUP(B2262,Sheet2!$A:$O,11,0)</f>
        <v>12760</v>
      </c>
    </row>
    <row r="2263" spans="1:4">
      <c r="A2263" s="8" t="s">
        <v>404</v>
      </c>
      <c r="B2263" s="5">
        <v>1700066</v>
      </c>
      <c r="C2263" s="5" t="s">
        <v>331</v>
      </c>
      <c r="D2263" s="3">
        <f>VLOOKUP(B2263,Sheet2!$A:$O,11,0)</f>
        <v>13200</v>
      </c>
    </row>
    <row r="2264" spans="1:4">
      <c r="A2264" s="8" t="s">
        <v>404</v>
      </c>
      <c r="B2264" s="5">
        <v>1700067</v>
      </c>
      <c r="C2264" s="5" t="s">
        <v>332</v>
      </c>
      <c r="D2264" s="3">
        <f>VLOOKUP(B2264,Sheet2!$A:$O,11,0)</f>
        <v>10720</v>
      </c>
    </row>
    <row r="2265" spans="1:4">
      <c r="A2265" s="8" t="s">
        <v>404</v>
      </c>
      <c r="B2265" s="5">
        <v>1700068</v>
      </c>
      <c r="C2265" s="5" t="s">
        <v>333</v>
      </c>
      <c r="D2265" s="3">
        <f>VLOOKUP(B2265,Sheet2!$A:$O,11,0)</f>
        <v>12720</v>
      </c>
    </row>
    <row r="2266" spans="1:4">
      <c r="A2266" s="8" t="s">
        <v>404</v>
      </c>
      <c r="B2266" s="5">
        <v>1700069</v>
      </c>
      <c r="C2266" s="5" t="s">
        <v>334</v>
      </c>
      <c r="D2266" s="3">
        <f>VLOOKUP(B2266,Sheet2!$A:$O,11,0)</f>
        <v>14000</v>
      </c>
    </row>
    <row r="2267" spans="1:4">
      <c r="A2267" s="8" t="s">
        <v>404</v>
      </c>
      <c r="B2267" s="5">
        <v>1700070</v>
      </c>
      <c r="C2267" s="5" t="s">
        <v>335</v>
      </c>
      <c r="D2267" s="3">
        <f>VLOOKUP(B2267,Sheet2!$A:$O,11,0)</f>
        <v>1618</v>
      </c>
    </row>
    <row r="2268" spans="1:4">
      <c r="A2268" s="8" t="s">
        <v>404</v>
      </c>
      <c r="B2268" s="5">
        <v>1700071</v>
      </c>
      <c r="C2268" s="5" t="s">
        <v>336</v>
      </c>
      <c r="D2268" s="3">
        <f>VLOOKUP(B2268,Sheet2!$A:$O,11,0)</f>
        <v>12190</v>
      </c>
    </row>
    <row r="2269" spans="1:4">
      <c r="A2269" s="8" t="s">
        <v>404</v>
      </c>
      <c r="B2269" s="5">
        <v>1700072</v>
      </c>
      <c r="C2269" s="5" t="s">
        <v>337</v>
      </c>
      <c r="D2269" s="3">
        <f>VLOOKUP(B2269,Sheet2!$A:$O,11,0)</f>
        <v>10180</v>
      </c>
    </row>
    <row r="2270" spans="1:4">
      <c r="A2270" s="8" t="s">
        <v>404</v>
      </c>
      <c r="B2270" s="5">
        <v>1700073</v>
      </c>
      <c r="C2270" s="5" t="s">
        <v>338</v>
      </c>
      <c r="D2270" s="3">
        <f>VLOOKUP(B2270,Sheet2!$A:$O,11,0)</f>
        <v>9020</v>
      </c>
    </row>
    <row r="2271" spans="1:4">
      <c r="A2271" s="8" t="s">
        <v>404</v>
      </c>
      <c r="B2271" s="5">
        <v>1700076</v>
      </c>
      <c r="C2271" s="5" t="s">
        <v>339</v>
      </c>
      <c r="D2271" s="3">
        <f>VLOOKUP(B2271,Sheet2!$A:$O,11,0)</f>
        <v>3187</v>
      </c>
    </row>
    <row r="2272" spans="1:4">
      <c r="A2272" s="8" t="s">
        <v>404</v>
      </c>
      <c r="B2272" s="5">
        <v>1700077</v>
      </c>
      <c r="C2272" s="5" t="s">
        <v>340</v>
      </c>
      <c r="D2272" s="3">
        <f>VLOOKUP(B2272,Sheet2!$A:$O,11,0)</f>
        <v>3015</v>
      </c>
    </row>
    <row r="2273" spans="1:4">
      <c r="A2273" s="8" t="s">
        <v>404</v>
      </c>
      <c r="B2273" s="5">
        <v>1700078</v>
      </c>
      <c r="C2273" s="5" t="s">
        <v>341</v>
      </c>
      <c r="D2273" s="3">
        <f>VLOOKUP(B2273,Sheet2!$A:$O,11,0)</f>
        <v>4716</v>
      </c>
    </row>
    <row r="2274" spans="1:4">
      <c r="A2274" s="8" t="s">
        <v>404</v>
      </c>
      <c r="B2274" s="5">
        <v>1700080</v>
      </c>
      <c r="C2274" s="5" t="s">
        <v>342</v>
      </c>
      <c r="D2274" s="3">
        <f>VLOOKUP(B2274,Sheet2!$A:$O,11,0)</f>
        <v>3529</v>
      </c>
    </row>
    <row r="2275" spans="1:4">
      <c r="A2275" s="8" t="s">
        <v>404</v>
      </c>
      <c r="B2275" s="5">
        <v>1700083</v>
      </c>
      <c r="C2275" s="5" t="s">
        <v>343</v>
      </c>
      <c r="D2275" s="3">
        <f>VLOOKUP(B2275,Sheet2!$A:$O,11,0)</f>
        <v>8333</v>
      </c>
    </row>
    <row r="2276" spans="1:4">
      <c r="A2276" s="8" t="s">
        <v>404</v>
      </c>
      <c r="B2276" s="5">
        <v>1700084</v>
      </c>
      <c r="C2276" s="5" t="s">
        <v>344</v>
      </c>
      <c r="D2276" s="3">
        <f>VLOOKUP(B2276,Sheet2!$A:$O,11,0)</f>
        <v>6282</v>
      </c>
    </row>
    <row r="2277" spans="1:4">
      <c r="A2277" s="8" t="s">
        <v>404</v>
      </c>
      <c r="B2277" s="5">
        <v>1700085</v>
      </c>
      <c r="C2277" s="5" t="s">
        <v>345</v>
      </c>
      <c r="D2277" s="3">
        <f>VLOOKUP(B2277,Sheet2!$A:$O,11,0)</f>
        <v>7860</v>
      </c>
    </row>
    <row r="2278" spans="1:4">
      <c r="A2278" s="8" t="s">
        <v>404</v>
      </c>
      <c r="B2278" s="5">
        <v>1700086</v>
      </c>
      <c r="C2278" s="5" t="s">
        <v>346</v>
      </c>
      <c r="D2278" s="3">
        <f>VLOOKUP(B2278,Sheet2!$A:$O,11,0)</f>
        <v>1814</v>
      </c>
    </row>
    <row r="2279" spans="1:4">
      <c r="A2279" s="8" t="s">
        <v>404</v>
      </c>
      <c r="B2279" s="5">
        <v>1700087</v>
      </c>
      <c r="C2279" s="5" t="s">
        <v>347</v>
      </c>
      <c r="D2279" s="3">
        <f>VLOOKUP(B2279,Sheet2!$A:$O,11,0)</f>
        <v>4890</v>
      </c>
    </row>
    <row r="2280" spans="1:4">
      <c r="A2280" s="8" t="s">
        <v>404</v>
      </c>
      <c r="B2280" s="5">
        <v>1700088</v>
      </c>
      <c r="C2280" s="5" t="s">
        <v>348</v>
      </c>
      <c r="D2280" s="3">
        <f>VLOOKUP(B2280,Sheet2!$A:$O,11,0)</f>
        <v>15500</v>
      </c>
    </row>
    <row r="2281" spans="1:4">
      <c r="A2281" s="8" t="s">
        <v>404</v>
      </c>
      <c r="B2281" s="5">
        <v>1700089</v>
      </c>
      <c r="C2281" s="5" t="s">
        <v>349</v>
      </c>
      <c r="D2281" s="3">
        <f>VLOOKUP(B2281,Sheet2!$A:$O,11,0)</f>
        <v>18500</v>
      </c>
    </row>
    <row r="2282" spans="1:4">
      <c r="A2282" s="8" t="s">
        <v>404</v>
      </c>
      <c r="B2282" s="5">
        <v>1700090</v>
      </c>
      <c r="C2282" s="5" t="s">
        <v>350</v>
      </c>
      <c r="D2282" s="3">
        <f>VLOOKUP(B2282,Sheet2!$A:$O,11,0)</f>
        <v>25490</v>
      </c>
    </row>
    <row r="2283" spans="1:4">
      <c r="A2283" s="8" t="s">
        <v>404</v>
      </c>
      <c r="B2283" s="5">
        <v>1700091</v>
      </c>
      <c r="C2283" s="5" t="s">
        <v>351</v>
      </c>
      <c r="D2283" s="3">
        <f>VLOOKUP(B2283,Sheet2!$A:$O,11,0)</f>
        <v>18353</v>
      </c>
    </row>
    <row r="2284" spans="1:4">
      <c r="A2284" s="8" t="s">
        <v>404</v>
      </c>
      <c r="B2284" s="5">
        <v>1700092</v>
      </c>
      <c r="C2284" s="5" t="s">
        <v>352</v>
      </c>
      <c r="D2284" s="3">
        <f>VLOOKUP(B2284,Sheet2!$A:$O,11,0)</f>
        <v>1922</v>
      </c>
    </row>
    <row r="2285" spans="1:4">
      <c r="A2285" s="8" t="s">
        <v>404</v>
      </c>
      <c r="B2285" s="5">
        <v>1700093</v>
      </c>
      <c r="C2285" s="5" t="s">
        <v>353</v>
      </c>
      <c r="D2285" s="3">
        <f>VLOOKUP(B2285,Sheet2!$A:$O,11,0)</f>
        <v>11180</v>
      </c>
    </row>
    <row r="2286" spans="1:4">
      <c r="A2286" s="8" t="s">
        <v>404</v>
      </c>
      <c r="B2286" s="5">
        <v>1700094</v>
      </c>
      <c r="C2286" s="5" t="s">
        <v>354</v>
      </c>
      <c r="D2286" s="3">
        <f>VLOOKUP(B2286,Sheet2!$A:$O,11,0)</f>
        <v>13529</v>
      </c>
    </row>
    <row r="2287" spans="1:4">
      <c r="A2287" s="8" t="s">
        <v>404</v>
      </c>
      <c r="B2287" s="5">
        <v>1700095</v>
      </c>
      <c r="C2287" s="5" t="s">
        <v>355</v>
      </c>
      <c r="D2287" s="3">
        <f>VLOOKUP(B2287,Sheet2!$A:$O,11,0)</f>
        <v>4500</v>
      </c>
    </row>
    <row r="2288" spans="1:4">
      <c r="A2288" s="8" t="s">
        <v>404</v>
      </c>
      <c r="B2288" s="5">
        <v>1700096</v>
      </c>
      <c r="C2288" s="5" t="s">
        <v>356</v>
      </c>
      <c r="D2288" s="3">
        <f>VLOOKUP(B2288,Sheet2!$A:$O,11,0)</f>
        <v>24510</v>
      </c>
    </row>
    <row r="2289" spans="1:4">
      <c r="A2289" s="8" t="s">
        <v>404</v>
      </c>
      <c r="B2289" s="5">
        <v>1700097</v>
      </c>
      <c r="C2289" s="5" t="s">
        <v>357</v>
      </c>
      <c r="D2289" s="3">
        <f>VLOOKUP(B2289,Sheet2!$A:$O,11,0)</f>
        <v>19608</v>
      </c>
    </row>
    <row r="2290" spans="1:4">
      <c r="A2290" s="8" t="s">
        <v>404</v>
      </c>
      <c r="B2290" s="5">
        <v>1700098</v>
      </c>
      <c r="C2290" s="5" t="s">
        <v>358</v>
      </c>
      <c r="D2290" s="3">
        <f>VLOOKUP(B2290,Sheet2!$A:$O,11,0)</f>
        <v>19608</v>
      </c>
    </row>
    <row r="2291" spans="1:4">
      <c r="A2291" s="8" t="s">
        <v>404</v>
      </c>
      <c r="B2291" s="5">
        <v>1700099</v>
      </c>
      <c r="C2291" s="5" t="s">
        <v>359</v>
      </c>
      <c r="D2291" s="3">
        <f>VLOOKUP(B2291,Sheet2!$A:$O,11,0)</f>
        <v>9000</v>
      </c>
    </row>
    <row r="2292" spans="1:4">
      <c r="A2292" s="8" t="s">
        <v>404</v>
      </c>
      <c r="B2292" s="5">
        <v>1700100</v>
      </c>
      <c r="C2292" s="5" t="s">
        <v>360</v>
      </c>
      <c r="D2292" s="3">
        <f>VLOOKUP(B2292,Sheet2!$A:$O,11,0)</f>
        <v>3333</v>
      </c>
    </row>
    <row r="2293" spans="1:4">
      <c r="A2293" s="8" t="s">
        <v>404</v>
      </c>
      <c r="B2293" s="5">
        <v>1700101</v>
      </c>
      <c r="C2293" s="5" t="s">
        <v>361</v>
      </c>
      <c r="D2293" s="3">
        <f>VLOOKUP(B2293,Sheet2!$A:$O,11,0)</f>
        <v>7647</v>
      </c>
    </row>
    <row r="2294" spans="1:4">
      <c r="A2294" s="8" t="s">
        <v>404</v>
      </c>
      <c r="B2294" s="5">
        <v>1700102</v>
      </c>
      <c r="C2294" s="5" t="s">
        <v>362</v>
      </c>
      <c r="D2294" s="3">
        <f>VLOOKUP(B2294,Sheet2!$A:$O,11,0)</f>
        <v>40196</v>
      </c>
    </row>
    <row r="2295" spans="1:4">
      <c r="A2295" s="8" t="s">
        <v>404</v>
      </c>
      <c r="B2295" s="5">
        <v>1700103</v>
      </c>
      <c r="C2295" s="5" t="s">
        <v>363</v>
      </c>
      <c r="D2295" s="3">
        <f>VLOOKUP(B2295,Sheet2!$A:$O,11,0)</f>
        <v>9000</v>
      </c>
    </row>
    <row r="2296" spans="1:4">
      <c r="A2296" s="8" t="s">
        <v>404</v>
      </c>
      <c r="B2296" s="5">
        <v>1700104</v>
      </c>
      <c r="C2296" s="5" t="s">
        <v>364</v>
      </c>
      <c r="D2296" s="3">
        <f>VLOOKUP(B2296,Sheet2!$A:$O,11,0)</f>
        <v>22620</v>
      </c>
    </row>
    <row r="2297" spans="1:4">
      <c r="A2297" s="8" t="s">
        <v>404</v>
      </c>
      <c r="B2297" s="5">
        <v>1700105</v>
      </c>
      <c r="C2297" s="5" t="s">
        <v>365</v>
      </c>
      <c r="D2297" s="3">
        <f>VLOOKUP(B2297,Sheet2!$A:$O,11,0)</f>
        <v>10588</v>
      </c>
    </row>
    <row r="2298" spans="1:4">
      <c r="A2298" s="8" t="s">
        <v>404</v>
      </c>
      <c r="B2298" s="5">
        <v>1700106</v>
      </c>
      <c r="C2298" s="5" t="s">
        <v>366</v>
      </c>
      <c r="D2298" s="3">
        <f>VLOOKUP(B2298,Sheet2!$A:$O,11,0)</f>
        <v>14020</v>
      </c>
    </row>
    <row r="2299" spans="1:4">
      <c r="A2299" s="8" t="s">
        <v>404</v>
      </c>
      <c r="B2299" s="5">
        <v>1700107</v>
      </c>
      <c r="C2299" s="5" t="s">
        <v>367</v>
      </c>
      <c r="D2299" s="3">
        <f>VLOOKUP(B2299,Sheet2!$A:$O,11,0)</f>
        <v>9020</v>
      </c>
    </row>
    <row r="2300" spans="1:4">
      <c r="A2300" s="8" t="s">
        <v>404</v>
      </c>
      <c r="B2300" s="5">
        <v>1800002</v>
      </c>
      <c r="C2300" s="5" t="s">
        <v>368</v>
      </c>
      <c r="D2300" s="3">
        <f>VLOOKUP(B2300,Sheet2!$A:$O,11,0)</f>
        <v>9520</v>
      </c>
    </row>
    <row r="2301" spans="1:4">
      <c r="A2301" s="8" t="s">
        <v>404</v>
      </c>
      <c r="B2301" s="5">
        <v>1800004</v>
      </c>
      <c r="C2301" s="5" t="s">
        <v>369</v>
      </c>
      <c r="D2301" s="3">
        <f>VLOOKUP(B2301,Sheet2!$A:$O,11,0)</f>
        <v>0</v>
      </c>
    </row>
    <row r="2302" spans="1:4">
      <c r="A2302" s="8" t="s">
        <v>404</v>
      </c>
      <c r="B2302" s="5">
        <v>1800005</v>
      </c>
      <c r="C2302" s="5" t="s">
        <v>370</v>
      </c>
      <c r="D2302" s="3">
        <f>VLOOKUP(B2302,Sheet2!$A:$O,11,0)</f>
        <v>0</v>
      </c>
    </row>
    <row r="2303" spans="1:4">
      <c r="A2303" s="8" t="s">
        <v>404</v>
      </c>
      <c r="B2303" s="5">
        <v>1800006</v>
      </c>
      <c r="C2303" s="5" t="s">
        <v>371</v>
      </c>
      <c r="D2303" s="3">
        <f>VLOOKUP(B2303,Sheet2!$A:$O,11,0)</f>
        <v>0</v>
      </c>
    </row>
    <row r="2304" spans="1:4">
      <c r="A2304" s="8" t="s">
        <v>404</v>
      </c>
      <c r="B2304" s="5">
        <v>1800007</v>
      </c>
      <c r="C2304" s="5" t="s">
        <v>372</v>
      </c>
      <c r="D2304" s="3">
        <f>VLOOKUP(B2304,Sheet2!$A:$O,11,0)</f>
        <v>10000</v>
      </c>
    </row>
    <row r="2305" spans="1:4">
      <c r="A2305" s="8" t="s">
        <v>404</v>
      </c>
      <c r="B2305" s="5">
        <v>1800008</v>
      </c>
      <c r="C2305" s="5" t="s">
        <v>373</v>
      </c>
      <c r="D2305" s="3">
        <f>VLOOKUP(B2305,Sheet2!$A:$O,11,0)</f>
        <v>10110</v>
      </c>
    </row>
    <row r="2306" spans="1:4">
      <c r="A2306" s="8" t="s">
        <v>404</v>
      </c>
      <c r="B2306" s="5">
        <v>1800009</v>
      </c>
      <c r="C2306" s="5" t="s">
        <v>374</v>
      </c>
      <c r="D2306" s="3">
        <f>VLOOKUP(B2306,Sheet2!$A:$O,11,0)</f>
        <v>11800</v>
      </c>
    </row>
    <row r="2307" spans="1:4">
      <c r="A2307" s="8" t="s">
        <v>404</v>
      </c>
      <c r="B2307" s="5">
        <v>1800010</v>
      </c>
      <c r="C2307" s="5" t="s">
        <v>375</v>
      </c>
      <c r="D2307" s="3">
        <f>VLOOKUP(B2307,Sheet2!$A:$O,11,0)</f>
        <v>5784</v>
      </c>
    </row>
    <row r="2308" spans="1:4">
      <c r="A2308" s="8" t="s">
        <v>404</v>
      </c>
      <c r="B2308" s="5">
        <v>1800011</v>
      </c>
      <c r="C2308" s="5" t="s">
        <v>376</v>
      </c>
      <c r="D2308" s="3">
        <f>VLOOKUP(B2308,Sheet2!$A:$O,11,0)</f>
        <v>9363</v>
      </c>
    </row>
    <row r="2309" spans="1:4">
      <c r="A2309" s="8" t="s">
        <v>404</v>
      </c>
      <c r="B2309" s="5">
        <v>1800012</v>
      </c>
      <c r="C2309" s="5" t="s">
        <v>377</v>
      </c>
      <c r="D2309" s="3">
        <f>VLOOKUP(B2309,Sheet2!$A:$O,11,0)</f>
        <v>5725</v>
      </c>
    </row>
    <row r="2310" spans="1:4">
      <c r="A2310" s="8" t="s">
        <v>404</v>
      </c>
      <c r="B2310" s="5">
        <v>1800013</v>
      </c>
      <c r="C2310" s="5" t="s">
        <v>378</v>
      </c>
      <c r="D2310" s="3">
        <f>VLOOKUP(B2310,Sheet2!$A:$O,11,0)</f>
        <v>49100</v>
      </c>
    </row>
    <row r="2311" spans="1:4">
      <c r="A2311" s="8" t="s">
        <v>404</v>
      </c>
      <c r="B2311" s="5">
        <v>1800014</v>
      </c>
      <c r="C2311" s="5" t="s">
        <v>379</v>
      </c>
      <c r="D2311" s="3">
        <f>VLOOKUP(B2311,Sheet2!$A:$O,11,0)</f>
        <v>70000</v>
      </c>
    </row>
    <row r="2312" spans="1:4">
      <c r="A2312" s="8" t="s">
        <v>404</v>
      </c>
      <c r="B2312" s="5">
        <v>1800015</v>
      </c>
      <c r="C2312" s="5" t="s">
        <v>380</v>
      </c>
      <c r="D2312" s="3">
        <f>VLOOKUP(B2312,Sheet2!$A:$O,11,0)</f>
        <v>66700</v>
      </c>
    </row>
    <row r="2313" spans="1:4">
      <c r="A2313" s="8" t="s">
        <v>404</v>
      </c>
      <c r="B2313" s="5">
        <v>1900013</v>
      </c>
      <c r="C2313" s="5" t="s">
        <v>381</v>
      </c>
      <c r="D2313" s="3">
        <f>VLOOKUP(B2313,Sheet2!$A:$O,11,0)</f>
        <v>0</v>
      </c>
    </row>
    <row r="2314" spans="1:4">
      <c r="A2314" s="8" t="s">
        <v>404</v>
      </c>
      <c r="B2314" s="5">
        <v>1900018</v>
      </c>
      <c r="C2314" s="5" t="s">
        <v>382</v>
      </c>
      <c r="D2314" s="3">
        <f>VLOOKUP(B2314,Sheet2!$A:$O,11,0)</f>
        <v>0</v>
      </c>
    </row>
    <row r="2315" spans="1:4">
      <c r="A2315" s="8" t="s">
        <v>405</v>
      </c>
      <c r="B2315" s="5">
        <v>1010101</v>
      </c>
      <c r="C2315" s="5" t="s">
        <v>5</v>
      </c>
      <c r="D2315" s="3">
        <f>VLOOKUP(B2315,Sheet2!$A:$O,12,0)</f>
        <v>698</v>
      </c>
    </row>
    <row r="2316" spans="1:4">
      <c r="A2316" s="8" t="s">
        <v>405</v>
      </c>
      <c r="B2316" s="5">
        <v>1010111</v>
      </c>
      <c r="C2316" s="5" t="s">
        <v>9</v>
      </c>
      <c r="D2316" s="3">
        <f>VLOOKUP(B2316,Sheet2!$A:$O,12,0)</f>
        <v>19100</v>
      </c>
    </row>
    <row r="2317" spans="1:4">
      <c r="A2317" s="8" t="s">
        <v>405</v>
      </c>
      <c r="B2317" s="5">
        <v>1010201</v>
      </c>
      <c r="C2317" s="5" t="s">
        <v>11</v>
      </c>
      <c r="D2317" s="3">
        <f>VLOOKUP(B2317,Sheet2!$A:$O,12,0)</f>
        <v>882</v>
      </c>
    </row>
    <row r="2318" spans="1:4">
      <c r="A2318" s="8" t="s">
        <v>405</v>
      </c>
      <c r="B2318" s="5">
        <v>1010300</v>
      </c>
      <c r="C2318" s="5" t="s">
        <v>213</v>
      </c>
      <c r="D2318" s="3">
        <f>VLOOKUP(B2318,Sheet2!$A:$O,12,0)</f>
        <v>5490</v>
      </c>
    </row>
    <row r="2319" spans="1:4">
      <c r="A2319" s="8" t="s">
        <v>405</v>
      </c>
      <c r="B2319" s="5">
        <v>1010301</v>
      </c>
      <c r="C2319" s="5" t="s">
        <v>214</v>
      </c>
      <c r="D2319" s="3">
        <f>VLOOKUP(B2319,Sheet2!$A:$O,12,0)</f>
        <v>6187</v>
      </c>
    </row>
    <row r="2320" spans="1:4">
      <c r="A2320" s="8" t="s">
        <v>405</v>
      </c>
      <c r="B2320" s="5">
        <v>1010302</v>
      </c>
      <c r="C2320" s="5" t="s">
        <v>16</v>
      </c>
      <c r="D2320" s="3">
        <f>VLOOKUP(B2320,Sheet2!$A:$O,12,0)</f>
        <v>4216</v>
      </c>
    </row>
    <row r="2321" spans="1:4">
      <c r="A2321" s="8" t="s">
        <v>405</v>
      </c>
      <c r="B2321" s="5">
        <v>1010303</v>
      </c>
      <c r="C2321" s="5" t="s">
        <v>18</v>
      </c>
      <c r="D2321" s="3">
        <f>VLOOKUP(B2321,Sheet2!$A:$O,12,0)</f>
        <v>882</v>
      </c>
    </row>
    <row r="2322" spans="1:4">
      <c r="A2322" s="8" t="s">
        <v>405</v>
      </c>
      <c r="B2322" s="5">
        <v>1010304</v>
      </c>
      <c r="C2322" s="5" t="s">
        <v>215</v>
      </c>
      <c r="D2322" s="3">
        <f>VLOOKUP(B2322,Sheet2!$A:$O,12,0)</f>
        <v>1422</v>
      </c>
    </row>
    <row r="2323" spans="1:4">
      <c r="A2323" s="8" t="s">
        <v>405</v>
      </c>
      <c r="B2323" s="5">
        <v>1010401</v>
      </c>
      <c r="C2323" s="5" t="s">
        <v>20</v>
      </c>
      <c r="D2323" s="3">
        <f>VLOOKUP(B2323,Sheet2!$A:$O,12,0)</f>
        <v>3627</v>
      </c>
    </row>
    <row r="2324" spans="1:4">
      <c r="A2324" s="8" t="s">
        <v>405</v>
      </c>
      <c r="B2324" s="5">
        <v>1010405</v>
      </c>
      <c r="C2324" s="5" t="s">
        <v>22</v>
      </c>
      <c r="D2324" s="3">
        <f>VLOOKUP(B2324,Sheet2!$A:$O,12,0)</f>
        <v>9975</v>
      </c>
    </row>
    <row r="2325" spans="1:4">
      <c r="A2325" s="8" t="s">
        <v>405</v>
      </c>
      <c r="B2325" s="5">
        <v>1010501</v>
      </c>
      <c r="C2325" s="5" t="s">
        <v>24</v>
      </c>
      <c r="D2325" s="3">
        <f>VLOOKUP(B2325,Sheet2!$A:$O,12,0)</f>
        <v>980</v>
      </c>
    </row>
    <row r="2326" spans="1:4">
      <c r="A2326" s="8" t="s">
        <v>405</v>
      </c>
      <c r="B2326" s="5">
        <v>1010502</v>
      </c>
      <c r="C2326" s="5" t="s">
        <v>216</v>
      </c>
      <c r="D2326" s="3">
        <f>VLOOKUP(B2326,Sheet2!$A:$O,12,0)</f>
        <v>0</v>
      </c>
    </row>
    <row r="2327" spans="1:4">
      <c r="A2327" s="8" t="s">
        <v>405</v>
      </c>
      <c r="B2327" s="5">
        <v>1010601</v>
      </c>
      <c r="C2327" s="5" t="s">
        <v>26</v>
      </c>
      <c r="D2327" s="3">
        <f>VLOOKUP(B2327,Sheet2!$A:$O,12,0)</f>
        <v>4412</v>
      </c>
    </row>
    <row r="2328" spans="1:4">
      <c r="A2328" s="8" t="s">
        <v>405</v>
      </c>
      <c r="B2328" s="5">
        <v>1010701</v>
      </c>
      <c r="C2328" s="5" t="s">
        <v>28</v>
      </c>
      <c r="D2328" s="3">
        <f>VLOOKUP(B2328,Sheet2!$A:$O,12,0)</f>
        <v>686</v>
      </c>
    </row>
    <row r="2329" spans="1:4">
      <c r="A2329" s="8" t="s">
        <v>405</v>
      </c>
      <c r="B2329" s="5">
        <v>1010801</v>
      </c>
      <c r="C2329" s="5" t="s">
        <v>30</v>
      </c>
      <c r="D2329" s="3">
        <f>VLOOKUP(B2329,Sheet2!$A:$O,12,0)</f>
        <v>7157</v>
      </c>
    </row>
    <row r="2330" spans="1:4">
      <c r="A2330" s="8" t="s">
        <v>405</v>
      </c>
      <c r="B2330" s="5">
        <v>1010901</v>
      </c>
      <c r="C2330" s="5" t="s">
        <v>32</v>
      </c>
      <c r="D2330" s="3">
        <f>VLOOKUP(B2330,Sheet2!$A:$O,12,0)</f>
        <v>4804</v>
      </c>
    </row>
    <row r="2331" spans="1:4">
      <c r="A2331" s="8" t="s">
        <v>405</v>
      </c>
      <c r="B2331" s="5">
        <v>1020101</v>
      </c>
      <c r="C2331" s="5" t="s">
        <v>34</v>
      </c>
      <c r="D2331" s="3">
        <f>VLOOKUP(B2331,Sheet2!$A:$O,12,0)</f>
        <v>17451</v>
      </c>
    </row>
    <row r="2332" spans="1:4">
      <c r="A2332" s="8" t="s">
        <v>405</v>
      </c>
      <c r="B2332" s="5">
        <v>1020201</v>
      </c>
      <c r="C2332" s="5" t="s">
        <v>217</v>
      </c>
      <c r="D2332" s="3">
        <f>VLOOKUP(B2332,Sheet2!$A:$O,12,0)</f>
        <v>5600</v>
      </c>
    </row>
    <row r="2333" spans="1:4">
      <c r="A2333" s="8" t="s">
        <v>405</v>
      </c>
      <c r="B2333" s="5">
        <v>1020301</v>
      </c>
      <c r="C2333" s="5" t="s">
        <v>38</v>
      </c>
      <c r="D2333" s="3">
        <f>VLOOKUP(B2333,Sheet2!$A:$O,12,0)</f>
        <v>2100</v>
      </c>
    </row>
    <row r="2334" spans="1:4">
      <c r="A2334" s="8" t="s">
        <v>405</v>
      </c>
      <c r="B2334" s="5">
        <v>1020401</v>
      </c>
      <c r="C2334" s="5" t="s">
        <v>40</v>
      </c>
      <c r="D2334" s="3">
        <f>VLOOKUP(B2334,Sheet2!$A:$O,12,0)</f>
        <v>3600</v>
      </c>
    </row>
    <row r="2335" spans="1:4">
      <c r="A2335" s="8" t="s">
        <v>405</v>
      </c>
      <c r="B2335" s="5">
        <v>1030102</v>
      </c>
      <c r="C2335" s="5" t="s">
        <v>218</v>
      </c>
      <c r="D2335" s="3">
        <f>VLOOKUP(B2335,Sheet2!$A:$O,12,0)</f>
        <v>0</v>
      </c>
    </row>
    <row r="2336" spans="1:4">
      <c r="A2336" s="8" t="s">
        <v>405</v>
      </c>
      <c r="B2336" s="5">
        <v>1030201</v>
      </c>
      <c r="C2336" s="5" t="s">
        <v>42</v>
      </c>
      <c r="D2336" s="3">
        <f>VLOOKUP(B2336,Sheet2!$A:$O,12,0)</f>
        <v>2941</v>
      </c>
    </row>
    <row r="2337" spans="1:4">
      <c r="A2337" s="8" t="s">
        <v>405</v>
      </c>
      <c r="B2337" s="5">
        <v>1030203</v>
      </c>
      <c r="C2337" s="5" t="s">
        <v>219</v>
      </c>
      <c r="D2337" s="3">
        <f>VLOOKUP(B2337,Sheet2!$A:$O,12,0)</f>
        <v>0</v>
      </c>
    </row>
    <row r="2338" spans="1:4">
      <c r="A2338" s="8" t="s">
        <v>405</v>
      </c>
      <c r="B2338" s="5">
        <v>1030204</v>
      </c>
      <c r="C2338" s="5" t="s">
        <v>220</v>
      </c>
      <c r="D2338" s="3">
        <f>VLOOKUP(B2338,Sheet2!$A:$O,12,0)</f>
        <v>0</v>
      </c>
    </row>
    <row r="2339" spans="1:4">
      <c r="A2339" s="8" t="s">
        <v>405</v>
      </c>
      <c r="B2339" s="5">
        <v>1030205</v>
      </c>
      <c r="C2339" s="5" t="s">
        <v>44</v>
      </c>
      <c r="D2339" s="3">
        <f>VLOOKUP(B2339,Sheet2!$A:$O,12,0)</f>
        <v>5000</v>
      </c>
    </row>
    <row r="2340" spans="1:4">
      <c r="A2340" s="8" t="s">
        <v>405</v>
      </c>
      <c r="B2340" s="5">
        <v>1030206</v>
      </c>
      <c r="C2340" s="5" t="s">
        <v>46</v>
      </c>
      <c r="D2340" s="3">
        <f>VLOOKUP(B2340,Sheet2!$A:$O,12,0)</f>
        <v>6200</v>
      </c>
    </row>
    <row r="2341" spans="1:4">
      <c r="A2341" s="8" t="s">
        <v>405</v>
      </c>
      <c r="B2341" s="5">
        <v>1030207</v>
      </c>
      <c r="C2341" s="5" t="s">
        <v>48</v>
      </c>
      <c r="D2341" s="3">
        <f>VLOOKUP(B2341,Sheet2!$A:$O,12,0)</f>
        <v>4500</v>
      </c>
    </row>
    <row r="2342" spans="1:4">
      <c r="A2342" s="8" t="s">
        <v>405</v>
      </c>
      <c r="B2342" s="5">
        <v>1030501</v>
      </c>
      <c r="C2342" s="5" t="s">
        <v>50</v>
      </c>
      <c r="D2342" s="3">
        <f>VLOOKUP(B2342,Sheet2!$A:$O,12,0)</f>
        <v>1127</v>
      </c>
    </row>
    <row r="2343" spans="1:4">
      <c r="A2343" s="8" t="s">
        <v>405</v>
      </c>
      <c r="B2343" s="5">
        <v>1030601</v>
      </c>
      <c r="C2343" s="5" t="s">
        <v>52</v>
      </c>
      <c r="D2343" s="3">
        <f>VLOOKUP(B2343,Sheet2!$A:$O,12,0)</f>
        <v>3000</v>
      </c>
    </row>
    <row r="2344" spans="1:4">
      <c r="A2344" s="8" t="s">
        <v>405</v>
      </c>
      <c r="B2344" s="5">
        <v>1030701</v>
      </c>
      <c r="C2344" s="5" t="s">
        <v>221</v>
      </c>
      <c r="D2344" s="3">
        <f>VLOOKUP(B2344,Sheet2!$A:$O,12,0)</f>
        <v>3000</v>
      </c>
    </row>
    <row r="2345" spans="1:4">
      <c r="A2345" s="8" t="s">
        <v>405</v>
      </c>
      <c r="B2345" s="5">
        <v>1030705</v>
      </c>
      <c r="C2345" s="5" t="s">
        <v>222</v>
      </c>
      <c r="D2345" s="3">
        <f>VLOOKUP(B2345,Sheet2!$A:$O,12,0)</f>
        <v>0</v>
      </c>
    </row>
    <row r="2346" spans="1:4">
      <c r="A2346" s="8" t="s">
        <v>405</v>
      </c>
      <c r="B2346" s="5">
        <v>1030801</v>
      </c>
      <c r="C2346" s="5" t="s">
        <v>54</v>
      </c>
      <c r="D2346" s="3">
        <f>VLOOKUP(B2346,Sheet2!$A:$O,12,0)</f>
        <v>1294</v>
      </c>
    </row>
    <row r="2347" spans="1:4">
      <c r="A2347" s="8" t="s">
        <v>405</v>
      </c>
      <c r="B2347" s="5">
        <v>1030901</v>
      </c>
      <c r="C2347" s="5" t="s">
        <v>223</v>
      </c>
      <c r="D2347" s="3">
        <f>VLOOKUP(B2347,Sheet2!$A:$O,12,0)</f>
        <v>0</v>
      </c>
    </row>
    <row r="2348" spans="1:4">
      <c r="A2348" s="8" t="s">
        <v>405</v>
      </c>
      <c r="B2348" s="5">
        <v>1040201</v>
      </c>
      <c r="C2348" s="5" t="s">
        <v>56</v>
      </c>
      <c r="D2348" s="3">
        <f>VLOOKUP(B2348,Sheet2!$A:$O,12,0)</f>
        <v>1427</v>
      </c>
    </row>
    <row r="2349" spans="1:4">
      <c r="A2349" s="8" t="s">
        <v>405</v>
      </c>
      <c r="B2349" s="5">
        <v>1040202</v>
      </c>
      <c r="C2349" s="5" t="s">
        <v>224</v>
      </c>
      <c r="D2349" s="3">
        <f>VLOOKUP(B2349,Sheet2!$A:$O,12,0)</f>
        <v>0</v>
      </c>
    </row>
    <row r="2350" spans="1:4">
      <c r="A2350" s="8" t="s">
        <v>405</v>
      </c>
      <c r="B2350" s="5">
        <v>1040203</v>
      </c>
      <c r="C2350" s="5" t="s">
        <v>225</v>
      </c>
      <c r="D2350" s="3">
        <f>VLOOKUP(B2350,Sheet2!$A:$O,12,0)</f>
        <v>0</v>
      </c>
    </row>
    <row r="2351" spans="1:4">
      <c r="A2351" s="8" t="s">
        <v>405</v>
      </c>
      <c r="B2351" s="5">
        <v>1040204</v>
      </c>
      <c r="C2351" s="5" t="s">
        <v>226</v>
      </c>
      <c r="D2351" s="3">
        <f>VLOOKUP(B2351,Sheet2!$A:$O,12,0)</f>
        <v>8583</v>
      </c>
    </row>
    <row r="2352" spans="1:4">
      <c r="A2352" s="8" t="s">
        <v>405</v>
      </c>
      <c r="B2352" s="5">
        <v>1040301</v>
      </c>
      <c r="C2352" s="5" t="s">
        <v>58</v>
      </c>
      <c r="D2352" s="3">
        <f>VLOOKUP(B2352,Sheet2!$A:$O,12,0)</f>
        <v>1650</v>
      </c>
    </row>
    <row r="2353" spans="1:4">
      <c r="A2353" s="8" t="s">
        <v>405</v>
      </c>
      <c r="B2353" s="5">
        <v>1040401</v>
      </c>
      <c r="C2353" s="5" t="s">
        <v>227</v>
      </c>
      <c r="D2353" s="3">
        <f>VLOOKUP(B2353,Sheet2!$A:$O,12,0)</f>
        <v>0</v>
      </c>
    </row>
    <row r="2354" spans="1:4">
      <c r="A2354" s="8" t="s">
        <v>405</v>
      </c>
      <c r="B2354" s="5">
        <v>1050102</v>
      </c>
      <c r="C2354" s="5" t="s">
        <v>60</v>
      </c>
      <c r="D2354" s="3">
        <f>VLOOKUP(B2354,Sheet2!$A:$O,12,0)</f>
        <v>29500</v>
      </c>
    </row>
    <row r="2355" spans="1:4">
      <c r="A2355" s="8" t="s">
        <v>405</v>
      </c>
      <c r="B2355" s="5">
        <v>1050103</v>
      </c>
      <c r="C2355" s="5" t="s">
        <v>228</v>
      </c>
      <c r="D2355" s="3">
        <f>VLOOKUP(B2355,Sheet2!$A:$O,12,0)</f>
        <v>11275</v>
      </c>
    </row>
    <row r="2356" spans="1:4">
      <c r="A2356" s="8" t="s">
        <v>405</v>
      </c>
      <c r="B2356" s="5">
        <v>1050301</v>
      </c>
      <c r="C2356" s="5" t="s">
        <v>62</v>
      </c>
      <c r="D2356" s="3">
        <f>VLOOKUP(B2356,Sheet2!$A:$O,12,0)</f>
        <v>9804</v>
      </c>
    </row>
    <row r="2357" spans="1:4">
      <c r="A2357" s="8" t="s">
        <v>405</v>
      </c>
      <c r="B2357" s="5">
        <v>1050401</v>
      </c>
      <c r="C2357" s="5" t="s">
        <v>64</v>
      </c>
      <c r="D2357" s="3">
        <f>VLOOKUP(B2357,Sheet2!$A:$O,12,0)</f>
        <v>8824</v>
      </c>
    </row>
    <row r="2358" spans="1:4">
      <c r="A2358" s="8" t="s">
        <v>405</v>
      </c>
      <c r="B2358" s="5">
        <v>1050501</v>
      </c>
      <c r="C2358" s="5" t="s">
        <v>66</v>
      </c>
      <c r="D2358" s="3">
        <f>VLOOKUP(B2358,Sheet2!$A:$O,12,0)</f>
        <v>10784</v>
      </c>
    </row>
    <row r="2359" spans="1:4">
      <c r="A2359" s="8" t="s">
        <v>405</v>
      </c>
      <c r="B2359" s="5">
        <v>1050511</v>
      </c>
      <c r="C2359" s="5" t="s">
        <v>68</v>
      </c>
      <c r="D2359" s="3">
        <f>VLOOKUP(B2359,Sheet2!$A:$O,12,0)</f>
        <v>18000</v>
      </c>
    </row>
    <row r="2360" spans="1:4">
      <c r="A2360" s="8" t="s">
        <v>405</v>
      </c>
      <c r="B2360" s="5">
        <v>1050512</v>
      </c>
      <c r="C2360" s="5" t="s">
        <v>229</v>
      </c>
      <c r="D2360" s="3">
        <f>VLOOKUP(B2360,Sheet2!$A:$O,12,0)</f>
        <v>0</v>
      </c>
    </row>
    <row r="2361" spans="1:4">
      <c r="A2361" s="8" t="s">
        <v>405</v>
      </c>
      <c r="B2361" s="5">
        <v>1050521</v>
      </c>
      <c r="C2361" s="5" t="s">
        <v>70</v>
      </c>
      <c r="D2361" s="3">
        <f>VLOOKUP(B2361,Sheet2!$A:$O,12,0)</f>
        <v>14706</v>
      </c>
    </row>
    <row r="2362" spans="1:4">
      <c r="A2362" s="8" t="s">
        <v>405</v>
      </c>
      <c r="B2362" s="5">
        <v>1050531</v>
      </c>
      <c r="C2362" s="5" t="s">
        <v>72</v>
      </c>
      <c r="D2362" s="3">
        <f>VLOOKUP(B2362,Sheet2!$A:$O,12,0)</f>
        <v>21000</v>
      </c>
    </row>
    <row r="2363" spans="1:4">
      <c r="A2363" s="8" t="s">
        <v>405</v>
      </c>
      <c r="B2363" s="5">
        <v>1050541</v>
      </c>
      <c r="C2363" s="5" t="s">
        <v>74</v>
      </c>
      <c r="D2363" s="3">
        <f>VLOOKUP(B2363,Sheet2!$A:$O,12,0)</f>
        <v>11000</v>
      </c>
    </row>
    <row r="2364" spans="1:4">
      <c r="A2364" s="8" t="s">
        <v>405</v>
      </c>
      <c r="B2364" s="5">
        <v>1050551</v>
      </c>
      <c r="C2364" s="5" t="s">
        <v>76</v>
      </c>
      <c r="D2364" s="3">
        <f>VLOOKUP(B2364,Sheet2!$A:$O,12,0)</f>
        <v>54000</v>
      </c>
    </row>
    <row r="2365" spans="1:4">
      <c r="A2365" s="8" t="s">
        <v>405</v>
      </c>
      <c r="B2365" s="5">
        <v>1050561</v>
      </c>
      <c r="C2365" s="5" t="s">
        <v>78</v>
      </c>
      <c r="D2365" s="3">
        <f>VLOOKUP(B2365,Sheet2!$A:$O,12,0)</f>
        <v>77321</v>
      </c>
    </row>
    <row r="2366" spans="1:4">
      <c r="A2366" s="8" t="s">
        <v>405</v>
      </c>
      <c r="B2366" s="5">
        <v>1050571</v>
      </c>
      <c r="C2366" s="5" t="s">
        <v>80</v>
      </c>
      <c r="D2366" s="3">
        <f>VLOOKUP(B2366,Sheet2!$A:$O,12,0)</f>
        <v>58000</v>
      </c>
    </row>
    <row r="2367" spans="1:4">
      <c r="A2367" s="8" t="s">
        <v>405</v>
      </c>
      <c r="B2367" s="5">
        <v>1050581</v>
      </c>
      <c r="C2367" s="5" t="s">
        <v>82</v>
      </c>
      <c r="D2367" s="3">
        <f>VLOOKUP(B2367,Sheet2!$A:$O,12,0)</f>
        <v>57000</v>
      </c>
    </row>
    <row r="2368" spans="1:4">
      <c r="A2368" s="8" t="s">
        <v>405</v>
      </c>
      <c r="B2368" s="5">
        <v>1050591</v>
      </c>
      <c r="C2368" s="5" t="s">
        <v>84</v>
      </c>
      <c r="D2368" s="3">
        <f>VLOOKUP(B2368,Sheet2!$A:$O,12,0)</f>
        <v>97750</v>
      </c>
    </row>
    <row r="2369" spans="1:4">
      <c r="A2369" s="8" t="s">
        <v>405</v>
      </c>
      <c r="B2369" s="5">
        <v>1050601</v>
      </c>
      <c r="C2369" s="5" t="s">
        <v>86</v>
      </c>
      <c r="D2369" s="3">
        <f>VLOOKUP(B2369,Sheet2!$A:$O,12,0)</f>
        <v>5900</v>
      </c>
    </row>
    <row r="2370" spans="1:4">
      <c r="A2370" s="8" t="s">
        <v>405</v>
      </c>
      <c r="B2370" s="5">
        <v>1050701</v>
      </c>
      <c r="C2370" s="5" t="s">
        <v>88</v>
      </c>
      <c r="D2370" s="3">
        <f>VLOOKUP(B2370,Sheet2!$A:$O,12,0)</f>
        <v>5888</v>
      </c>
    </row>
    <row r="2371" spans="1:4">
      <c r="A2371" s="8" t="s">
        <v>405</v>
      </c>
      <c r="B2371" s="5">
        <v>1050702</v>
      </c>
      <c r="C2371" s="5" t="s">
        <v>90</v>
      </c>
      <c r="D2371" s="3">
        <f>VLOOKUP(B2371,Sheet2!$A:$O,12,0)</f>
        <v>6000</v>
      </c>
    </row>
    <row r="2372" spans="1:4">
      <c r="A2372" s="8" t="s">
        <v>405</v>
      </c>
      <c r="B2372" s="5">
        <v>1050711</v>
      </c>
      <c r="C2372" s="5" t="s">
        <v>92</v>
      </c>
      <c r="D2372" s="3">
        <f>VLOOKUP(B2372,Sheet2!$A:$O,12,0)</f>
        <v>2900</v>
      </c>
    </row>
    <row r="2373" spans="1:4">
      <c r="A2373" s="8" t="s">
        <v>405</v>
      </c>
      <c r="B2373" s="5">
        <v>1050721</v>
      </c>
      <c r="C2373" s="5" t="s">
        <v>94</v>
      </c>
      <c r="D2373" s="3">
        <f>VLOOKUP(B2373,Sheet2!$A:$O,12,0)</f>
        <v>14800</v>
      </c>
    </row>
    <row r="2374" spans="1:4">
      <c r="A2374" s="8" t="s">
        <v>405</v>
      </c>
      <c r="B2374" s="5">
        <v>1050801</v>
      </c>
      <c r="C2374" s="5" t="s">
        <v>7</v>
      </c>
      <c r="D2374" s="3">
        <f>VLOOKUP(B2374,Sheet2!$A:$O,12,0)</f>
        <v>1000</v>
      </c>
    </row>
    <row r="2375" spans="1:4">
      <c r="A2375" s="8" t="s">
        <v>405</v>
      </c>
      <c r="B2375" s="5">
        <v>1050901</v>
      </c>
      <c r="C2375" s="5" t="s">
        <v>96</v>
      </c>
      <c r="D2375" s="3">
        <f>VLOOKUP(B2375,Sheet2!$A:$O,12,0)</f>
        <v>1275</v>
      </c>
    </row>
    <row r="2376" spans="1:4">
      <c r="A2376" s="8" t="s">
        <v>405</v>
      </c>
      <c r="B2376" s="5">
        <v>1060101</v>
      </c>
      <c r="C2376" s="5" t="s">
        <v>98</v>
      </c>
      <c r="D2376" s="3">
        <f>VLOOKUP(B2376,Sheet2!$A:$O,12,0)</f>
        <v>2200</v>
      </c>
    </row>
    <row r="2377" spans="1:4">
      <c r="A2377" s="8" t="s">
        <v>405</v>
      </c>
      <c r="B2377" s="5">
        <v>1060401</v>
      </c>
      <c r="C2377" s="5" t="s">
        <v>100</v>
      </c>
      <c r="D2377" s="3">
        <f>VLOOKUP(B2377,Sheet2!$A:$O,12,0)</f>
        <v>71000</v>
      </c>
    </row>
    <row r="2378" spans="1:4">
      <c r="A2378" s="8" t="s">
        <v>405</v>
      </c>
      <c r="B2378" s="5">
        <v>1060412</v>
      </c>
      <c r="C2378" s="5" t="s">
        <v>230</v>
      </c>
      <c r="D2378" s="3">
        <f>VLOOKUP(B2378,Sheet2!$A:$O,12,0)</f>
        <v>33000</v>
      </c>
    </row>
    <row r="2379" spans="1:4">
      <c r="A2379" s="8" t="s">
        <v>405</v>
      </c>
      <c r="B2379" s="5">
        <v>1060421</v>
      </c>
      <c r="C2379" s="5" t="s">
        <v>104</v>
      </c>
      <c r="D2379" s="3">
        <f>VLOOKUP(B2379,Sheet2!$A:$O,12,0)</f>
        <v>130000</v>
      </c>
    </row>
    <row r="2380" spans="1:4">
      <c r="A2380" s="8" t="s">
        <v>405</v>
      </c>
      <c r="B2380" s="5">
        <v>1060441</v>
      </c>
      <c r="C2380" s="5" t="s">
        <v>106</v>
      </c>
      <c r="D2380" s="3">
        <f>VLOOKUP(B2380,Sheet2!$A:$O,12,0)</f>
        <v>6471</v>
      </c>
    </row>
    <row r="2381" spans="1:4">
      <c r="A2381" s="8" t="s">
        <v>405</v>
      </c>
      <c r="B2381" s="5">
        <v>1060451</v>
      </c>
      <c r="C2381" s="5" t="s">
        <v>108</v>
      </c>
      <c r="D2381" s="3">
        <f>VLOOKUP(B2381,Sheet2!$A:$O,12,0)</f>
        <v>38235</v>
      </c>
    </row>
    <row r="2382" spans="1:4">
      <c r="A2382" s="8" t="s">
        <v>405</v>
      </c>
      <c r="B2382" s="5">
        <v>1070101</v>
      </c>
      <c r="C2382" s="5" t="s">
        <v>110</v>
      </c>
      <c r="D2382" s="3">
        <f>VLOOKUP(B2382,Sheet2!$A:$O,12,0)</f>
        <v>3820</v>
      </c>
    </row>
    <row r="2383" spans="1:4">
      <c r="A2383" s="8" t="s">
        <v>405</v>
      </c>
      <c r="B2383" s="5">
        <v>1070301</v>
      </c>
      <c r="C2383" s="5" t="s">
        <v>112</v>
      </c>
      <c r="D2383" s="3">
        <f>VLOOKUP(B2383,Sheet2!$A:$O,12,0)</f>
        <v>35000</v>
      </c>
    </row>
    <row r="2384" spans="1:4">
      <c r="A2384" s="8" t="s">
        <v>405</v>
      </c>
      <c r="B2384" s="5">
        <v>1070401</v>
      </c>
      <c r="C2384" s="5" t="s">
        <v>114</v>
      </c>
      <c r="D2384" s="3">
        <f>VLOOKUP(B2384,Sheet2!$A:$O,12,0)</f>
        <v>12000</v>
      </c>
    </row>
    <row r="2385" spans="1:4">
      <c r="A2385" s="8" t="s">
        <v>405</v>
      </c>
      <c r="B2385" s="5">
        <v>1070501</v>
      </c>
      <c r="C2385" s="5" t="s">
        <v>231</v>
      </c>
      <c r="D2385" s="3">
        <f>VLOOKUP(B2385,Sheet2!$A:$O,12,0)</f>
        <v>5500</v>
      </c>
    </row>
    <row r="2386" spans="1:4">
      <c r="A2386" s="8" t="s">
        <v>405</v>
      </c>
      <c r="B2386" s="5">
        <v>1070701</v>
      </c>
      <c r="C2386" s="5" t="s">
        <v>118</v>
      </c>
      <c r="D2386" s="3">
        <f>VLOOKUP(B2386,Sheet2!$A:$O,12,0)</f>
        <v>36000</v>
      </c>
    </row>
    <row r="2387" spans="1:4">
      <c r="A2387" s="8" t="s">
        <v>405</v>
      </c>
      <c r="B2387" s="5">
        <v>1070801</v>
      </c>
      <c r="C2387" s="5" t="s">
        <v>232</v>
      </c>
      <c r="D2387" s="3">
        <f>VLOOKUP(B2387,Sheet2!$A:$O,12,0)</f>
        <v>35000</v>
      </c>
    </row>
    <row r="2388" spans="1:4">
      <c r="A2388" s="8" t="s">
        <v>405</v>
      </c>
      <c r="B2388" s="5">
        <v>1080101</v>
      </c>
      <c r="C2388" s="5" t="s">
        <v>120</v>
      </c>
      <c r="D2388" s="3">
        <f>VLOOKUP(B2388,Sheet2!$A:$O,12,0)</f>
        <v>11000</v>
      </c>
    </row>
    <row r="2389" spans="1:4">
      <c r="A2389" s="8" t="s">
        <v>405</v>
      </c>
      <c r="B2389" s="5">
        <v>1080201</v>
      </c>
      <c r="C2389" s="5" t="s">
        <v>122</v>
      </c>
      <c r="D2389" s="3">
        <f>VLOOKUP(B2389,Sheet2!$A:$O,12,0)</f>
        <v>540</v>
      </c>
    </row>
    <row r="2390" spans="1:4">
      <c r="A2390" s="8" t="s">
        <v>405</v>
      </c>
      <c r="B2390" s="5">
        <v>1080301</v>
      </c>
      <c r="C2390" s="5" t="s">
        <v>124</v>
      </c>
      <c r="D2390" s="3">
        <f>VLOOKUP(B2390,Sheet2!$A:$O,12,0)</f>
        <v>1550</v>
      </c>
    </row>
    <row r="2391" spans="1:4">
      <c r="A2391" s="8" t="s">
        <v>405</v>
      </c>
      <c r="B2391" s="5">
        <v>1080401</v>
      </c>
      <c r="C2391" s="5" t="s">
        <v>233</v>
      </c>
      <c r="D2391" s="3">
        <f>VLOOKUP(B2391,Sheet2!$A:$O,12,0)</f>
        <v>3300</v>
      </c>
    </row>
    <row r="2392" spans="1:4">
      <c r="A2392" s="8" t="s">
        <v>405</v>
      </c>
      <c r="B2392" s="5">
        <v>1080411</v>
      </c>
      <c r="C2392" s="5" t="s">
        <v>128</v>
      </c>
      <c r="D2392" s="3">
        <f>VLOOKUP(B2392,Sheet2!$A:$O,12,0)</f>
        <v>3300</v>
      </c>
    </row>
    <row r="2393" spans="1:4">
      <c r="A2393" s="8" t="s">
        <v>405</v>
      </c>
      <c r="B2393" s="5">
        <v>1080501</v>
      </c>
      <c r="C2393" s="5" t="s">
        <v>130</v>
      </c>
      <c r="D2393" s="3">
        <f>VLOOKUP(B2393,Sheet2!$A:$O,12,0)</f>
        <v>3800</v>
      </c>
    </row>
    <row r="2394" spans="1:4">
      <c r="A2394" s="8" t="s">
        <v>405</v>
      </c>
      <c r="B2394" s="5">
        <v>1080602</v>
      </c>
      <c r="C2394" s="5" t="s">
        <v>234</v>
      </c>
      <c r="D2394" s="3">
        <f>VLOOKUP(B2394,Sheet2!$A:$O,12,0)</f>
        <v>38600</v>
      </c>
    </row>
    <row r="2395" spans="1:4">
      <c r="A2395" s="8" t="s">
        <v>405</v>
      </c>
      <c r="B2395" s="5">
        <v>1080604</v>
      </c>
      <c r="C2395" s="5" t="s">
        <v>235</v>
      </c>
      <c r="D2395" s="3">
        <f>VLOOKUP(B2395,Sheet2!$A:$O,12,0)</f>
        <v>0</v>
      </c>
    </row>
    <row r="2396" spans="1:4">
      <c r="A2396" s="8" t="s">
        <v>405</v>
      </c>
      <c r="B2396" s="5">
        <v>1080702</v>
      </c>
      <c r="C2396" s="5" t="s">
        <v>236</v>
      </c>
      <c r="D2396" s="3">
        <f>VLOOKUP(B2396,Sheet2!$A:$O,12,0)</f>
        <v>43500</v>
      </c>
    </row>
    <row r="2397" spans="1:4">
      <c r="A2397" s="8" t="s">
        <v>405</v>
      </c>
      <c r="B2397" s="5">
        <v>1080704</v>
      </c>
      <c r="C2397" s="5" t="s">
        <v>237</v>
      </c>
      <c r="D2397" s="3">
        <f>VLOOKUP(B2397,Sheet2!$A:$O,12,0)</f>
        <v>0</v>
      </c>
    </row>
    <row r="2398" spans="1:4">
      <c r="A2398" s="8" t="s">
        <v>405</v>
      </c>
      <c r="B2398" s="5">
        <v>1090104</v>
      </c>
      <c r="C2398" s="5" t="s">
        <v>136</v>
      </c>
      <c r="D2398" s="3">
        <f>VLOOKUP(B2398,Sheet2!$A:$O,12,0)</f>
        <v>40000</v>
      </c>
    </row>
    <row r="2399" spans="1:4">
      <c r="A2399" s="8" t="s">
        <v>405</v>
      </c>
      <c r="B2399" s="5">
        <v>1090112</v>
      </c>
      <c r="C2399" s="5" t="s">
        <v>138</v>
      </c>
      <c r="D2399" s="3">
        <f>VLOOKUP(B2399,Sheet2!$A:$O,12,0)</f>
        <v>35000</v>
      </c>
    </row>
    <row r="2400" spans="1:4">
      <c r="A2400" s="8" t="s">
        <v>405</v>
      </c>
      <c r="B2400" s="5">
        <v>1090201</v>
      </c>
      <c r="C2400" s="5" t="s">
        <v>140</v>
      </c>
      <c r="D2400" s="3">
        <f>VLOOKUP(B2400,Sheet2!$A:$O,12,0)</f>
        <v>15800</v>
      </c>
    </row>
    <row r="2401" spans="1:4">
      <c r="A2401" s="8" t="s">
        <v>405</v>
      </c>
      <c r="B2401" s="5">
        <v>1090202</v>
      </c>
      <c r="C2401" s="5" t="s">
        <v>142</v>
      </c>
      <c r="D2401" s="3">
        <f>VLOOKUP(B2401,Sheet2!$A:$O,12,0)</f>
        <v>98000</v>
      </c>
    </row>
    <row r="2402" spans="1:4">
      <c r="A2402" s="8" t="s">
        <v>405</v>
      </c>
      <c r="B2402" s="5">
        <v>1090203</v>
      </c>
      <c r="C2402" s="5" t="s">
        <v>144</v>
      </c>
      <c r="D2402" s="3">
        <f>VLOOKUP(B2402,Sheet2!$A:$O,12,0)</f>
        <v>23000</v>
      </c>
    </row>
    <row r="2403" spans="1:4">
      <c r="A2403" s="8" t="s">
        <v>405</v>
      </c>
      <c r="B2403" s="5">
        <v>1090211</v>
      </c>
      <c r="C2403" s="5" t="s">
        <v>146</v>
      </c>
      <c r="D2403" s="3">
        <f>VLOOKUP(B2403,Sheet2!$A:$O,12,0)</f>
        <v>64706</v>
      </c>
    </row>
    <row r="2404" spans="1:4">
      <c r="A2404" s="8" t="s">
        <v>405</v>
      </c>
      <c r="B2404" s="5">
        <v>1090301</v>
      </c>
      <c r="C2404" s="5" t="s">
        <v>238</v>
      </c>
      <c r="D2404" s="3">
        <f>VLOOKUP(B2404,Sheet2!$A:$O,12,0)</f>
        <v>32000</v>
      </c>
    </row>
    <row r="2405" spans="1:4">
      <c r="A2405" s="8" t="s">
        <v>405</v>
      </c>
      <c r="B2405" s="5">
        <v>1090311</v>
      </c>
      <c r="C2405" s="5" t="s">
        <v>150</v>
      </c>
      <c r="D2405" s="3">
        <f>VLOOKUP(B2405,Sheet2!$A:$O,12,0)</f>
        <v>37000</v>
      </c>
    </row>
    <row r="2406" spans="1:4">
      <c r="A2406" s="8" t="s">
        <v>405</v>
      </c>
      <c r="B2406" s="5">
        <v>1090321</v>
      </c>
      <c r="C2406" s="5" t="s">
        <v>152</v>
      </c>
      <c r="D2406" s="3">
        <f>VLOOKUP(B2406,Sheet2!$A:$O,12,0)</f>
        <v>66000</v>
      </c>
    </row>
    <row r="2407" spans="1:4">
      <c r="A2407" s="8" t="s">
        <v>405</v>
      </c>
      <c r="B2407" s="5">
        <v>1090401</v>
      </c>
      <c r="C2407" s="5" t="s">
        <v>154</v>
      </c>
      <c r="D2407" s="3">
        <f>VLOOKUP(B2407,Sheet2!$A:$O,12,0)</f>
        <v>8300</v>
      </c>
    </row>
    <row r="2408" spans="1:4">
      <c r="A2408" s="8" t="s">
        <v>405</v>
      </c>
      <c r="B2408" s="5">
        <v>1090411</v>
      </c>
      <c r="C2408" s="5" t="s">
        <v>156</v>
      </c>
      <c r="D2408" s="3">
        <f>VLOOKUP(B2408,Sheet2!$A:$O,12,0)</f>
        <v>45000</v>
      </c>
    </row>
    <row r="2409" spans="1:4">
      <c r="A2409" s="8" t="s">
        <v>405</v>
      </c>
      <c r="B2409" s="5">
        <v>1090421</v>
      </c>
      <c r="C2409" s="5" t="s">
        <v>158</v>
      </c>
      <c r="D2409" s="3">
        <f>VLOOKUP(B2409,Sheet2!$A:$O,12,0)</f>
        <v>36000</v>
      </c>
    </row>
    <row r="2410" spans="1:4">
      <c r="A2410" s="8" t="s">
        <v>405</v>
      </c>
      <c r="B2410" s="5">
        <v>1090551</v>
      </c>
      <c r="C2410" s="5" t="s">
        <v>239</v>
      </c>
      <c r="D2410" s="3">
        <f>VLOOKUP(B2410,Sheet2!$A:$O,12,0)</f>
        <v>4900</v>
      </c>
    </row>
    <row r="2411" spans="1:4">
      <c r="A2411" s="8" t="s">
        <v>405</v>
      </c>
      <c r="B2411" s="5">
        <v>1090602</v>
      </c>
      <c r="C2411" s="5" t="s">
        <v>162</v>
      </c>
      <c r="D2411" s="3">
        <f>VLOOKUP(B2411,Sheet2!$A:$O,12,0)</f>
        <v>5130</v>
      </c>
    </row>
    <row r="2412" spans="1:4">
      <c r="A2412" s="8" t="s">
        <v>405</v>
      </c>
      <c r="B2412" s="5">
        <v>1090611</v>
      </c>
      <c r="C2412" s="5" t="s">
        <v>164</v>
      </c>
      <c r="D2412" s="3">
        <f>VLOOKUP(B2412,Sheet2!$A:$O,12,0)</f>
        <v>4300</v>
      </c>
    </row>
    <row r="2413" spans="1:4">
      <c r="A2413" s="8" t="s">
        <v>405</v>
      </c>
      <c r="B2413" s="5">
        <v>1090701</v>
      </c>
      <c r="C2413" s="5" t="s">
        <v>166</v>
      </c>
      <c r="D2413" s="3">
        <f>VLOOKUP(B2413,Sheet2!$A:$O,12,0)</f>
        <v>21000</v>
      </c>
    </row>
    <row r="2414" spans="1:4">
      <c r="A2414" s="8" t="s">
        <v>405</v>
      </c>
      <c r="B2414" s="5">
        <v>1090901</v>
      </c>
      <c r="C2414" s="5" t="s">
        <v>168</v>
      </c>
      <c r="D2414" s="3">
        <f>VLOOKUP(B2414,Sheet2!$A:$O,12,0)</f>
        <v>4300</v>
      </c>
    </row>
    <row r="2415" spans="1:4">
      <c r="A2415" s="8" t="s">
        <v>405</v>
      </c>
      <c r="B2415" s="5">
        <v>1091001</v>
      </c>
      <c r="C2415" s="5" t="s">
        <v>170</v>
      </c>
      <c r="D2415" s="3">
        <f>VLOOKUP(B2415,Sheet2!$A:$O,12,0)</f>
        <v>7000</v>
      </c>
    </row>
    <row r="2416" spans="1:4">
      <c r="A2416" s="8" t="s">
        <v>405</v>
      </c>
      <c r="B2416" s="5">
        <v>1091002</v>
      </c>
      <c r="C2416" s="5" t="s">
        <v>172</v>
      </c>
      <c r="D2416" s="3">
        <f>VLOOKUP(B2416,Sheet2!$A:$O,12,0)</f>
        <v>6304</v>
      </c>
    </row>
    <row r="2417" spans="1:4">
      <c r="A2417" s="8" t="s">
        <v>405</v>
      </c>
      <c r="B2417" s="5">
        <v>1091003</v>
      </c>
      <c r="C2417" s="5" t="s">
        <v>174</v>
      </c>
      <c r="D2417" s="3">
        <f>VLOOKUP(B2417,Sheet2!$A:$O,12,0)</f>
        <v>10400</v>
      </c>
    </row>
    <row r="2418" spans="1:4">
      <c r="A2418" s="8" t="s">
        <v>405</v>
      </c>
      <c r="B2418" s="5">
        <v>1091004</v>
      </c>
      <c r="C2418" s="5" t="s">
        <v>240</v>
      </c>
      <c r="D2418" s="3">
        <f>VLOOKUP(B2418,Sheet2!$A:$O,12,0)</f>
        <v>0</v>
      </c>
    </row>
    <row r="2419" spans="1:4">
      <c r="A2419" s="8" t="s">
        <v>405</v>
      </c>
      <c r="B2419" s="5">
        <v>1091005</v>
      </c>
      <c r="C2419" s="5" t="s">
        <v>241</v>
      </c>
      <c r="D2419" s="3">
        <f>VLOOKUP(B2419,Sheet2!$A:$O,12,0)</f>
        <v>0</v>
      </c>
    </row>
    <row r="2420" spans="1:4">
      <c r="A2420" s="8" t="s">
        <v>405</v>
      </c>
      <c r="B2420" s="5">
        <v>1091006</v>
      </c>
      <c r="C2420" s="5" t="s">
        <v>242</v>
      </c>
      <c r="D2420" s="3">
        <f>VLOOKUP(B2420,Sheet2!$A:$O,12,0)</f>
        <v>0</v>
      </c>
    </row>
    <row r="2421" spans="1:4">
      <c r="A2421" s="8" t="s">
        <v>405</v>
      </c>
      <c r="B2421" s="5">
        <v>1091007</v>
      </c>
      <c r="C2421" s="5" t="s">
        <v>243</v>
      </c>
      <c r="D2421" s="3">
        <f>VLOOKUP(B2421,Sheet2!$A:$O,12,0)</f>
        <v>2640</v>
      </c>
    </row>
    <row r="2422" spans="1:4">
      <c r="A2422" s="8" t="s">
        <v>405</v>
      </c>
      <c r="B2422" s="5">
        <v>1091008</v>
      </c>
      <c r="C2422" s="5" t="s">
        <v>176</v>
      </c>
      <c r="D2422" s="3">
        <f>VLOOKUP(B2422,Sheet2!$A:$O,12,0)</f>
        <v>450000</v>
      </c>
    </row>
    <row r="2423" spans="1:4">
      <c r="A2423" s="8" t="s">
        <v>405</v>
      </c>
      <c r="B2423" s="5">
        <v>1091009</v>
      </c>
      <c r="C2423" s="5" t="s">
        <v>178</v>
      </c>
      <c r="D2423" s="3">
        <f>VLOOKUP(B2423,Sheet2!$A:$O,12,0)</f>
        <v>190000</v>
      </c>
    </row>
    <row r="2424" spans="1:4">
      <c r="A2424" s="8" t="s">
        <v>405</v>
      </c>
      <c r="B2424" s="5">
        <v>1091010</v>
      </c>
      <c r="C2424" s="5" t="s">
        <v>180</v>
      </c>
      <c r="D2424" s="3">
        <f>VLOOKUP(B2424,Sheet2!$A:$O,12,0)</f>
        <v>27000</v>
      </c>
    </row>
    <row r="2425" spans="1:4">
      <c r="A2425" s="8" t="s">
        <v>405</v>
      </c>
      <c r="B2425" s="5">
        <v>1091011</v>
      </c>
      <c r="C2425" s="5" t="s">
        <v>182</v>
      </c>
      <c r="D2425" s="3">
        <f>VLOOKUP(B2425,Sheet2!$A:$O,12,0)</f>
        <v>33000</v>
      </c>
    </row>
    <row r="2426" spans="1:4">
      <c r="A2426" s="8" t="s">
        <v>405</v>
      </c>
      <c r="B2426" s="5">
        <v>1091012</v>
      </c>
      <c r="C2426" s="5" t="s">
        <v>184</v>
      </c>
      <c r="D2426" s="3">
        <f>VLOOKUP(B2426,Sheet2!$A:$O,12,0)</f>
        <v>47000</v>
      </c>
    </row>
    <row r="2427" spans="1:4">
      <c r="A2427" s="8" t="s">
        <v>405</v>
      </c>
      <c r="B2427" s="5">
        <v>1091013</v>
      </c>
      <c r="C2427" s="5" t="s">
        <v>186</v>
      </c>
      <c r="D2427" s="3">
        <f>VLOOKUP(B2427,Sheet2!$A:$O,12,0)</f>
        <v>33000</v>
      </c>
    </row>
    <row r="2428" spans="1:4">
      <c r="A2428" s="8" t="s">
        <v>405</v>
      </c>
      <c r="B2428" s="5">
        <v>1091014</v>
      </c>
      <c r="C2428" s="5" t="s">
        <v>244</v>
      </c>
      <c r="D2428" s="3">
        <f>VLOOKUP(B2428,Sheet2!$A:$O,12,0)</f>
        <v>6961</v>
      </c>
    </row>
    <row r="2429" spans="1:4">
      <c r="A2429" s="8" t="s">
        <v>405</v>
      </c>
      <c r="B2429" s="5">
        <v>1091015</v>
      </c>
      <c r="C2429" s="5" t="s">
        <v>245</v>
      </c>
      <c r="D2429" s="3">
        <f>VLOOKUP(B2429,Sheet2!$A:$O,12,0)</f>
        <v>28000</v>
      </c>
    </row>
    <row r="2430" spans="1:4">
      <c r="A2430" s="8" t="s">
        <v>405</v>
      </c>
      <c r="B2430" s="5">
        <v>1091016</v>
      </c>
      <c r="C2430" s="5" t="s">
        <v>246</v>
      </c>
      <c r="D2430" s="3">
        <f>VLOOKUP(B2430,Sheet2!$A:$O,12,0)</f>
        <v>77321</v>
      </c>
    </row>
    <row r="2431" spans="1:4">
      <c r="A2431" s="8" t="s">
        <v>405</v>
      </c>
      <c r="B2431" s="5">
        <v>1091017</v>
      </c>
      <c r="C2431" s="5" t="s">
        <v>247</v>
      </c>
      <c r="D2431" s="3">
        <f>VLOOKUP(B2431,Sheet2!$A:$O,12,0)</f>
        <v>74833</v>
      </c>
    </row>
    <row r="2432" spans="1:4">
      <c r="A2432" s="8" t="s">
        <v>405</v>
      </c>
      <c r="B2432" s="5">
        <v>1091018</v>
      </c>
      <c r="C2432" s="5" t="s">
        <v>248</v>
      </c>
      <c r="D2432" s="3">
        <f>VLOOKUP(B2432,Sheet2!$A:$O,12,0)</f>
        <v>33031</v>
      </c>
    </row>
    <row r="2433" spans="1:4">
      <c r="A2433" s="8" t="s">
        <v>405</v>
      </c>
      <c r="B2433" s="5">
        <v>1091019</v>
      </c>
      <c r="C2433" s="5" t="s">
        <v>249</v>
      </c>
      <c r="D2433" s="3">
        <f>VLOOKUP(B2433,Sheet2!$A:$O,12,0)</f>
        <v>53387</v>
      </c>
    </row>
    <row r="2434" spans="1:4">
      <c r="A2434" s="8" t="s">
        <v>405</v>
      </c>
      <c r="B2434" s="5">
        <v>1091020</v>
      </c>
      <c r="C2434" s="5" t="s">
        <v>250</v>
      </c>
      <c r="D2434" s="3">
        <f>VLOOKUP(B2434,Sheet2!$A:$O,12,0)</f>
        <v>100500</v>
      </c>
    </row>
    <row r="2435" spans="1:4">
      <c r="A2435" s="8" t="s">
        <v>405</v>
      </c>
      <c r="B2435" s="5">
        <v>1091021</v>
      </c>
      <c r="C2435" s="5" t="s">
        <v>251</v>
      </c>
      <c r="D2435" s="3">
        <f>VLOOKUP(B2435,Sheet2!$A:$O,12,0)</f>
        <v>50600</v>
      </c>
    </row>
    <row r="2436" spans="1:4">
      <c r="A2436" s="8" t="s">
        <v>405</v>
      </c>
      <c r="B2436" s="5">
        <v>1091022</v>
      </c>
      <c r="C2436" s="5" t="s">
        <v>252</v>
      </c>
      <c r="D2436" s="3">
        <f>VLOOKUP(B2436,Sheet2!$A:$O,12,0)</f>
        <v>3235</v>
      </c>
    </row>
    <row r="2437" spans="1:4">
      <c r="A2437" s="8" t="s">
        <v>405</v>
      </c>
      <c r="B2437" s="5">
        <v>1091023</v>
      </c>
      <c r="C2437" s="5" t="s">
        <v>253</v>
      </c>
      <c r="D2437" s="3">
        <f>VLOOKUP(B2437,Sheet2!$A:$O,12,0)</f>
        <v>4412</v>
      </c>
    </row>
    <row r="2438" spans="1:4">
      <c r="A2438" s="8" t="s">
        <v>405</v>
      </c>
      <c r="B2438" s="5">
        <v>1091024</v>
      </c>
      <c r="C2438" s="5" t="s">
        <v>254</v>
      </c>
      <c r="D2438" s="3">
        <f>VLOOKUP(B2438,Sheet2!$A:$O,12,0)</f>
        <v>3922</v>
      </c>
    </row>
    <row r="2439" spans="1:4">
      <c r="A2439" s="8" t="s">
        <v>405</v>
      </c>
      <c r="B2439" s="5">
        <v>1091025</v>
      </c>
      <c r="C2439" s="5" t="s">
        <v>255</v>
      </c>
      <c r="D2439" s="3">
        <f>VLOOKUP(B2439,Sheet2!$A:$O,12,0)</f>
        <v>6373</v>
      </c>
    </row>
    <row r="2440" spans="1:4">
      <c r="A2440" s="8" t="s">
        <v>405</v>
      </c>
      <c r="B2440" s="5">
        <v>1091026</v>
      </c>
      <c r="C2440" s="5" t="s">
        <v>256</v>
      </c>
      <c r="D2440" s="3">
        <f>VLOOKUP(B2440,Sheet2!$A:$O,12,0)</f>
        <v>30686</v>
      </c>
    </row>
    <row r="2441" spans="1:4">
      <c r="A2441" s="8" t="s">
        <v>405</v>
      </c>
      <c r="B2441" s="5">
        <v>1600101</v>
      </c>
      <c r="C2441" s="5" t="s">
        <v>188</v>
      </c>
      <c r="D2441" s="3">
        <f>VLOOKUP(B2441,Sheet2!$A:$O,12,0)</f>
        <v>3044</v>
      </c>
    </row>
    <row r="2442" spans="1:4">
      <c r="A2442" s="8" t="s">
        <v>405</v>
      </c>
      <c r="B2442" s="5">
        <v>1600102</v>
      </c>
      <c r="C2442" s="5" t="s">
        <v>257</v>
      </c>
      <c r="D2442" s="3">
        <f>VLOOKUP(B2442,Sheet2!$A:$O,12,0)</f>
        <v>36275</v>
      </c>
    </row>
    <row r="2443" spans="1:4">
      <c r="A2443" s="8" t="s">
        <v>405</v>
      </c>
      <c r="B2443" s="5">
        <v>1600103</v>
      </c>
      <c r="C2443" s="5" t="s">
        <v>258</v>
      </c>
      <c r="D2443" s="3">
        <f>VLOOKUP(B2443,Sheet2!$A:$O,12,0)</f>
        <v>19800</v>
      </c>
    </row>
    <row r="2444" spans="1:4">
      <c r="A2444" s="8" t="s">
        <v>405</v>
      </c>
      <c r="B2444" s="5">
        <v>1600104</v>
      </c>
      <c r="C2444" s="5" t="s">
        <v>259</v>
      </c>
      <c r="D2444" s="3">
        <f>VLOOKUP(B2444,Sheet2!$A:$O,12,0)</f>
        <v>73810</v>
      </c>
    </row>
    <row r="2445" spans="1:4">
      <c r="A2445" s="8" t="s">
        <v>405</v>
      </c>
      <c r="B2445" s="5">
        <v>1600105</v>
      </c>
      <c r="C2445" s="5" t="s">
        <v>260</v>
      </c>
      <c r="D2445" s="3">
        <f>VLOOKUP(B2445,Sheet2!$A:$O,12,0)</f>
        <v>83950</v>
      </c>
    </row>
    <row r="2446" spans="1:4">
      <c r="A2446" s="8" t="s">
        <v>405</v>
      </c>
      <c r="B2446" s="5">
        <v>1600106</v>
      </c>
      <c r="C2446" s="5" t="s">
        <v>261</v>
      </c>
      <c r="D2446" s="3">
        <f>VLOOKUP(B2446,Sheet2!$A:$O,12,0)</f>
        <v>108071</v>
      </c>
    </row>
    <row r="2447" spans="1:4">
      <c r="A2447" s="8" t="s">
        <v>405</v>
      </c>
      <c r="B2447" s="5">
        <v>1600107</v>
      </c>
      <c r="C2447" s="5" t="s">
        <v>262</v>
      </c>
      <c r="D2447" s="3">
        <f>VLOOKUP(B2447,Sheet2!$A:$O,12,0)</f>
        <v>86601</v>
      </c>
    </row>
    <row r="2448" spans="1:4">
      <c r="A2448" s="8" t="s">
        <v>405</v>
      </c>
      <c r="B2448" s="5">
        <v>1600108</v>
      </c>
      <c r="C2448" s="5" t="s">
        <v>263</v>
      </c>
      <c r="D2448" s="3">
        <f>VLOOKUP(B2448,Sheet2!$A:$O,12,0)</f>
        <v>73810</v>
      </c>
    </row>
    <row r="2449" spans="1:4">
      <c r="A2449" s="8" t="s">
        <v>405</v>
      </c>
      <c r="B2449" s="5">
        <v>1600109</v>
      </c>
      <c r="C2449" s="5" t="s">
        <v>264</v>
      </c>
      <c r="D2449" s="3">
        <f>VLOOKUP(B2449,Sheet2!$A:$O,12,0)</f>
        <v>5882</v>
      </c>
    </row>
    <row r="2450" spans="1:4">
      <c r="A2450" s="8" t="s">
        <v>405</v>
      </c>
      <c r="B2450" s="5">
        <v>1600110</v>
      </c>
      <c r="C2450" s="5" t="s">
        <v>265</v>
      </c>
      <c r="D2450" s="3">
        <f>VLOOKUP(B2450,Sheet2!$A:$O,12,0)</f>
        <v>7917</v>
      </c>
    </row>
    <row r="2451" spans="1:4">
      <c r="A2451" s="8" t="s">
        <v>405</v>
      </c>
      <c r="B2451" s="5">
        <v>1600111</v>
      </c>
      <c r="C2451" s="5" t="s">
        <v>266</v>
      </c>
      <c r="D2451" s="3">
        <f>VLOOKUP(B2451,Sheet2!$A:$O,12,0)</f>
        <v>2266</v>
      </c>
    </row>
    <row r="2452" spans="1:4">
      <c r="A2452" s="8" t="s">
        <v>405</v>
      </c>
      <c r="B2452" s="5">
        <v>1600112</v>
      </c>
      <c r="C2452" s="5" t="s">
        <v>190</v>
      </c>
      <c r="D2452" s="3">
        <f>VLOOKUP(B2452,Sheet2!$A:$O,12,0)</f>
        <v>4800</v>
      </c>
    </row>
    <row r="2453" spans="1:4">
      <c r="A2453" s="8" t="s">
        <v>405</v>
      </c>
      <c r="B2453" s="5">
        <v>1600113</v>
      </c>
      <c r="C2453" s="5" t="s">
        <v>267</v>
      </c>
      <c r="D2453" s="3">
        <f>VLOOKUP(B2453,Sheet2!$A:$O,12,0)</f>
        <v>0</v>
      </c>
    </row>
    <row r="2454" spans="1:4">
      <c r="A2454" s="8" t="s">
        <v>405</v>
      </c>
      <c r="B2454" s="5">
        <v>1600114</v>
      </c>
      <c r="C2454" s="5" t="s">
        <v>268</v>
      </c>
      <c r="D2454" s="3">
        <f>VLOOKUP(B2454,Sheet2!$A:$O,12,0)</f>
        <v>13333</v>
      </c>
    </row>
    <row r="2455" spans="1:4">
      <c r="A2455" s="8" t="s">
        <v>405</v>
      </c>
      <c r="B2455" s="5">
        <v>1700001</v>
      </c>
      <c r="C2455" s="5" t="s">
        <v>269</v>
      </c>
      <c r="D2455" s="3">
        <f>VLOOKUP(B2455,Sheet2!$A:$O,12,0)</f>
        <v>4681</v>
      </c>
    </row>
    <row r="2456" spans="1:4">
      <c r="A2456" s="8" t="s">
        <v>405</v>
      </c>
      <c r="B2456" s="5">
        <v>1700002</v>
      </c>
      <c r="C2456" s="5" t="s">
        <v>270</v>
      </c>
      <c r="D2456" s="3">
        <f>VLOOKUP(B2456,Sheet2!$A:$O,12,0)</f>
        <v>3726</v>
      </c>
    </row>
    <row r="2457" spans="1:4">
      <c r="A2457" s="8" t="s">
        <v>405</v>
      </c>
      <c r="B2457" s="5">
        <v>1700003</v>
      </c>
      <c r="C2457" s="5" t="s">
        <v>271</v>
      </c>
      <c r="D2457" s="3">
        <f>VLOOKUP(B2457,Sheet2!$A:$O,12,0)</f>
        <v>4902</v>
      </c>
    </row>
    <row r="2458" spans="1:4">
      <c r="A2458" s="8" t="s">
        <v>405</v>
      </c>
      <c r="B2458" s="5">
        <v>1700004</v>
      </c>
      <c r="C2458" s="5" t="s">
        <v>272</v>
      </c>
      <c r="D2458" s="3">
        <f>VLOOKUP(B2458,Sheet2!$A:$O,12,0)</f>
        <v>15784</v>
      </c>
    </row>
    <row r="2459" spans="1:4">
      <c r="A2459" s="8" t="s">
        <v>405</v>
      </c>
      <c r="B2459" s="5">
        <v>1700005</v>
      </c>
      <c r="C2459" s="5" t="s">
        <v>192</v>
      </c>
      <c r="D2459" s="3">
        <f>VLOOKUP(B2459,Sheet2!$A:$O,12,0)</f>
        <v>1765</v>
      </c>
    </row>
    <row r="2460" spans="1:4">
      <c r="A2460" s="8" t="s">
        <v>405</v>
      </c>
      <c r="B2460" s="5">
        <v>1700006</v>
      </c>
      <c r="C2460" s="5" t="s">
        <v>273</v>
      </c>
      <c r="D2460" s="3">
        <f>VLOOKUP(B2460,Sheet2!$A:$O,12,0)</f>
        <v>10383</v>
      </c>
    </row>
    <row r="2461" spans="1:4">
      <c r="A2461" s="8" t="s">
        <v>405</v>
      </c>
      <c r="B2461" s="5">
        <v>1700007</v>
      </c>
      <c r="C2461" s="5" t="s">
        <v>274</v>
      </c>
      <c r="D2461" s="3">
        <f>VLOOKUP(B2461,Sheet2!$A:$O,12,0)</f>
        <v>0</v>
      </c>
    </row>
    <row r="2462" spans="1:4">
      <c r="A2462" s="8" t="s">
        <v>405</v>
      </c>
      <c r="B2462" s="5">
        <v>1700008</v>
      </c>
      <c r="C2462" s="5" t="s">
        <v>275</v>
      </c>
      <c r="D2462" s="3">
        <f>VLOOKUP(B2462,Sheet2!$A:$O,12,0)</f>
        <v>0</v>
      </c>
    </row>
    <row r="2463" spans="1:4">
      <c r="A2463" s="8" t="s">
        <v>405</v>
      </c>
      <c r="B2463" s="5">
        <v>1700009</v>
      </c>
      <c r="C2463" s="5" t="s">
        <v>276</v>
      </c>
      <c r="D2463" s="3">
        <f>VLOOKUP(B2463,Sheet2!$A:$O,12,0)</f>
        <v>0</v>
      </c>
    </row>
    <row r="2464" spans="1:4">
      <c r="A2464" s="8" t="s">
        <v>405</v>
      </c>
      <c r="B2464" s="5">
        <v>1700010</v>
      </c>
      <c r="C2464" s="5" t="s">
        <v>277</v>
      </c>
      <c r="D2464" s="3">
        <f>VLOOKUP(B2464,Sheet2!$A:$O,12,0)</f>
        <v>3990</v>
      </c>
    </row>
    <row r="2465" spans="1:4">
      <c r="A2465" s="8" t="s">
        <v>405</v>
      </c>
      <c r="B2465" s="5">
        <v>1700011</v>
      </c>
      <c r="C2465" s="5" t="s">
        <v>278</v>
      </c>
      <c r="D2465" s="3">
        <f>VLOOKUP(B2465,Sheet2!$A:$O,12,0)</f>
        <v>12745</v>
      </c>
    </row>
    <row r="2466" spans="1:4">
      <c r="A2466" s="8" t="s">
        <v>405</v>
      </c>
      <c r="B2466" s="5">
        <v>1700012</v>
      </c>
      <c r="C2466" s="5" t="s">
        <v>279</v>
      </c>
      <c r="D2466" s="3">
        <f>VLOOKUP(B2466,Sheet2!$A:$O,12,0)</f>
        <v>15980</v>
      </c>
    </row>
    <row r="2467" spans="1:4">
      <c r="A2467" s="8" t="s">
        <v>405</v>
      </c>
      <c r="B2467" s="5">
        <v>1700013</v>
      </c>
      <c r="C2467" s="5" t="s">
        <v>280</v>
      </c>
      <c r="D2467" s="3">
        <f>VLOOKUP(B2467,Sheet2!$A:$O,12,0)</f>
        <v>18137</v>
      </c>
    </row>
    <row r="2468" spans="1:4">
      <c r="A2468" s="8" t="s">
        <v>405</v>
      </c>
      <c r="B2468" s="5">
        <v>1700014</v>
      </c>
      <c r="C2468" s="5" t="s">
        <v>194</v>
      </c>
      <c r="D2468" s="3">
        <f>VLOOKUP(B2468,Sheet2!$A:$O,12,0)</f>
        <v>2255</v>
      </c>
    </row>
    <row r="2469" spans="1:4">
      <c r="A2469" s="8" t="s">
        <v>405</v>
      </c>
      <c r="B2469" s="5">
        <v>1700015</v>
      </c>
      <c r="C2469" s="5" t="s">
        <v>281</v>
      </c>
      <c r="D2469" s="3">
        <f>VLOOKUP(B2469,Sheet2!$A:$O,12,0)</f>
        <v>5160</v>
      </c>
    </row>
    <row r="2470" spans="1:4">
      <c r="A2470" s="8" t="s">
        <v>405</v>
      </c>
      <c r="B2470" s="5">
        <v>1700016</v>
      </c>
      <c r="C2470" s="5" t="s">
        <v>282</v>
      </c>
      <c r="D2470" s="3">
        <f>VLOOKUP(B2470,Sheet2!$A:$O,12,0)</f>
        <v>4900</v>
      </c>
    </row>
    <row r="2471" spans="1:4">
      <c r="A2471" s="8" t="s">
        <v>405</v>
      </c>
      <c r="B2471" s="5">
        <v>1700017</v>
      </c>
      <c r="C2471" s="5" t="s">
        <v>283</v>
      </c>
      <c r="D2471" s="3">
        <f>VLOOKUP(B2471,Sheet2!$A:$O,12,0)</f>
        <v>10784</v>
      </c>
    </row>
    <row r="2472" spans="1:4">
      <c r="A2472" s="8" t="s">
        <v>405</v>
      </c>
      <c r="B2472" s="5">
        <v>1700018</v>
      </c>
      <c r="C2472" s="5" t="s">
        <v>284</v>
      </c>
      <c r="D2472" s="3">
        <f>VLOOKUP(B2472,Sheet2!$A:$O,12,0)</f>
        <v>4367</v>
      </c>
    </row>
    <row r="2473" spans="1:4">
      <c r="A2473" s="8" t="s">
        <v>405</v>
      </c>
      <c r="B2473" s="5">
        <v>1700019</v>
      </c>
      <c r="C2473" s="5" t="s">
        <v>285</v>
      </c>
      <c r="D2473" s="3">
        <f>VLOOKUP(B2473,Sheet2!$A:$O,12,0)</f>
        <v>0</v>
      </c>
    </row>
    <row r="2474" spans="1:4">
      <c r="A2474" s="8" t="s">
        <v>405</v>
      </c>
      <c r="B2474" s="5">
        <v>1700020</v>
      </c>
      <c r="C2474" s="5" t="s">
        <v>286</v>
      </c>
      <c r="D2474" s="3">
        <f>VLOOKUP(B2474,Sheet2!$A:$O,12,0)</f>
        <v>49412</v>
      </c>
    </row>
    <row r="2475" spans="1:4">
      <c r="A2475" s="8" t="s">
        <v>405</v>
      </c>
      <c r="B2475" s="5">
        <v>1700021</v>
      </c>
      <c r="C2475" s="5" t="s">
        <v>287</v>
      </c>
      <c r="D2475" s="3">
        <f>VLOOKUP(B2475,Sheet2!$A:$O,12,0)</f>
        <v>84332</v>
      </c>
    </row>
    <row r="2476" spans="1:4">
      <c r="A2476" s="8" t="s">
        <v>405</v>
      </c>
      <c r="B2476" s="5">
        <v>1700022</v>
      </c>
      <c r="C2476" s="5" t="s">
        <v>288</v>
      </c>
      <c r="D2476" s="3">
        <f>VLOOKUP(B2476,Sheet2!$A:$O,12,0)</f>
        <v>33706</v>
      </c>
    </row>
    <row r="2477" spans="1:4">
      <c r="A2477" s="8" t="s">
        <v>405</v>
      </c>
      <c r="B2477" s="5">
        <v>1700023</v>
      </c>
      <c r="C2477" s="5" t="s">
        <v>289</v>
      </c>
      <c r="D2477" s="3">
        <f>VLOOKUP(B2477,Sheet2!$A:$O,12,0)</f>
        <v>8581</v>
      </c>
    </row>
    <row r="2478" spans="1:4">
      <c r="A2478" s="8" t="s">
        <v>405</v>
      </c>
      <c r="B2478" s="5">
        <v>1700024</v>
      </c>
      <c r="C2478" s="5" t="s">
        <v>290</v>
      </c>
      <c r="D2478" s="3">
        <f>VLOOKUP(B2478,Sheet2!$A:$O,12,0)</f>
        <v>0</v>
      </c>
    </row>
    <row r="2479" spans="1:4">
      <c r="A2479" s="8" t="s">
        <v>405</v>
      </c>
      <c r="B2479" s="5">
        <v>1700025</v>
      </c>
      <c r="C2479" s="5" t="s">
        <v>291</v>
      </c>
      <c r="D2479" s="3">
        <f>VLOOKUP(B2479,Sheet2!$A:$O,12,0)</f>
        <v>1961</v>
      </c>
    </row>
    <row r="2480" spans="1:4">
      <c r="A2480" s="8" t="s">
        <v>405</v>
      </c>
      <c r="B2480" s="5">
        <v>1700026</v>
      </c>
      <c r="C2480" s="5" t="s">
        <v>292</v>
      </c>
      <c r="D2480" s="3">
        <f>VLOOKUP(B2480,Sheet2!$A:$O,12,0)</f>
        <v>3725</v>
      </c>
    </row>
    <row r="2481" spans="1:4">
      <c r="A2481" s="8" t="s">
        <v>405</v>
      </c>
      <c r="B2481" s="5">
        <v>1700027</v>
      </c>
      <c r="C2481" s="5" t="s">
        <v>293</v>
      </c>
      <c r="D2481" s="3">
        <f>VLOOKUP(B2481,Sheet2!$A:$O,12,0)</f>
        <v>4412</v>
      </c>
    </row>
    <row r="2482" spans="1:4">
      <c r="A2482" s="8" t="s">
        <v>405</v>
      </c>
      <c r="B2482" s="5">
        <v>1700028</v>
      </c>
      <c r="C2482" s="5" t="s">
        <v>294</v>
      </c>
      <c r="D2482" s="3">
        <f>VLOOKUP(B2482,Sheet2!$A:$O,12,0)</f>
        <v>9500</v>
      </c>
    </row>
    <row r="2483" spans="1:4">
      <c r="A2483" s="8" t="s">
        <v>405</v>
      </c>
      <c r="B2483" s="5">
        <v>1700029</v>
      </c>
      <c r="C2483" s="5" t="s">
        <v>295</v>
      </c>
      <c r="D2483" s="3">
        <f>VLOOKUP(B2483,Sheet2!$A:$O,12,0)</f>
        <v>10670</v>
      </c>
    </row>
    <row r="2484" spans="1:4">
      <c r="A2484" s="8" t="s">
        <v>405</v>
      </c>
      <c r="B2484" s="5">
        <v>1700030</v>
      </c>
      <c r="C2484" s="5" t="s">
        <v>296</v>
      </c>
      <c r="D2484" s="3">
        <f>VLOOKUP(B2484,Sheet2!$A:$O,12,0)</f>
        <v>12720</v>
      </c>
    </row>
    <row r="2485" spans="1:4">
      <c r="A2485" s="8" t="s">
        <v>405</v>
      </c>
      <c r="B2485" s="5">
        <v>1700031</v>
      </c>
      <c r="C2485" s="5" t="s">
        <v>196</v>
      </c>
      <c r="D2485" s="3">
        <f>VLOOKUP(B2485,Sheet2!$A:$O,12,0)</f>
        <v>2069</v>
      </c>
    </row>
    <row r="2486" spans="1:4">
      <c r="A2486" s="8" t="s">
        <v>405</v>
      </c>
      <c r="B2486" s="5">
        <v>1700032</v>
      </c>
      <c r="C2486" s="5" t="s">
        <v>297</v>
      </c>
      <c r="D2486" s="3">
        <f>VLOOKUP(B2486,Sheet2!$A:$O,12,0)</f>
        <v>0</v>
      </c>
    </row>
    <row r="2487" spans="1:4">
      <c r="A2487" s="8" t="s">
        <v>405</v>
      </c>
      <c r="B2487" s="5">
        <v>1700033</v>
      </c>
      <c r="C2487" s="5" t="s">
        <v>298</v>
      </c>
      <c r="D2487" s="3">
        <f>VLOOKUP(B2487,Sheet2!$A:$O,12,0)</f>
        <v>0</v>
      </c>
    </row>
    <row r="2488" spans="1:4">
      <c r="A2488" s="8" t="s">
        <v>405</v>
      </c>
      <c r="B2488" s="5">
        <v>1700034</v>
      </c>
      <c r="C2488" s="5" t="s">
        <v>299</v>
      </c>
      <c r="D2488" s="3">
        <f>VLOOKUP(B2488,Sheet2!$A:$O,12,0)</f>
        <v>17475</v>
      </c>
    </row>
    <row r="2489" spans="1:4">
      <c r="A2489" s="8" t="s">
        <v>405</v>
      </c>
      <c r="B2489" s="5">
        <v>1700035</v>
      </c>
      <c r="C2489" s="5" t="s">
        <v>300</v>
      </c>
      <c r="D2489" s="3">
        <f>VLOOKUP(B2489,Sheet2!$A:$O,12,0)</f>
        <v>64367</v>
      </c>
    </row>
    <row r="2490" spans="1:4">
      <c r="A2490" s="8" t="s">
        <v>405</v>
      </c>
      <c r="B2490" s="5">
        <v>1700036</v>
      </c>
      <c r="C2490" s="5" t="s">
        <v>301</v>
      </c>
      <c r="D2490" s="3">
        <f>VLOOKUP(B2490,Sheet2!$A:$O,12,0)</f>
        <v>5200</v>
      </c>
    </row>
    <row r="2491" spans="1:4">
      <c r="A2491" s="8" t="s">
        <v>405</v>
      </c>
      <c r="B2491" s="5">
        <v>1700037</v>
      </c>
      <c r="C2491" s="5" t="s">
        <v>302</v>
      </c>
      <c r="D2491" s="3">
        <f>VLOOKUP(B2491,Sheet2!$A:$O,12,0)</f>
        <v>7533</v>
      </c>
    </row>
    <row r="2492" spans="1:4">
      <c r="A2492" s="8" t="s">
        <v>405</v>
      </c>
      <c r="B2492" s="5">
        <v>1700038</v>
      </c>
      <c r="C2492" s="5" t="s">
        <v>303</v>
      </c>
      <c r="D2492" s="3">
        <f>VLOOKUP(B2492,Sheet2!$A:$O,12,0)</f>
        <v>2157</v>
      </c>
    </row>
    <row r="2493" spans="1:4">
      <c r="A2493" s="8" t="s">
        <v>405</v>
      </c>
      <c r="B2493" s="5">
        <v>1700039</v>
      </c>
      <c r="C2493" s="5" t="s">
        <v>304</v>
      </c>
      <c r="D2493" s="3">
        <f>VLOOKUP(B2493,Sheet2!$A:$O,12,0)</f>
        <v>2431</v>
      </c>
    </row>
    <row r="2494" spans="1:4">
      <c r="A2494" s="8" t="s">
        <v>405</v>
      </c>
      <c r="B2494" s="5">
        <v>1700040</v>
      </c>
      <c r="C2494" s="5" t="s">
        <v>305</v>
      </c>
      <c r="D2494" s="3">
        <f>VLOOKUP(B2494,Sheet2!$A:$O,12,0)</f>
        <v>1967</v>
      </c>
    </row>
    <row r="2495" spans="1:4">
      <c r="A2495" s="8" t="s">
        <v>405</v>
      </c>
      <c r="B2495" s="5">
        <v>1700041</v>
      </c>
      <c r="C2495" s="5" t="s">
        <v>306</v>
      </c>
      <c r="D2495" s="3">
        <f>VLOOKUP(B2495,Sheet2!$A:$O,12,0)</f>
        <v>3000</v>
      </c>
    </row>
    <row r="2496" spans="1:4">
      <c r="A2496" s="8" t="s">
        <v>405</v>
      </c>
      <c r="B2496" s="5">
        <v>1700042</v>
      </c>
      <c r="C2496" s="5" t="s">
        <v>307</v>
      </c>
      <c r="D2496" s="3">
        <f>VLOOKUP(B2496,Sheet2!$A:$O,12,0)</f>
        <v>3163</v>
      </c>
    </row>
    <row r="2497" spans="1:4">
      <c r="A2497" s="8" t="s">
        <v>405</v>
      </c>
      <c r="B2497" s="5">
        <v>1700043</v>
      </c>
      <c r="C2497" s="5" t="s">
        <v>308</v>
      </c>
      <c r="D2497" s="3">
        <f>VLOOKUP(B2497,Sheet2!$A:$O,12,0)</f>
        <v>5877</v>
      </c>
    </row>
    <row r="2498" spans="1:4">
      <c r="A2498" s="8" t="s">
        <v>405</v>
      </c>
      <c r="B2498" s="5">
        <v>1700044</v>
      </c>
      <c r="C2498" s="5" t="s">
        <v>309</v>
      </c>
      <c r="D2498" s="3">
        <f>VLOOKUP(B2498,Sheet2!$A:$O,12,0)</f>
        <v>7000</v>
      </c>
    </row>
    <row r="2499" spans="1:4">
      <c r="A2499" s="8" t="s">
        <v>405</v>
      </c>
      <c r="B2499" s="5">
        <v>1700045</v>
      </c>
      <c r="C2499" s="5" t="s">
        <v>310</v>
      </c>
      <c r="D2499" s="3">
        <f>VLOOKUP(B2499,Sheet2!$A:$O,12,0)</f>
        <v>3696</v>
      </c>
    </row>
    <row r="2500" spans="1:4">
      <c r="A2500" s="8" t="s">
        <v>405</v>
      </c>
      <c r="B2500" s="5">
        <v>1700046</v>
      </c>
      <c r="C2500" s="5" t="s">
        <v>311</v>
      </c>
      <c r="D2500" s="3">
        <f>VLOOKUP(B2500,Sheet2!$A:$O,12,0)</f>
        <v>6863</v>
      </c>
    </row>
    <row r="2501" spans="1:4">
      <c r="A2501" s="8" t="s">
        <v>405</v>
      </c>
      <c r="B2501" s="5">
        <v>1700047</v>
      </c>
      <c r="C2501" s="5" t="s">
        <v>312</v>
      </c>
      <c r="D2501" s="3">
        <f>VLOOKUP(B2501,Sheet2!$A:$O,12,0)</f>
        <v>22350</v>
      </c>
    </row>
    <row r="2502" spans="1:4">
      <c r="A2502" s="8" t="s">
        <v>405</v>
      </c>
      <c r="B2502" s="5">
        <v>1700048</v>
      </c>
      <c r="C2502" s="5" t="s">
        <v>313</v>
      </c>
      <c r="D2502" s="3">
        <f>VLOOKUP(B2502,Sheet2!$A:$O,12,0)</f>
        <v>13330</v>
      </c>
    </row>
    <row r="2503" spans="1:4">
      <c r="A2503" s="8" t="s">
        <v>405</v>
      </c>
      <c r="B2503" s="5">
        <v>1700049</v>
      </c>
      <c r="C2503" s="5" t="s">
        <v>314</v>
      </c>
      <c r="D2503" s="3">
        <f>VLOOKUP(B2503,Sheet2!$A:$O,12,0)</f>
        <v>5785</v>
      </c>
    </row>
    <row r="2504" spans="1:4">
      <c r="A2504" s="8" t="s">
        <v>405</v>
      </c>
      <c r="B2504" s="5">
        <v>1700050</v>
      </c>
      <c r="C2504" s="5" t="s">
        <v>315</v>
      </c>
      <c r="D2504" s="3">
        <f>VLOOKUP(B2504,Sheet2!$A:$O,12,0)</f>
        <v>39000</v>
      </c>
    </row>
    <row r="2505" spans="1:4">
      <c r="A2505" s="8" t="s">
        <v>405</v>
      </c>
      <c r="B2505" s="5">
        <v>1700051</v>
      </c>
      <c r="C2505" s="5" t="s">
        <v>316</v>
      </c>
      <c r="D2505" s="3">
        <f>VLOOKUP(B2505,Sheet2!$A:$O,12,0)</f>
        <v>11500</v>
      </c>
    </row>
    <row r="2506" spans="1:4">
      <c r="A2506" s="8" t="s">
        <v>405</v>
      </c>
      <c r="B2506" s="5">
        <v>1700052</v>
      </c>
      <c r="C2506" s="5" t="s">
        <v>317</v>
      </c>
      <c r="D2506" s="3">
        <f>VLOOKUP(B2506,Sheet2!$A:$O,12,0)</f>
        <v>3444</v>
      </c>
    </row>
    <row r="2507" spans="1:4">
      <c r="A2507" s="8" t="s">
        <v>405</v>
      </c>
      <c r="B2507" s="5">
        <v>1700053</v>
      </c>
      <c r="C2507" s="5" t="s">
        <v>318</v>
      </c>
      <c r="D2507" s="3">
        <f>VLOOKUP(B2507,Sheet2!$A:$O,12,0)</f>
        <v>15530</v>
      </c>
    </row>
    <row r="2508" spans="1:4">
      <c r="A2508" s="8" t="s">
        <v>405</v>
      </c>
      <c r="B2508" s="5">
        <v>1700054</v>
      </c>
      <c r="C2508" s="5" t="s">
        <v>319</v>
      </c>
      <c r="D2508" s="3">
        <f>VLOOKUP(B2508,Sheet2!$A:$O,12,0)</f>
        <v>11670</v>
      </c>
    </row>
    <row r="2509" spans="1:4">
      <c r="A2509" s="8" t="s">
        <v>405</v>
      </c>
      <c r="B2509" s="5">
        <v>1700055</v>
      </c>
      <c r="C2509" s="5" t="s">
        <v>320</v>
      </c>
      <c r="D2509" s="3">
        <f>VLOOKUP(B2509,Sheet2!$A:$O,12,0)</f>
        <v>11940</v>
      </c>
    </row>
    <row r="2510" spans="1:4">
      <c r="A2510" s="8" t="s">
        <v>405</v>
      </c>
      <c r="B2510" s="5">
        <v>1700056</v>
      </c>
      <c r="C2510" s="5" t="s">
        <v>321</v>
      </c>
      <c r="D2510" s="3">
        <f>VLOOKUP(B2510,Sheet2!$A:$O,12,0)</f>
        <v>6513</v>
      </c>
    </row>
    <row r="2511" spans="1:4">
      <c r="A2511" s="8" t="s">
        <v>405</v>
      </c>
      <c r="B2511" s="5">
        <v>1700057</v>
      </c>
      <c r="C2511" s="5" t="s">
        <v>322</v>
      </c>
      <c r="D2511" s="3">
        <f>VLOOKUP(B2511,Sheet2!$A:$O,12,0)</f>
        <v>2098</v>
      </c>
    </row>
    <row r="2512" spans="1:4">
      <c r="A2512" s="8" t="s">
        <v>405</v>
      </c>
      <c r="B2512" s="5">
        <v>1700058</v>
      </c>
      <c r="C2512" s="5" t="s">
        <v>323</v>
      </c>
      <c r="D2512" s="3">
        <f>VLOOKUP(B2512,Sheet2!$A:$O,12,0)</f>
        <v>5800</v>
      </c>
    </row>
    <row r="2513" spans="1:4">
      <c r="A2513" s="8" t="s">
        <v>405</v>
      </c>
      <c r="B2513" s="5">
        <v>1700059</v>
      </c>
      <c r="C2513" s="5" t="s">
        <v>324</v>
      </c>
      <c r="D2513" s="3">
        <f>VLOOKUP(B2513,Sheet2!$A:$O,12,0)</f>
        <v>27667</v>
      </c>
    </row>
    <row r="2514" spans="1:4">
      <c r="A2514" s="8" t="s">
        <v>405</v>
      </c>
      <c r="B2514" s="5">
        <v>1700060</v>
      </c>
      <c r="C2514" s="5" t="s">
        <v>325</v>
      </c>
      <c r="D2514" s="3">
        <f>VLOOKUP(B2514,Sheet2!$A:$O,12,0)</f>
        <v>3402</v>
      </c>
    </row>
    <row r="2515" spans="1:4">
      <c r="A2515" s="8" t="s">
        <v>405</v>
      </c>
      <c r="B2515" s="5">
        <v>1700061</v>
      </c>
      <c r="C2515" s="5" t="s">
        <v>326</v>
      </c>
      <c r="D2515" s="3">
        <f>VLOOKUP(B2515,Sheet2!$A:$O,12,0)</f>
        <v>8920</v>
      </c>
    </row>
    <row r="2516" spans="1:4">
      <c r="A2516" s="8" t="s">
        <v>405</v>
      </c>
      <c r="B2516" s="5">
        <v>1700062</v>
      </c>
      <c r="C2516" s="5" t="s">
        <v>327</v>
      </c>
      <c r="D2516" s="3">
        <f>VLOOKUP(B2516,Sheet2!$A:$O,12,0)</f>
        <v>10520</v>
      </c>
    </row>
    <row r="2517" spans="1:4">
      <c r="A2517" s="8" t="s">
        <v>405</v>
      </c>
      <c r="B2517" s="5">
        <v>1700063</v>
      </c>
      <c r="C2517" s="5" t="s">
        <v>328</v>
      </c>
      <c r="D2517" s="3">
        <f>VLOOKUP(B2517,Sheet2!$A:$O,12,0)</f>
        <v>10550</v>
      </c>
    </row>
    <row r="2518" spans="1:4">
      <c r="A2518" s="8" t="s">
        <v>405</v>
      </c>
      <c r="B2518" s="5">
        <v>1700064</v>
      </c>
      <c r="C2518" s="5" t="s">
        <v>329</v>
      </c>
      <c r="D2518" s="3">
        <f>VLOOKUP(B2518,Sheet2!$A:$O,12,0)</f>
        <v>11060</v>
      </c>
    </row>
    <row r="2519" spans="1:4">
      <c r="A2519" s="8" t="s">
        <v>405</v>
      </c>
      <c r="B2519" s="5">
        <v>1700065</v>
      </c>
      <c r="C2519" s="5" t="s">
        <v>330</v>
      </c>
      <c r="D2519" s="3">
        <f>VLOOKUP(B2519,Sheet2!$A:$O,12,0)</f>
        <v>12760</v>
      </c>
    </row>
    <row r="2520" spans="1:4">
      <c r="A2520" s="8" t="s">
        <v>405</v>
      </c>
      <c r="B2520" s="5">
        <v>1700066</v>
      </c>
      <c r="C2520" s="5" t="s">
        <v>331</v>
      </c>
      <c r="D2520" s="3">
        <f>VLOOKUP(B2520,Sheet2!$A:$O,12,0)</f>
        <v>13200</v>
      </c>
    </row>
    <row r="2521" spans="1:4">
      <c r="A2521" s="8" t="s">
        <v>405</v>
      </c>
      <c r="B2521" s="5">
        <v>1700067</v>
      </c>
      <c r="C2521" s="5" t="s">
        <v>332</v>
      </c>
      <c r="D2521" s="3">
        <f>VLOOKUP(B2521,Sheet2!$A:$O,12,0)</f>
        <v>10720</v>
      </c>
    </row>
    <row r="2522" spans="1:4">
      <c r="A2522" s="8" t="s">
        <v>405</v>
      </c>
      <c r="B2522" s="5">
        <v>1700068</v>
      </c>
      <c r="C2522" s="5" t="s">
        <v>333</v>
      </c>
      <c r="D2522" s="3">
        <f>VLOOKUP(B2522,Sheet2!$A:$O,12,0)</f>
        <v>12720</v>
      </c>
    </row>
    <row r="2523" spans="1:4">
      <c r="A2523" s="8" t="s">
        <v>405</v>
      </c>
      <c r="B2523" s="5">
        <v>1700069</v>
      </c>
      <c r="C2523" s="5" t="s">
        <v>334</v>
      </c>
      <c r="D2523" s="3">
        <f>VLOOKUP(B2523,Sheet2!$A:$O,12,0)</f>
        <v>14000</v>
      </c>
    </row>
    <row r="2524" spans="1:4">
      <c r="A2524" s="8" t="s">
        <v>405</v>
      </c>
      <c r="B2524" s="5">
        <v>1700070</v>
      </c>
      <c r="C2524" s="5" t="s">
        <v>335</v>
      </c>
      <c r="D2524" s="3">
        <f>VLOOKUP(B2524,Sheet2!$A:$O,12,0)</f>
        <v>1618</v>
      </c>
    </row>
    <row r="2525" spans="1:4">
      <c r="A2525" s="8" t="s">
        <v>405</v>
      </c>
      <c r="B2525" s="5">
        <v>1700071</v>
      </c>
      <c r="C2525" s="5" t="s">
        <v>336</v>
      </c>
      <c r="D2525" s="3">
        <f>VLOOKUP(B2525,Sheet2!$A:$O,12,0)</f>
        <v>12190</v>
      </c>
    </row>
    <row r="2526" spans="1:4">
      <c r="A2526" s="8" t="s">
        <v>405</v>
      </c>
      <c r="B2526" s="5">
        <v>1700072</v>
      </c>
      <c r="C2526" s="5" t="s">
        <v>337</v>
      </c>
      <c r="D2526" s="3">
        <f>VLOOKUP(B2526,Sheet2!$A:$O,12,0)</f>
        <v>10180</v>
      </c>
    </row>
    <row r="2527" spans="1:4">
      <c r="A2527" s="8" t="s">
        <v>405</v>
      </c>
      <c r="B2527" s="5">
        <v>1700073</v>
      </c>
      <c r="C2527" s="5" t="s">
        <v>338</v>
      </c>
      <c r="D2527" s="3">
        <f>VLOOKUP(B2527,Sheet2!$A:$O,12,0)</f>
        <v>9020</v>
      </c>
    </row>
    <row r="2528" spans="1:4">
      <c r="A2528" s="8" t="s">
        <v>405</v>
      </c>
      <c r="B2528" s="5">
        <v>1700076</v>
      </c>
      <c r="C2528" s="5" t="s">
        <v>339</v>
      </c>
      <c r="D2528" s="3">
        <f>VLOOKUP(B2528,Sheet2!$A:$O,12,0)</f>
        <v>3187</v>
      </c>
    </row>
    <row r="2529" spans="1:4">
      <c r="A2529" s="8" t="s">
        <v>405</v>
      </c>
      <c r="B2529" s="5">
        <v>1700077</v>
      </c>
      <c r="C2529" s="5" t="s">
        <v>340</v>
      </c>
      <c r="D2529" s="3">
        <f>VLOOKUP(B2529,Sheet2!$A:$O,12,0)</f>
        <v>3015</v>
      </c>
    </row>
    <row r="2530" spans="1:4">
      <c r="A2530" s="8" t="s">
        <v>405</v>
      </c>
      <c r="B2530" s="5">
        <v>1700078</v>
      </c>
      <c r="C2530" s="5" t="s">
        <v>341</v>
      </c>
      <c r="D2530" s="3">
        <f>VLOOKUP(B2530,Sheet2!$A:$O,12,0)</f>
        <v>4716</v>
      </c>
    </row>
    <row r="2531" spans="1:4">
      <c r="A2531" s="8" t="s">
        <v>405</v>
      </c>
      <c r="B2531" s="5">
        <v>1700080</v>
      </c>
      <c r="C2531" s="5" t="s">
        <v>342</v>
      </c>
      <c r="D2531" s="3">
        <f>VLOOKUP(B2531,Sheet2!$A:$O,12,0)</f>
        <v>3529</v>
      </c>
    </row>
    <row r="2532" spans="1:4">
      <c r="A2532" s="8" t="s">
        <v>405</v>
      </c>
      <c r="B2532" s="5">
        <v>1700083</v>
      </c>
      <c r="C2532" s="5" t="s">
        <v>343</v>
      </c>
      <c r="D2532" s="3">
        <f>VLOOKUP(B2532,Sheet2!$A:$O,12,0)</f>
        <v>8333</v>
      </c>
    </row>
    <row r="2533" spans="1:4">
      <c r="A2533" s="8" t="s">
        <v>405</v>
      </c>
      <c r="B2533" s="5">
        <v>1700084</v>
      </c>
      <c r="C2533" s="5" t="s">
        <v>344</v>
      </c>
      <c r="D2533" s="3">
        <f>VLOOKUP(B2533,Sheet2!$A:$O,12,0)</f>
        <v>6282</v>
      </c>
    </row>
    <row r="2534" spans="1:4">
      <c r="A2534" s="8" t="s">
        <v>405</v>
      </c>
      <c r="B2534" s="5">
        <v>1700085</v>
      </c>
      <c r="C2534" s="5" t="s">
        <v>345</v>
      </c>
      <c r="D2534" s="3">
        <f>VLOOKUP(B2534,Sheet2!$A:$O,12,0)</f>
        <v>7860</v>
      </c>
    </row>
    <row r="2535" spans="1:4">
      <c r="A2535" s="8" t="s">
        <v>405</v>
      </c>
      <c r="B2535" s="5">
        <v>1700086</v>
      </c>
      <c r="C2535" s="5" t="s">
        <v>346</v>
      </c>
      <c r="D2535" s="3">
        <f>VLOOKUP(B2535,Sheet2!$A:$O,12,0)</f>
        <v>1814</v>
      </c>
    </row>
    <row r="2536" spans="1:4">
      <c r="A2536" s="8" t="s">
        <v>405</v>
      </c>
      <c r="B2536" s="5">
        <v>1700087</v>
      </c>
      <c r="C2536" s="5" t="s">
        <v>347</v>
      </c>
      <c r="D2536" s="3">
        <f>VLOOKUP(B2536,Sheet2!$A:$O,12,0)</f>
        <v>4890</v>
      </c>
    </row>
    <row r="2537" spans="1:4">
      <c r="A2537" s="8" t="s">
        <v>405</v>
      </c>
      <c r="B2537" s="5">
        <v>1700088</v>
      </c>
      <c r="C2537" s="5" t="s">
        <v>348</v>
      </c>
      <c r="D2537" s="3">
        <f>VLOOKUP(B2537,Sheet2!$A:$O,12,0)</f>
        <v>15500</v>
      </c>
    </row>
    <row r="2538" spans="1:4">
      <c r="A2538" s="8" t="s">
        <v>405</v>
      </c>
      <c r="B2538" s="5">
        <v>1700089</v>
      </c>
      <c r="C2538" s="5" t="s">
        <v>349</v>
      </c>
      <c r="D2538" s="3">
        <f>VLOOKUP(B2538,Sheet2!$A:$O,12,0)</f>
        <v>18500</v>
      </c>
    </row>
    <row r="2539" spans="1:4">
      <c r="A2539" s="8" t="s">
        <v>405</v>
      </c>
      <c r="B2539" s="5">
        <v>1700090</v>
      </c>
      <c r="C2539" s="5" t="s">
        <v>350</v>
      </c>
      <c r="D2539" s="3">
        <f>VLOOKUP(B2539,Sheet2!$A:$O,12,0)</f>
        <v>36706</v>
      </c>
    </row>
    <row r="2540" spans="1:4">
      <c r="A2540" s="8" t="s">
        <v>405</v>
      </c>
      <c r="B2540" s="5">
        <v>1700091</v>
      </c>
      <c r="C2540" s="5" t="s">
        <v>351</v>
      </c>
      <c r="D2540" s="3">
        <f>VLOOKUP(B2540,Sheet2!$A:$O,12,0)</f>
        <v>18353</v>
      </c>
    </row>
    <row r="2541" spans="1:4">
      <c r="A2541" s="8" t="s">
        <v>405</v>
      </c>
      <c r="B2541" s="5">
        <v>1700092</v>
      </c>
      <c r="C2541" s="5" t="s">
        <v>352</v>
      </c>
      <c r="D2541" s="3">
        <f>VLOOKUP(B2541,Sheet2!$A:$O,12,0)</f>
        <v>1951</v>
      </c>
    </row>
    <row r="2542" spans="1:4">
      <c r="A2542" s="8" t="s">
        <v>405</v>
      </c>
      <c r="B2542" s="5">
        <v>1700093</v>
      </c>
      <c r="C2542" s="5" t="s">
        <v>353</v>
      </c>
      <c r="D2542" s="3">
        <f>VLOOKUP(B2542,Sheet2!$A:$O,12,0)</f>
        <v>11180</v>
      </c>
    </row>
    <row r="2543" spans="1:4">
      <c r="A2543" s="8" t="s">
        <v>405</v>
      </c>
      <c r="B2543" s="5">
        <v>1700094</v>
      </c>
      <c r="C2543" s="5" t="s">
        <v>354</v>
      </c>
      <c r="D2543" s="3">
        <f>VLOOKUP(B2543,Sheet2!$A:$O,12,0)</f>
        <v>13529</v>
      </c>
    </row>
    <row r="2544" spans="1:4">
      <c r="A2544" s="8" t="s">
        <v>405</v>
      </c>
      <c r="B2544" s="5">
        <v>1700095</v>
      </c>
      <c r="C2544" s="5" t="s">
        <v>355</v>
      </c>
      <c r="D2544" s="3">
        <f>VLOOKUP(B2544,Sheet2!$A:$O,12,0)</f>
        <v>4500</v>
      </c>
    </row>
    <row r="2545" spans="1:4">
      <c r="A2545" s="8" t="s">
        <v>405</v>
      </c>
      <c r="B2545" s="5">
        <v>1700096</v>
      </c>
      <c r="C2545" s="5" t="s">
        <v>356</v>
      </c>
      <c r="D2545" s="3">
        <f>VLOOKUP(B2545,Sheet2!$A:$O,12,0)</f>
        <v>24510</v>
      </c>
    </row>
    <row r="2546" spans="1:4">
      <c r="A2546" s="8" t="s">
        <v>405</v>
      </c>
      <c r="B2546" s="5">
        <v>1700097</v>
      </c>
      <c r="C2546" s="5" t="s">
        <v>357</v>
      </c>
      <c r="D2546" s="3">
        <f>VLOOKUP(B2546,Sheet2!$A:$O,12,0)</f>
        <v>19608</v>
      </c>
    </row>
    <row r="2547" spans="1:4">
      <c r="A2547" s="8" t="s">
        <v>405</v>
      </c>
      <c r="B2547" s="5">
        <v>1700098</v>
      </c>
      <c r="C2547" s="5" t="s">
        <v>358</v>
      </c>
      <c r="D2547" s="3">
        <f>VLOOKUP(B2547,Sheet2!$A:$O,12,0)</f>
        <v>19608</v>
      </c>
    </row>
    <row r="2548" spans="1:4">
      <c r="A2548" s="8" t="s">
        <v>405</v>
      </c>
      <c r="B2548" s="5">
        <v>1700099</v>
      </c>
      <c r="C2548" s="5" t="s">
        <v>359</v>
      </c>
      <c r="D2548" s="3">
        <f>VLOOKUP(B2548,Sheet2!$A:$O,12,0)</f>
        <v>9000</v>
      </c>
    </row>
    <row r="2549" spans="1:4">
      <c r="A2549" s="8" t="s">
        <v>405</v>
      </c>
      <c r="B2549" s="5">
        <v>1700100</v>
      </c>
      <c r="C2549" s="5" t="s">
        <v>360</v>
      </c>
      <c r="D2549" s="3">
        <f>VLOOKUP(B2549,Sheet2!$A:$O,12,0)</f>
        <v>3333</v>
      </c>
    </row>
    <row r="2550" spans="1:4">
      <c r="A2550" s="8" t="s">
        <v>405</v>
      </c>
      <c r="B2550" s="5">
        <v>1700101</v>
      </c>
      <c r="C2550" s="5" t="s">
        <v>361</v>
      </c>
      <c r="D2550" s="3">
        <f>VLOOKUP(B2550,Sheet2!$A:$O,12,0)</f>
        <v>7647</v>
      </c>
    </row>
    <row r="2551" spans="1:4">
      <c r="A2551" s="8" t="s">
        <v>405</v>
      </c>
      <c r="B2551" s="5">
        <v>1700102</v>
      </c>
      <c r="C2551" s="5" t="s">
        <v>362</v>
      </c>
      <c r="D2551" s="3">
        <f>VLOOKUP(B2551,Sheet2!$A:$O,12,0)</f>
        <v>40196</v>
      </c>
    </row>
    <row r="2552" spans="1:4">
      <c r="A2552" s="8" t="s">
        <v>405</v>
      </c>
      <c r="B2552" s="5">
        <v>1700103</v>
      </c>
      <c r="C2552" s="5" t="s">
        <v>363</v>
      </c>
      <c r="D2552" s="3">
        <f>VLOOKUP(B2552,Sheet2!$A:$O,12,0)</f>
        <v>9000</v>
      </c>
    </row>
    <row r="2553" spans="1:4">
      <c r="A2553" s="8" t="s">
        <v>405</v>
      </c>
      <c r="B2553" s="5">
        <v>1700104</v>
      </c>
      <c r="C2553" s="5" t="s">
        <v>364</v>
      </c>
      <c r="D2553" s="3">
        <f>VLOOKUP(B2553,Sheet2!$A:$O,12,0)</f>
        <v>25000</v>
      </c>
    </row>
    <row r="2554" spans="1:4">
      <c r="A2554" s="8" t="s">
        <v>405</v>
      </c>
      <c r="B2554" s="5">
        <v>1700105</v>
      </c>
      <c r="C2554" s="5" t="s">
        <v>365</v>
      </c>
      <c r="D2554" s="3">
        <f>VLOOKUP(B2554,Sheet2!$A:$O,12,0)</f>
        <v>10588</v>
      </c>
    </row>
    <row r="2555" spans="1:4">
      <c r="A2555" s="8" t="s">
        <v>405</v>
      </c>
      <c r="B2555" s="5">
        <v>1700106</v>
      </c>
      <c r="C2555" s="5" t="s">
        <v>366</v>
      </c>
      <c r="D2555" s="3">
        <f>VLOOKUP(B2555,Sheet2!$A:$O,12,0)</f>
        <v>14020</v>
      </c>
    </row>
    <row r="2556" spans="1:4">
      <c r="A2556" s="8" t="s">
        <v>405</v>
      </c>
      <c r="B2556" s="5">
        <v>1700107</v>
      </c>
      <c r="C2556" s="5" t="s">
        <v>367</v>
      </c>
      <c r="D2556" s="3">
        <f>VLOOKUP(B2556,Sheet2!$A:$O,12,0)</f>
        <v>9020</v>
      </c>
    </row>
    <row r="2557" spans="1:4">
      <c r="A2557" s="8" t="s">
        <v>405</v>
      </c>
      <c r="B2557" s="5">
        <v>1800002</v>
      </c>
      <c r="C2557" s="5" t="s">
        <v>368</v>
      </c>
      <c r="D2557" s="3">
        <f>VLOOKUP(B2557,Sheet2!$A:$O,12,0)</f>
        <v>9520</v>
      </c>
    </row>
    <row r="2558" spans="1:4">
      <c r="A2558" s="8" t="s">
        <v>405</v>
      </c>
      <c r="B2558" s="5">
        <v>1800004</v>
      </c>
      <c r="C2558" s="5" t="s">
        <v>369</v>
      </c>
      <c r="D2558" s="3">
        <f>VLOOKUP(B2558,Sheet2!$A:$O,12,0)</f>
        <v>0</v>
      </c>
    </row>
    <row r="2559" spans="1:4">
      <c r="A2559" s="8" t="s">
        <v>405</v>
      </c>
      <c r="B2559" s="5">
        <v>1800005</v>
      </c>
      <c r="C2559" s="5" t="s">
        <v>370</v>
      </c>
      <c r="D2559" s="3">
        <f>VLOOKUP(B2559,Sheet2!$A:$O,12,0)</f>
        <v>0</v>
      </c>
    </row>
    <row r="2560" spans="1:4">
      <c r="A2560" s="8" t="s">
        <v>405</v>
      </c>
      <c r="B2560" s="5">
        <v>1800006</v>
      </c>
      <c r="C2560" s="5" t="s">
        <v>371</v>
      </c>
      <c r="D2560" s="3">
        <f>VLOOKUP(B2560,Sheet2!$A:$O,12,0)</f>
        <v>0</v>
      </c>
    </row>
    <row r="2561" spans="1:4">
      <c r="A2561" s="8" t="s">
        <v>405</v>
      </c>
      <c r="B2561" s="5">
        <v>1800007</v>
      </c>
      <c r="C2561" s="5" t="s">
        <v>372</v>
      </c>
      <c r="D2561" s="3">
        <f>VLOOKUP(B2561,Sheet2!$A:$O,12,0)</f>
        <v>10000</v>
      </c>
    </row>
    <row r="2562" spans="1:4">
      <c r="A2562" s="8" t="s">
        <v>405</v>
      </c>
      <c r="B2562" s="5">
        <v>1800008</v>
      </c>
      <c r="C2562" s="5" t="s">
        <v>373</v>
      </c>
      <c r="D2562" s="3">
        <f>VLOOKUP(B2562,Sheet2!$A:$O,12,0)</f>
        <v>10110</v>
      </c>
    </row>
    <row r="2563" spans="1:4">
      <c r="A2563" s="8" t="s">
        <v>405</v>
      </c>
      <c r="B2563" s="5">
        <v>1800009</v>
      </c>
      <c r="C2563" s="5" t="s">
        <v>374</v>
      </c>
      <c r="D2563" s="3">
        <f>VLOOKUP(B2563,Sheet2!$A:$O,12,0)</f>
        <v>11800</v>
      </c>
    </row>
    <row r="2564" spans="1:4">
      <c r="A2564" s="8" t="s">
        <v>405</v>
      </c>
      <c r="B2564" s="5">
        <v>1800010</v>
      </c>
      <c r="C2564" s="5" t="s">
        <v>375</v>
      </c>
      <c r="D2564" s="3">
        <f>VLOOKUP(B2564,Sheet2!$A:$O,12,0)</f>
        <v>5784</v>
      </c>
    </row>
    <row r="2565" spans="1:4">
      <c r="A2565" s="8" t="s">
        <v>405</v>
      </c>
      <c r="B2565" s="5">
        <v>1800011</v>
      </c>
      <c r="C2565" s="5" t="s">
        <v>376</v>
      </c>
      <c r="D2565" s="3">
        <f>VLOOKUP(B2565,Sheet2!$A:$O,12,0)</f>
        <v>9363</v>
      </c>
    </row>
    <row r="2566" spans="1:4">
      <c r="A2566" s="8" t="s">
        <v>405</v>
      </c>
      <c r="B2566" s="5">
        <v>1800012</v>
      </c>
      <c r="C2566" s="5" t="s">
        <v>377</v>
      </c>
      <c r="D2566" s="3">
        <f>VLOOKUP(B2566,Sheet2!$A:$O,12,0)</f>
        <v>5725</v>
      </c>
    </row>
    <row r="2567" spans="1:4">
      <c r="A2567" s="8" t="s">
        <v>405</v>
      </c>
      <c r="B2567" s="5">
        <v>1800013</v>
      </c>
      <c r="C2567" s="5" t="s">
        <v>378</v>
      </c>
      <c r="D2567" s="3">
        <f>VLOOKUP(B2567,Sheet2!$A:$O,12,0)</f>
        <v>49100</v>
      </c>
    </row>
    <row r="2568" spans="1:4">
      <c r="A2568" s="8" t="s">
        <v>405</v>
      </c>
      <c r="B2568" s="5">
        <v>1800014</v>
      </c>
      <c r="C2568" s="5" t="s">
        <v>379</v>
      </c>
      <c r="D2568" s="3">
        <f>VLOOKUP(B2568,Sheet2!$A:$O,12,0)</f>
        <v>70000</v>
      </c>
    </row>
    <row r="2569" spans="1:4">
      <c r="A2569" s="8" t="s">
        <v>405</v>
      </c>
      <c r="B2569" s="5">
        <v>1800015</v>
      </c>
      <c r="C2569" s="5" t="s">
        <v>380</v>
      </c>
      <c r="D2569" s="3">
        <f>VLOOKUP(B2569,Sheet2!$A:$O,12,0)</f>
        <v>66700</v>
      </c>
    </row>
    <row r="2570" spans="1:4">
      <c r="A2570" s="8" t="s">
        <v>405</v>
      </c>
      <c r="B2570" s="5">
        <v>1900013</v>
      </c>
      <c r="C2570" s="5" t="s">
        <v>381</v>
      </c>
      <c r="D2570" s="3">
        <f>VLOOKUP(B2570,Sheet2!$A:$O,12,0)</f>
        <v>0</v>
      </c>
    </row>
    <row r="2571" spans="1:4">
      <c r="A2571" s="8" t="s">
        <v>405</v>
      </c>
      <c r="B2571" s="5">
        <v>1900018</v>
      </c>
      <c r="C2571" s="5" t="s">
        <v>382</v>
      </c>
      <c r="D2571" s="3">
        <f>VLOOKUP(B2571,Sheet2!$A:$O,12,0)</f>
        <v>0</v>
      </c>
    </row>
    <row r="2572" spans="1:4">
      <c r="A2572" s="8" t="s">
        <v>406</v>
      </c>
      <c r="B2572" s="5">
        <v>1010101</v>
      </c>
      <c r="C2572" s="5" t="s">
        <v>5</v>
      </c>
      <c r="D2572" s="3">
        <f>VLOOKUP(B2572,Sheet2!$A:$O,13,0)</f>
        <v>700</v>
      </c>
    </row>
    <row r="2573" spans="1:4">
      <c r="A2573" s="8" t="s">
        <v>406</v>
      </c>
      <c r="B2573" s="5">
        <v>1010111</v>
      </c>
      <c r="C2573" s="5" t="s">
        <v>9</v>
      </c>
      <c r="D2573" s="3">
        <f>VLOOKUP(B2573,Sheet2!$A:$O,13,0)</f>
        <v>19100</v>
      </c>
    </row>
    <row r="2574" spans="1:4">
      <c r="A2574" s="8" t="s">
        <v>406</v>
      </c>
      <c r="B2574" s="5">
        <v>1010201</v>
      </c>
      <c r="C2574" s="5" t="s">
        <v>11</v>
      </c>
      <c r="D2574" s="3">
        <f>VLOOKUP(B2574,Sheet2!$A:$O,13,0)</f>
        <v>882</v>
      </c>
    </row>
    <row r="2575" spans="1:4">
      <c r="A2575" s="8" t="s">
        <v>406</v>
      </c>
      <c r="B2575" s="5">
        <v>1010300</v>
      </c>
      <c r="C2575" s="5" t="s">
        <v>213</v>
      </c>
      <c r="D2575" s="3">
        <f>VLOOKUP(B2575,Sheet2!$A:$O,13,0)</f>
        <v>9020</v>
      </c>
    </row>
    <row r="2576" spans="1:4">
      <c r="A2576" s="8" t="s">
        <v>406</v>
      </c>
      <c r="B2576" s="5">
        <v>1010301</v>
      </c>
      <c r="C2576" s="5" t="s">
        <v>214</v>
      </c>
      <c r="D2576" s="3">
        <f>VLOOKUP(B2576,Sheet2!$A:$O,13,0)</f>
        <v>6373</v>
      </c>
    </row>
    <row r="2577" spans="1:4">
      <c r="A2577" s="8" t="s">
        <v>406</v>
      </c>
      <c r="B2577" s="5">
        <v>1010302</v>
      </c>
      <c r="C2577" s="5" t="s">
        <v>16</v>
      </c>
      <c r="D2577" s="3">
        <f>VLOOKUP(B2577,Sheet2!$A:$O,13,0)</f>
        <v>4216</v>
      </c>
    </row>
    <row r="2578" spans="1:4">
      <c r="A2578" s="8" t="s">
        <v>406</v>
      </c>
      <c r="B2578" s="5">
        <v>1010303</v>
      </c>
      <c r="C2578" s="5" t="s">
        <v>18</v>
      </c>
      <c r="D2578" s="3">
        <f>VLOOKUP(B2578,Sheet2!$A:$O,13,0)</f>
        <v>882</v>
      </c>
    </row>
    <row r="2579" spans="1:4">
      <c r="A2579" s="8" t="s">
        <v>406</v>
      </c>
      <c r="B2579" s="5">
        <v>1010304</v>
      </c>
      <c r="C2579" s="5" t="s">
        <v>215</v>
      </c>
      <c r="D2579" s="3">
        <f>VLOOKUP(B2579,Sheet2!$A:$O,13,0)</f>
        <v>1422</v>
      </c>
    </row>
    <row r="2580" spans="1:4">
      <c r="A2580" s="8" t="s">
        <v>406</v>
      </c>
      <c r="B2580" s="5">
        <v>1010401</v>
      </c>
      <c r="C2580" s="5" t="s">
        <v>20</v>
      </c>
      <c r="D2580" s="3">
        <f>VLOOKUP(B2580,Sheet2!$A:$O,13,0)</f>
        <v>3627</v>
      </c>
    </row>
    <row r="2581" spans="1:4">
      <c r="A2581" s="8" t="s">
        <v>406</v>
      </c>
      <c r="B2581" s="5">
        <v>1010405</v>
      </c>
      <c r="C2581" s="5" t="s">
        <v>22</v>
      </c>
      <c r="D2581" s="3">
        <f>VLOOKUP(B2581,Sheet2!$A:$O,13,0)</f>
        <v>9975</v>
      </c>
    </row>
    <row r="2582" spans="1:4">
      <c r="A2582" s="8" t="s">
        <v>406</v>
      </c>
      <c r="B2582" s="5">
        <v>1010501</v>
      </c>
      <c r="C2582" s="5" t="s">
        <v>24</v>
      </c>
      <c r="D2582" s="3">
        <f>VLOOKUP(B2582,Sheet2!$A:$O,13,0)</f>
        <v>980</v>
      </c>
    </row>
    <row r="2583" spans="1:4">
      <c r="A2583" s="8" t="s">
        <v>406</v>
      </c>
      <c r="B2583" s="5">
        <v>1010502</v>
      </c>
      <c r="C2583" s="5" t="s">
        <v>216</v>
      </c>
      <c r="D2583" s="3">
        <f>VLOOKUP(B2583,Sheet2!$A:$O,13,0)</f>
        <v>0</v>
      </c>
    </row>
    <row r="2584" spans="1:4">
      <c r="A2584" s="8" t="s">
        <v>406</v>
      </c>
      <c r="B2584" s="5">
        <v>1010601</v>
      </c>
      <c r="C2584" s="5" t="s">
        <v>26</v>
      </c>
      <c r="D2584" s="3">
        <f>VLOOKUP(B2584,Sheet2!$A:$O,13,0)</f>
        <v>4412</v>
      </c>
    </row>
    <row r="2585" spans="1:4">
      <c r="A2585" s="8" t="s">
        <v>406</v>
      </c>
      <c r="B2585" s="5">
        <v>1010701</v>
      </c>
      <c r="C2585" s="5" t="s">
        <v>28</v>
      </c>
      <c r="D2585" s="3">
        <f>VLOOKUP(B2585,Sheet2!$A:$O,13,0)</f>
        <v>686</v>
      </c>
    </row>
    <row r="2586" spans="1:4">
      <c r="A2586" s="8" t="s">
        <v>406</v>
      </c>
      <c r="B2586" s="5">
        <v>1010801</v>
      </c>
      <c r="C2586" s="5" t="s">
        <v>30</v>
      </c>
      <c r="D2586" s="3">
        <f>VLOOKUP(B2586,Sheet2!$A:$O,13,0)</f>
        <v>9118</v>
      </c>
    </row>
    <row r="2587" spans="1:4">
      <c r="A2587" s="8" t="s">
        <v>406</v>
      </c>
      <c r="B2587" s="5">
        <v>1010901</v>
      </c>
      <c r="C2587" s="5" t="s">
        <v>32</v>
      </c>
      <c r="D2587" s="3">
        <f>VLOOKUP(B2587,Sheet2!$A:$O,13,0)</f>
        <v>4804</v>
      </c>
    </row>
    <row r="2588" spans="1:4">
      <c r="A2588" s="8" t="s">
        <v>406</v>
      </c>
      <c r="B2588" s="5">
        <v>1020101</v>
      </c>
      <c r="C2588" s="5" t="s">
        <v>34</v>
      </c>
      <c r="D2588" s="3">
        <f>VLOOKUP(B2588,Sheet2!$A:$O,13,0)</f>
        <v>17451</v>
      </c>
    </row>
    <row r="2589" spans="1:4">
      <c r="A2589" s="8" t="s">
        <v>406</v>
      </c>
      <c r="B2589" s="5">
        <v>1020201</v>
      </c>
      <c r="C2589" s="5" t="s">
        <v>217</v>
      </c>
      <c r="D2589" s="3">
        <f>VLOOKUP(B2589,Sheet2!$A:$O,13,0)</f>
        <v>5600</v>
      </c>
    </row>
    <row r="2590" spans="1:4">
      <c r="A2590" s="8" t="s">
        <v>406</v>
      </c>
      <c r="B2590" s="5">
        <v>1020301</v>
      </c>
      <c r="C2590" s="5" t="s">
        <v>38</v>
      </c>
      <c r="D2590" s="3">
        <f>VLOOKUP(B2590,Sheet2!$A:$O,13,0)</f>
        <v>2000</v>
      </c>
    </row>
    <row r="2591" spans="1:4">
      <c r="A2591" s="8" t="s">
        <v>406</v>
      </c>
      <c r="B2591" s="5">
        <v>1020401</v>
      </c>
      <c r="C2591" s="5" t="s">
        <v>40</v>
      </c>
      <c r="D2591" s="3">
        <f>VLOOKUP(B2591,Sheet2!$A:$O,13,0)</f>
        <v>3500</v>
      </c>
    </row>
    <row r="2592" spans="1:4">
      <c r="A2592" s="8" t="s">
        <v>406</v>
      </c>
      <c r="B2592" s="5">
        <v>1030102</v>
      </c>
      <c r="C2592" s="5" t="s">
        <v>218</v>
      </c>
      <c r="D2592" s="3">
        <f>VLOOKUP(B2592,Sheet2!$A:$O,13,0)</f>
        <v>0</v>
      </c>
    </row>
    <row r="2593" spans="1:4">
      <c r="A2593" s="8" t="s">
        <v>406</v>
      </c>
      <c r="B2593" s="5">
        <v>1030201</v>
      </c>
      <c r="C2593" s="5" t="s">
        <v>42</v>
      </c>
      <c r="D2593" s="3">
        <f>VLOOKUP(B2593,Sheet2!$A:$O,13,0)</f>
        <v>3004</v>
      </c>
    </row>
    <row r="2594" spans="1:4">
      <c r="A2594" s="8" t="s">
        <v>406</v>
      </c>
      <c r="B2594" s="5">
        <v>1030203</v>
      </c>
      <c r="C2594" s="5" t="s">
        <v>219</v>
      </c>
      <c r="D2594" s="3">
        <f>VLOOKUP(B2594,Sheet2!$A:$O,13,0)</f>
        <v>0</v>
      </c>
    </row>
    <row r="2595" spans="1:4">
      <c r="A2595" s="8" t="s">
        <v>406</v>
      </c>
      <c r="B2595" s="5">
        <v>1030204</v>
      </c>
      <c r="C2595" s="5" t="s">
        <v>220</v>
      </c>
      <c r="D2595" s="3">
        <f>VLOOKUP(B2595,Sheet2!$A:$O,13,0)</f>
        <v>0</v>
      </c>
    </row>
    <row r="2596" spans="1:4">
      <c r="A2596" s="8" t="s">
        <v>406</v>
      </c>
      <c r="B2596" s="5">
        <v>1030205</v>
      </c>
      <c r="C2596" s="5" t="s">
        <v>44</v>
      </c>
      <c r="D2596" s="3">
        <f>VLOOKUP(B2596,Sheet2!$A:$O,13,0)</f>
        <v>5000</v>
      </c>
    </row>
    <row r="2597" spans="1:4">
      <c r="A2597" s="8" t="s">
        <v>406</v>
      </c>
      <c r="B2597" s="5">
        <v>1030206</v>
      </c>
      <c r="C2597" s="5" t="s">
        <v>46</v>
      </c>
      <c r="D2597" s="3">
        <f>VLOOKUP(B2597,Sheet2!$A:$O,13,0)</f>
        <v>6200</v>
      </c>
    </row>
    <row r="2598" spans="1:4">
      <c r="A2598" s="8" t="s">
        <v>406</v>
      </c>
      <c r="B2598" s="5">
        <v>1030207</v>
      </c>
      <c r="C2598" s="5" t="s">
        <v>48</v>
      </c>
      <c r="D2598" s="3">
        <f>VLOOKUP(B2598,Sheet2!$A:$O,13,0)</f>
        <v>4600</v>
      </c>
    </row>
    <row r="2599" spans="1:4">
      <c r="A2599" s="8" t="s">
        <v>406</v>
      </c>
      <c r="B2599" s="5">
        <v>1030501</v>
      </c>
      <c r="C2599" s="5" t="s">
        <v>50</v>
      </c>
      <c r="D2599" s="3">
        <f>VLOOKUP(B2599,Sheet2!$A:$O,13,0)</f>
        <v>1127</v>
      </c>
    </row>
    <row r="2600" spans="1:4">
      <c r="A2600" s="8" t="s">
        <v>406</v>
      </c>
      <c r="B2600" s="5">
        <v>1030601</v>
      </c>
      <c r="C2600" s="5" t="s">
        <v>52</v>
      </c>
      <c r="D2600" s="3">
        <f>VLOOKUP(B2600,Sheet2!$A:$O,13,0)</f>
        <v>3000</v>
      </c>
    </row>
    <row r="2601" spans="1:4">
      <c r="A2601" s="8" t="s">
        <v>406</v>
      </c>
      <c r="B2601" s="5">
        <v>1030701</v>
      </c>
      <c r="C2601" s="5" t="s">
        <v>221</v>
      </c>
      <c r="D2601" s="3">
        <f>VLOOKUP(B2601,Sheet2!$A:$O,13,0)</f>
        <v>3000</v>
      </c>
    </row>
    <row r="2602" spans="1:4">
      <c r="A2602" s="8" t="s">
        <v>406</v>
      </c>
      <c r="B2602" s="5">
        <v>1030705</v>
      </c>
      <c r="C2602" s="5" t="s">
        <v>222</v>
      </c>
      <c r="D2602" s="3">
        <f>VLOOKUP(B2602,Sheet2!$A:$O,13,0)</f>
        <v>0</v>
      </c>
    </row>
    <row r="2603" spans="1:4">
      <c r="A2603" s="8" t="s">
        <v>406</v>
      </c>
      <c r="B2603" s="5">
        <v>1030801</v>
      </c>
      <c r="C2603" s="5" t="s">
        <v>54</v>
      </c>
      <c r="D2603" s="3">
        <f>VLOOKUP(B2603,Sheet2!$A:$O,13,0)</f>
        <v>1225</v>
      </c>
    </row>
    <row r="2604" spans="1:4">
      <c r="A2604" s="8" t="s">
        <v>406</v>
      </c>
      <c r="B2604" s="5">
        <v>1030901</v>
      </c>
      <c r="C2604" s="5" t="s">
        <v>223</v>
      </c>
      <c r="D2604" s="3">
        <f>VLOOKUP(B2604,Sheet2!$A:$O,13,0)</f>
        <v>0</v>
      </c>
    </row>
    <row r="2605" spans="1:4">
      <c r="A2605" s="8" t="s">
        <v>406</v>
      </c>
      <c r="B2605" s="5">
        <v>1040201</v>
      </c>
      <c r="C2605" s="5" t="s">
        <v>56</v>
      </c>
      <c r="D2605" s="3">
        <f>VLOOKUP(B2605,Sheet2!$A:$O,13,0)</f>
        <v>1450</v>
      </c>
    </row>
    <row r="2606" spans="1:4">
      <c r="A2606" s="8" t="s">
        <v>406</v>
      </c>
      <c r="B2606" s="5">
        <v>1040202</v>
      </c>
      <c r="C2606" s="5" t="s">
        <v>224</v>
      </c>
      <c r="D2606" s="3">
        <f>VLOOKUP(B2606,Sheet2!$A:$O,13,0)</f>
        <v>0</v>
      </c>
    </row>
    <row r="2607" spans="1:4">
      <c r="A2607" s="8" t="s">
        <v>406</v>
      </c>
      <c r="B2607" s="5">
        <v>1040203</v>
      </c>
      <c r="C2607" s="5" t="s">
        <v>225</v>
      </c>
      <c r="D2607" s="3">
        <f>VLOOKUP(B2607,Sheet2!$A:$O,13,0)</f>
        <v>0</v>
      </c>
    </row>
    <row r="2608" spans="1:4">
      <c r="A2608" s="8" t="s">
        <v>406</v>
      </c>
      <c r="B2608" s="5">
        <v>1040204</v>
      </c>
      <c r="C2608" s="5" t="s">
        <v>226</v>
      </c>
      <c r="D2608" s="3">
        <f>VLOOKUP(B2608,Sheet2!$A:$O,13,0)</f>
        <v>8583</v>
      </c>
    </row>
    <row r="2609" spans="1:4">
      <c r="A2609" s="8" t="s">
        <v>406</v>
      </c>
      <c r="B2609" s="5">
        <v>1040301</v>
      </c>
      <c r="C2609" s="5" t="s">
        <v>58</v>
      </c>
      <c r="D2609" s="3">
        <f>VLOOKUP(B2609,Sheet2!$A:$O,13,0)</f>
        <v>1650</v>
      </c>
    </row>
    <row r="2610" spans="1:4">
      <c r="A2610" s="8" t="s">
        <v>406</v>
      </c>
      <c r="B2610" s="5">
        <v>1040401</v>
      </c>
      <c r="C2610" s="5" t="s">
        <v>227</v>
      </c>
      <c r="D2610" s="3">
        <f>VLOOKUP(B2610,Sheet2!$A:$O,13,0)</f>
        <v>0</v>
      </c>
    </row>
    <row r="2611" spans="1:4">
      <c r="A2611" s="8" t="s">
        <v>406</v>
      </c>
      <c r="B2611" s="5">
        <v>1050102</v>
      </c>
      <c r="C2611" s="5" t="s">
        <v>60</v>
      </c>
      <c r="D2611" s="3">
        <f>VLOOKUP(B2611,Sheet2!$A:$O,13,0)</f>
        <v>29500</v>
      </c>
    </row>
    <row r="2612" spans="1:4">
      <c r="A2612" s="8" t="s">
        <v>406</v>
      </c>
      <c r="B2612" s="5">
        <v>1050103</v>
      </c>
      <c r="C2612" s="5" t="s">
        <v>228</v>
      </c>
      <c r="D2612" s="3">
        <f>VLOOKUP(B2612,Sheet2!$A:$O,13,0)</f>
        <v>11275</v>
      </c>
    </row>
    <row r="2613" spans="1:4">
      <c r="A2613" s="8" t="s">
        <v>406</v>
      </c>
      <c r="B2613" s="5">
        <v>1050301</v>
      </c>
      <c r="C2613" s="5" t="s">
        <v>62</v>
      </c>
      <c r="D2613" s="3">
        <f>VLOOKUP(B2613,Sheet2!$A:$O,13,0)</f>
        <v>9804</v>
      </c>
    </row>
    <row r="2614" spans="1:4">
      <c r="A2614" s="8" t="s">
        <v>406</v>
      </c>
      <c r="B2614" s="5">
        <v>1050401</v>
      </c>
      <c r="C2614" s="5" t="s">
        <v>64</v>
      </c>
      <c r="D2614" s="3">
        <f>VLOOKUP(B2614,Sheet2!$A:$O,13,0)</f>
        <v>8824</v>
      </c>
    </row>
    <row r="2615" spans="1:4">
      <c r="A2615" s="8" t="s">
        <v>406</v>
      </c>
      <c r="B2615" s="5">
        <v>1050501</v>
      </c>
      <c r="C2615" s="5" t="s">
        <v>66</v>
      </c>
      <c r="D2615" s="3">
        <f>VLOOKUP(B2615,Sheet2!$A:$O,13,0)</f>
        <v>10784</v>
      </c>
    </row>
    <row r="2616" spans="1:4">
      <c r="A2616" s="8" t="s">
        <v>406</v>
      </c>
      <c r="B2616" s="5">
        <v>1050511</v>
      </c>
      <c r="C2616" s="5" t="s">
        <v>68</v>
      </c>
      <c r="D2616" s="3">
        <f>VLOOKUP(B2616,Sheet2!$A:$O,13,0)</f>
        <v>18000</v>
      </c>
    </row>
    <row r="2617" spans="1:4">
      <c r="A2617" s="8" t="s">
        <v>406</v>
      </c>
      <c r="B2617" s="5">
        <v>1050512</v>
      </c>
      <c r="C2617" s="5" t="s">
        <v>229</v>
      </c>
      <c r="D2617" s="3">
        <f>VLOOKUP(B2617,Sheet2!$A:$O,13,0)</f>
        <v>0</v>
      </c>
    </row>
    <row r="2618" spans="1:4">
      <c r="A2618" s="8" t="s">
        <v>406</v>
      </c>
      <c r="B2618" s="5">
        <v>1050521</v>
      </c>
      <c r="C2618" s="5" t="s">
        <v>70</v>
      </c>
      <c r="D2618" s="3">
        <f>VLOOKUP(B2618,Sheet2!$A:$O,13,0)</f>
        <v>14706</v>
      </c>
    </row>
    <row r="2619" spans="1:4">
      <c r="A2619" s="8" t="s">
        <v>406</v>
      </c>
      <c r="B2619" s="5">
        <v>1050531</v>
      </c>
      <c r="C2619" s="5" t="s">
        <v>72</v>
      </c>
      <c r="D2619" s="3">
        <f>VLOOKUP(B2619,Sheet2!$A:$O,13,0)</f>
        <v>21000</v>
      </c>
    </row>
    <row r="2620" spans="1:4">
      <c r="A2620" s="8" t="s">
        <v>406</v>
      </c>
      <c r="B2620" s="5">
        <v>1050541</v>
      </c>
      <c r="C2620" s="5" t="s">
        <v>74</v>
      </c>
      <c r="D2620" s="3">
        <f>VLOOKUP(B2620,Sheet2!$A:$O,13,0)</f>
        <v>11000</v>
      </c>
    </row>
    <row r="2621" spans="1:4">
      <c r="A2621" s="8" t="s">
        <v>406</v>
      </c>
      <c r="B2621" s="5">
        <v>1050551</v>
      </c>
      <c r="C2621" s="5" t="s">
        <v>76</v>
      </c>
      <c r="D2621" s="3">
        <f>VLOOKUP(B2621,Sheet2!$A:$O,13,0)</f>
        <v>54000</v>
      </c>
    </row>
    <row r="2622" spans="1:4">
      <c r="A2622" s="8" t="s">
        <v>406</v>
      </c>
      <c r="B2622" s="5">
        <v>1050561</v>
      </c>
      <c r="C2622" s="5" t="s">
        <v>78</v>
      </c>
      <c r="D2622" s="3">
        <f>VLOOKUP(B2622,Sheet2!$A:$O,13,0)</f>
        <v>77321</v>
      </c>
    </row>
    <row r="2623" spans="1:4">
      <c r="A2623" s="8" t="s">
        <v>406</v>
      </c>
      <c r="B2623" s="5">
        <v>1050571</v>
      </c>
      <c r="C2623" s="5" t="s">
        <v>80</v>
      </c>
      <c r="D2623" s="3">
        <f>VLOOKUP(B2623,Sheet2!$A:$O,13,0)</f>
        <v>58000</v>
      </c>
    </row>
    <row r="2624" spans="1:4">
      <c r="A2624" s="8" t="s">
        <v>406</v>
      </c>
      <c r="B2624" s="5">
        <v>1050581</v>
      </c>
      <c r="C2624" s="5" t="s">
        <v>82</v>
      </c>
      <c r="D2624" s="3">
        <f>VLOOKUP(B2624,Sheet2!$A:$O,13,0)</f>
        <v>57000</v>
      </c>
    </row>
    <row r="2625" spans="1:4">
      <c r="A2625" s="8" t="s">
        <v>406</v>
      </c>
      <c r="B2625" s="5">
        <v>1050591</v>
      </c>
      <c r="C2625" s="5" t="s">
        <v>84</v>
      </c>
      <c r="D2625" s="3">
        <f>VLOOKUP(B2625,Sheet2!$A:$O,13,0)</f>
        <v>97750</v>
      </c>
    </row>
    <row r="2626" spans="1:4">
      <c r="A2626" s="8" t="s">
        <v>406</v>
      </c>
      <c r="B2626" s="5">
        <v>1050601</v>
      </c>
      <c r="C2626" s="5" t="s">
        <v>86</v>
      </c>
      <c r="D2626" s="3">
        <f>VLOOKUP(B2626,Sheet2!$A:$O,13,0)</f>
        <v>5900</v>
      </c>
    </row>
    <row r="2627" spans="1:4">
      <c r="A2627" s="8" t="s">
        <v>406</v>
      </c>
      <c r="B2627" s="5">
        <v>1050701</v>
      </c>
      <c r="C2627" s="5" t="s">
        <v>88</v>
      </c>
      <c r="D2627" s="3">
        <f>VLOOKUP(B2627,Sheet2!$A:$O,13,0)</f>
        <v>5530</v>
      </c>
    </row>
    <row r="2628" spans="1:4">
      <c r="A2628" s="8" t="s">
        <v>406</v>
      </c>
      <c r="B2628" s="5">
        <v>1050702</v>
      </c>
      <c r="C2628" s="5" t="s">
        <v>90</v>
      </c>
      <c r="D2628" s="3">
        <f>VLOOKUP(B2628,Sheet2!$A:$O,13,0)</f>
        <v>6000</v>
      </c>
    </row>
    <row r="2629" spans="1:4">
      <c r="A2629" s="8" t="s">
        <v>406</v>
      </c>
      <c r="B2629" s="5">
        <v>1050711</v>
      </c>
      <c r="C2629" s="5" t="s">
        <v>92</v>
      </c>
      <c r="D2629" s="3">
        <f>VLOOKUP(B2629,Sheet2!$A:$O,13,0)</f>
        <v>2900</v>
      </c>
    </row>
    <row r="2630" spans="1:4">
      <c r="A2630" s="8" t="s">
        <v>406</v>
      </c>
      <c r="B2630" s="5">
        <v>1050721</v>
      </c>
      <c r="C2630" s="5" t="s">
        <v>94</v>
      </c>
      <c r="D2630" s="3">
        <f>VLOOKUP(B2630,Sheet2!$A:$O,13,0)</f>
        <v>14800</v>
      </c>
    </row>
    <row r="2631" spans="1:4">
      <c r="A2631" s="8" t="s">
        <v>406</v>
      </c>
      <c r="B2631" s="5">
        <v>1050801</v>
      </c>
      <c r="C2631" s="5" t="s">
        <v>7</v>
      </c>
      <c r="D2631" s="3">
        <f>VLOOKUP(B2631,Sheet2!$A:$O,13,0)</f>
        <v>1000</v>
      </c>
    </row>
    <row r="2632" spans="1:4">
      <c r="A2632" s="8" t="s">
        <v>406</v>
      </c>
      <c r="B2632" s="5">
        <v>1050901</v>
      </c>
      <c r="C2632" s="5" t="s">
        <v>96</v>
      </c>
      <c r="D2632" s="3">
        <f>VLOOKUP(B2632,Sheet2!$A:$O,13,0)</f>
        <v>1225</v>
      </c>
    </row>
    <row r="2633" spans="1:4">
      <c r="A2633" s="8" t="s">
        <v>406</v>
      </c>
      <c r="B2633" s="5">
        <v>1060101</v>
      </c>
      <c r="C2633" s="5" t="s">
        <v>98</v>
      </c>
      <c r="D2633" s="3">
        <f>VLOOKUP(B2633,Sheet2!$A:$O,13,0)</f>
        <v>2200</v>
      </c>
    </row>
    <row r="2634" spans="1:4">
      <c r="A2634" s="8" t="s">
        <v>406</v>
      </c>
      <c r="B2634" s="5">
        <v>1060401</v>
      </c>
      <c r="C2634" s="5" t="s">
        <v>100</v>
      </c>
      <c r="D2634" s="3">
        <f>VLOOKUP(B2634,Sheet2!$A:$O,13,0)</f>
        <v>71000</v>
      </c>
    </row>
    <row r="2635" spans="1:4">
      <c r="A2635" s="8" t="s">
        <v>406</v>
      </c>
      <c r="B2635" s="5">
        <v>1060412</v>
      </c>
      <c r="C2635" s="5" t="s">
        <v>230</v>
      </c>
      <c r="D2635" s="3">
        <f>VLOOKUP(B2635,Sheet2!$A:$O,13,0)</f>
        <v>33000</v>
      </c>
    </row>
    <row r="2636" spans="1:4">
      <c r="A2636" s="8" t="s">
        <v>406</v>
      </c>
      <c r="B2636" s="5">
        <v>1060421</v>
      </c>
      <c r="C2636" s="5" t="s">
        <v>104</v>
      </c>
      <c r="D2636" s="3">
        <f>VLOOKUP(B2636,Sheet2!$A:$O,13,0)</f>
        <v>130000</v>
      </c>
    </row>
    <row r="2637" spans="1:4">
      <c r="A2637" s="8" t="s">
        <v>406</v>
      </c>
      <c r="B2637" s="5">
        <v>1060441</v>
      </c>
      <c r="C2637" s="5" t="s">
        <v>106</v>
      </c>
      <c r="D2637" s="3">
        <f>VLOOKUP(B2637,Sheet2!$A:$O,13,0)</f>
        <v>6471</v>
      </c>
    </row>
    <row r="2638" spans="1:4">
      <c r="A2638" s="8" t="s">
        <v>406</v>
      </c>
      <c r="B2638" s="5">
        <v>1060451</v>
      </c>
      <c r="C2638" s="5" t="s">
        <v>108</v>
      </c>
      <c r="D2638" s="3">
        <f>VLOOKUP(B2638,Sheet2!$A:$O,13,0)</f>
        <v>38235</v>
      </c>
    </row>
    <row r="2639" spans="1:4">
      <c r="A2639" s="8" t="s">
        <v>406</v>
      </c>
      <c r="B2639" s="5">
        <v>1070101</v>
      </c>
      <c r="C2639" s="5" t="s">
        <v>110</v>
      </c>
      <c r="D2639" s="3">
        <f>VLOOKUP(B2639,Sheet2!$A:$O,13,0)</f>
        <v>3640</v>
      </c>
    </row>
    <row r="2640" spans="1:4">
      <c r="A2640" s="8" t="s">
        <v>406</v>
      </c>
      <c r="B2640" s="5">
        <v>1070301</v>
      </c>
      <c r="C2640" s="5" t="s">
        <v>112</v>
      </c>
      <c r="D2640" s="3">
        <f>VLOOKUP(B2640,Sheet2!$A:$O,13,0)</f>
        <v>35000</v>
      </c>
    </row>
    <row r="2641" spans="1:4">
      <c r="A2641" s="8" t="s">
        <v>406</v>
      </c>
      <c r="B2641" s="5">
        <v>1070401</v>
      </c>
      <c r="C2641" s="5" t="s">
        <v>114</v>
      </c>
      <c r="D2641" s="3">
        <f>VLOOKUP(B2641,Sheet2!$A:$O,13,0)</f>
        <v>12000</v>
      </c>
    </row>
    <row r="2642" spans="1:4">
      <c r="A2642" s="8" t="s">
        <v>406</v>
      </c>
      <c r="B2642" s="5">
        <v>1070501</v>
      </c>
      <c r="C2642" s="5" t="s">
        <v>231</v>
      </c>
      <c r="D2642" s="3">
        <f>VLOOKUP(B2642,Sheet2!$A:$O,13,0)</f>
        <v>5500</v>
      </c>
    </row>
    <row r="2643" spans="1:4">
      <c r="A2643" s="8" t="s">
        <v>406</v>
      </c>
      <c r="B2643" s="5">
        <v>1070701</v>
      </c>
      <c r="C2643" s="5" t="s">
        <v>118</v>
      </c>
      <c r="D2643" s="3">
        <f>VLOOKUP(B2643,Sheet2!$A:$O,13,0)</f>
        <v>36000</v>
      </c>
    </row>
    <row r="2644" spans="1:4">
      <c r="A2644" s="8" t="s">
        <v>406</v>
      </c>
      <c r="B2644" s="5">
        <v>1070801</v>
      </c>
      <c r="C2644" s="5" t="s">
        <v>232</v>
      </c>
      <c r="D2644" s="3">
        <f>VLOOKUP(B2644,Sheet2!$A:$O,13,0)</f>
        <v>35000</v>
      </c>
    </row>
    <row r="2645" spans="1:4">
      <c r="A2645" s="8" t="s">
        <v>406</v>
      </c>
      <c r="B2645" s="5">
        <v>1080101</v>
      </c>
      <c r="C2645" s="5" t="s">
        <v>120</v>
      </c>
      <c r="D2645" s="3">
        <f>VLOOKUP(B2645,Sheet2!$A:$O,13,0)</f>
        <v>11000</v>
      </c>
    </row>
    <row r="2646" spans="1:4">
      <c r="A2646" s="8" t="s">
        <v>406</v>
      </c>
      <c r="B2646" s="5">
        <v>1080201</v>
      </c>
      <c r="C2646" s="5" t="s">
        <v>122</v>
      </c>
      <c r="D2646" s="3">
        <f>VLOOKUP(B2646,Sheet2!$A:$O,13,0)</f>
        <v>540</v>
      </c>
    </row>
    <row r="2647" spans="1:4">
      <c r="A2647" s="8" t="s">
        <v>406</v>
      </c>
      <c r="B2647" s="5">
        <v>1080301</v>
      </c>
      <c r="C2647" s="5" t="s">
        <v>124</v>
      </c>
      <c r="D2647" s="3">
        <f>VLOOKUP(B2647,Sheet2!$A:$O,13,0)</f>
        <v>1550</v>
      </c>
    </row>
    <row r="2648" spans="1:4">
      <c r="A2648" s="8" t="s">
        <v>406</v>
      </c>
      <c r="B2648" s="5">
        <v>1080401</v>
      </c>
      <c r="C2648" s="5" t="s">
        <v>233</v>
      </c>
      <c r="D2648" s="3">
        <f>VLOOKUP(B2648,Sheet2!$A:$O,13,0)</f>
        <v>3300</v>
      </c>
    </row>
    <row r="2649" spans="1:4">
      <c r="A2649" s="8" t="s">
        <v>406</v>
      </c>
      <c r="B2649" s="5">
        <v>1080411</v>
      </c>
      <c r="C2649" s="5" t="s">
        <v>128</v>
      </c>
      <c r="D2649" s="3">
        <f>VLOOKUP(B2649,Sheet2!$A:$O,13,0)</f>
        <v>3300</v>
      </c>
    </row>
    <row r="2650" spans="1:4">
      <c r="A2650" s="8" t="s">
        <v>406</v>
      </c>
      <c r="B2650" s="5">
        <v>1080501</v>
      </c>
      <c r="C2650" s="5" t="s">
        <v>130</v>
      </c>
      <c r="D2650" s="3">
        <f>VLOOKUP(B2650,Sheet2!$A:$O,13,0)</f>
        <v>3800</v>
      </c>
    </row>
    <row r="2651" spans="1:4">
      <c r="A2651" s="8" t="s">
        <v>406</v>
      </c>
      <c r="B2651" s="5">
        <v>1080602</v>
      </c>
      <c r="C2651" s="5" t="s">
        <v>234</v>
      </c>
      <c r="D2651" s="3">
        <f>VLOOKUP(B2651,Sheet2!$A:$O,13,0)</f>
        <v>38600</v>
      </c>
    </row>
    <row r="2652" spans="1:4">
      <c r="A2652" s="8" t="s">
        <v>406</v>
      </c>
      <c r="B2652" s="5">
        <v>1080604</v>
      </c>
      <c r="C2652" s="5" t="s">
        <v>235</v>
      </c>
      <c r="D2652" s="3">
        <f>VLOOKUP(B2652,Sheet2!$A:$O,13,0)</f>
        <v>0</v>
      </c>
    </row>
    <row r="2653" spans="1:4">
      <c r="A2653" s="8" t="s">
        <v>406</v>
      </c>
      <c r="B2653" s="5">
        <v>1080702</v>
      </c>
      <c r="C2653" s="5" t="s">
        <v>236</v>
      </c>
      <c r="D2653" s="3">
        <f>VLOOKUP(B2653,Sheet2!$A:$O,13,0)</f>
        <v>43500</v>
      </c>
    </row>
    <row r="2654" spans="1:4">
      <c r="A2654" s="8" t="s">
        <v>406</v>
      </c>
      <c r="B2654" s="5">
        <v>1080704</v>
      </c>
      <c r="C2654" s="5" t="s">
        <v>237</v>
      </c>
      <c r="D2654" s="3">
        <f>VLOOKUP(B2654,Sheet2!$A:$O,13,0)</f>
        <v>0</v>
      </c>
    </row>
    <row r="2655" spans="1:4">
      <c r="A2655" s="8" t="s">
        <v>406</v>
      </c>
      <c r="B2655" s="5">
        <v>1090104</v>
      </c>
      <c r="C2655" s="5" t="s">
        <v>136</v>
      </c>
      <c r="D2655" s="3">
        <f>VLOOKUP(B2655,Sheet2!$A:$O,13,0)</f>
        <v>40000</v>
      </c>
    </row>
    <row r="2656" spans="1:4">
      <c r="A2656" s="8" t="s">
        <v>406</v>
      </c>
      <c r="B2656" s="5">
        <v>1090112</v>
      </c>
      <c r="C2656" s="5" t="s">
        <v>138</v>
      </c>
      <c r="D2656" s="3">
        <f>VLOOKUP(B2656,Sheet2!$A:$O,13,0)</f>
        <v>35000</v>
      </c>
    </row>
    <row r="2657" spans="1:4">
      <c r="A2657" s="8" t="s">
        <v>406</v>
      </c>
      <c r="B2657" s="5">
        <v>1090201</v>
      </c>
      <c r="C2657" s="5" t="s">
        <v>140</v>
      </c>
      <c r="D2657" s="3">
        <f>VLOOKUP(B2657,Sheet2!$A:$O,13,0)</f>
        <v>15800</v>
      </c>
    </row>
    <row r="2658" spans="1:4">
      <c r="A2658" s="8" t="s">
        <v>406</v>
      </c>
      <c r="B2658" s="5">
        <v>1090202</v>
      </c>
      <c r="C2658" s="5" t="s">
        <v>142</v>
      </c>
      <c r="D2658" s="3">
        <f>VLOOKUP(B2658,Sheet2!$A:$O,13,0)</f>
        <v>98000</v>
      </c>
    </row>
    <row r="2659" spans="1:4">
      <c r="A2659" s="8" t="s">
        <v>406</v>
      </c>
      <c r="B2659" s="5">
        <v>1090203</v>
      </c>
      <c r="C2659" s="5" t="s">
        <v>144</v>
      </c>
      <c r="D2659" s="3">
        <f>VLOOKUP(B2659,Sheet2!$A:$O,13,0)</f>
        <v>23000</v>
      </c>
    </row>
    <row r="2660" spans="1:4">
      <c r="A2660" s="8" t="s">
        <v>406</v>
      </c>
      <c r="B2660" s="5">
        <v>1090211</v>
      </c>
      <c r="C2660" s="5" t="s">
        <v>146</v>
      </c>
      <c r="D2660" s="3">
        <f>VLOOKUP(B2660,Sheet2!$A:$O,13,0)</f>
        <v>64706</v>
      </c>
    </row>
    <row r="2661" spans="1:4">
      <c r="A2661" s="8" t="s">
        <v>406</v>
      </c>
      <c r="B2661" s="5">
        <v>1090301</v>
      </c>
      <c r="C2661" s="5" t="s">
        <v>238</v>
      </c>
      <c r="D2661" s="3">
        <f>VLOOKUP(B2661,Sheet2!$A:$O,13,0)</f>
        <v>32000</v>
      </c>
    </row>
    <row r="2662" spans="1:4">
      <c r="A2662" s="8" t="s">
        <v>406</v>
      </c>
      <c r="B2662" s="5">
        <v>1090311</v>
      </c>
      <c r="C2662" s="5" t="s">
        <v>150</v>
      </c>
      <c r="D2662" s="3">
        <f>VLOOKUP(B2662,Sheet2!$A:$O,13,0)</f>
        <v>37000</v>
      </c>
    </row>
    <row r="2663" spans="1:4">
      <c r="A2663" s="8" t="s">
        <v>406</v>
      </c>
      <c r="B2663" s="5">
        <v>1090321</v>
      </c>
      <c r="C2663" s="5" t="s">
        <v>152</v>
      </c>
      <c r="D2663" s="3">
        <f>VLOOKUP(B2663,Sheet2!$A:$O,13,0)</f>
        <v>66000</v>
      </c>
    </row>
    <row r="2664" spans="1:4">
      <c r="A2664" s="8" t="s">
        <v>406</v>
      </c>
      <c r="B2664" s="5">
        <v>1090401</v>
      </c>
      <c r="C2664" s="5" t="s">
        <v>154</v>
      </c>
      <c r="D2664" s="3">
        <f>VLOOKUP(B2664,Sheet2!$A:$O,13,0)</f>
        <v>8300</v>
      </c>
    </row>
    <row r="2665" spans="1:4">
      <c r="A2665" s="8" t="s">
        <v>406</v>
      </c>
      <c r="B2665" s="5">
        <v>1090411</v>
      </c>
      <c r="C2665" s="5" t="s">
        <v>156</v>
      </c>
      <c r="D2665" s="3">
        <f>VLOOKUP(B2665,Sheet2!$A:$O,13,0)</f>
        <v>45000</v>
      </c>
    </row>
    <row r="2666" spans="1:4">
      <c r="A2666" s="8" t="s">
        <v>406</v>
      </c>
      <c r="B2666" s="5">
        <v>1090421</v>
      </c>
      <c r="C2666" s="5" t="s">
        <v>158</v>
      </c>
      <c r="D2666" s="3">
        <f>VLOOKUP(B2666,Sheet2!$A:$O,13,0)</f>
        <v>36000</v>
      </c>
    </row>
    <row r="2667" spans="1:4">
      <c r="A2667" s="8" t="s">
        <v>406</v>
      </c>
      <c r="B2667" s="5">
        <v>1090551</v>
      </c>
      <c r="C2667" s="5" t="s">
        <v>239</v>
      </c>
      <c r="D2667" s="3">
        <f>VLOOKUP(B2667,Sheet2!$A:$O,13,0)</f>
        <v>4900</v>
      </c>
    </row>
    <row r="2668" spans="1:4">
      <c r="A2668" s="8" t="s">
        <v>406</v>
      </c>
      <c r="B2668" s="5">
        <v>1090602</v>
      </c>
      <c r="C2668" s="5" t="s">
        <v>162</v>
      </c>
      <c r="D2668" s="3">
        <f>VLOOKUP(B2668,Sheet2!$A:$O,13,0)</f>
        <v>5130</v>
      </c>
    </row>
    <row r="2669" spans="1:4">
      <c r="A2669" s="8" t="s">
        <v>406</v>
      </c>
      <c r="B2669" s="5">
        <v>1090611</v>
      </c>
      <c r="C2669" s="5" t="s">
        <v>164</v>
      </c>
      <c r="D2669" s="3">
        <f>VLOOKUP(B2669,Sheet2!$A:$O,13,0)</f>
        <v>4300</v>
      </c>
    </row>
    <row r="2670" spans="1:4">
      <c r="A2670" s="8" t="s">
        <v>406</v>
      </c>
      <c r="B2670" s="5">
        <v>1090701</v>
      </c>
      <c r="C2670" s="5" t="s">
        <v>166</v>
      </c>
      <c r="D2670" s="3">
        <f>VLOOKUP(B2670,Sheet2!$A:$O,13,0)</f>
        <v>21000</v>
      </c>
    </row>
    <row r="2671" spans="1:4">
      <c r="A2671" s="8" t="s">
        <v>406</v>
      </c>
      <c r="B2671" s="5">
        <v>1090901</v>
      </c>
      <c r="C2671" s="5" t="s">
        <v>168</v>
      </c>
      <c r="D2671" s="3">
        <f>VLOOKUP(B2671,Sheet2!$A:$O,13,0)</f>
        <v>4300</v>
      </c>
    </row>
    <row r="2672" spans="1:4">
      <c r="A2672" s="8" t="s">
        <v>406</v>
      </c>
      <c r="B2672" s="5">
        <v>1091001</v>
      </c>
      <c r="C2672" s="5" t="s">
        <v>170</v>
      </c>
      <c r="D2672" s="3">
        <f>VLOOKUP(B2672,Sheet2!$A:$O,13,0)</f>
        <v>7000</v>
      </c>
    </row>
    <row r="2673" spans="1:4">
      <c r="A2673" s="8" t="s">
        <v>406</v>
      </c>
      <c r="B2673" s="5">
        <v>1091002</v>
      </c>
      <c r="C2673" s="5" t="s">
        <v>172</v>
      </c>
      <c r="D2673" s="3">
        <f>VLOOKUP(B2673,Sheet2!$A:$O,13,0)</f>
        <v>6304</v>
      </c>
    </row>
    <row r="2674" spans="1:4">
      <c r="A2674" s="8" t="s">
        <v>406</v>
      </c>
      <c r="B2674" s="5">
        <v>1091003</v>
      </c>
      <c r="C2674" s="5" t="s">
        <v>174</v>
      </c>
      <c r="D2674" s="3">
        <f>VLOOKUP(B2674,Sheet2!$A:$O,13,0)</f>
        <v>10069</v>
      </c>
    </row>
    <row r="2675" spans="1:4">
      <c r="A2675" s="8" t="s">
        <v>406</v>
      </c>
      <c r="B2675" s="5">
        <v>1091004</v>
      </c>
      <c r="C2675" s="5" t="s">
        <v>240</v>
      </c>
      <c r="D2675" s="3">
        <f>VLOOKUP(B2675,Sheet2!$A:$O,13,0)</f>
        <v>0</v>
      </c>
    </row>
    <row r="2676" spans="1:4">
      <c r="A2676" s="8" t="s">
        <v>406</v>
      </c>
      <c r="B2676" s="5">
        <v>1091005</v>
      </c>
      <c r="C2676" s="5" t="s">
        <v>241</v>
      </c>
      <c r="D2676" s="3">
        <f>VLOOKUP(B2676,Sheet2!$A:$O,13,0)</f>
        <v>0</v>
      </c>
    </row>
    <row r="2677" spans="1:4">
      <c r="A2677" s="8" t="s">
        <v>406</v>
      </c>
      <c r="B2677" s="5">
        <v>1091006</v>
      </c>
      <c r="C2677" s="5" t="s">
        <v>242</v>
      </c>
      <c r="D2677" s="3">
        <f>VLOOKUP(B2677,Sheet2!$A:$O,13,0)</f>
        <v>0</v>
      </c>
    </row>
    <row r="2678" spans="1:4">
      <c r="A2678" s="8" t="s">
        <v>406</v>
      </c>
      <c r="B2678" s="5">
        <v>1091007</v>
      </c>
      <c r="C2678" s="5" t="s">
        <v>243</v>
      </c>
      <c r="D2678" s="3">
        <f>VLOOKUP(B2678,Sheet2!$A:$O,13,0)</f>
        <v>2640</v>
      </c>
    </row>
    <row r="2679" spans="1:4">
      <c r="A2679" s="8" t="s">
        <v>406</v>
      </c>
      <c r="B2679" s="5">
        <v>1091008</v>
      </c>
      <c r="C2679" s="5" t="s">
        <v>176</v>
      </c>
      <c r="D2679" s="3">
        <f>VLOOKUP(B2679,Sheet2!$A:$O,13,0)</f>
        <v>450000</v>
      </c>
    </row>
    <row r="2680" spans="1:4">
      <c r="A2680" s="8" t="s">
        <v>406</v>
      </c>
      <c r="B2680" s="5">
        <v>1091009</v>
      </c>
      <c r="C2680" s="5" t="s">
        <v>178</v>
      </c>
      <c r="D2680" s="3">
        <f>VLOOKUP(B2680,Sheet2!$A:$O,13,0)</f>
        <v>190000</v>
      </c>
    </row>
    <row r="2681" spans="1:4">
      <c r="A2681" s="8" t="s">
        <v>406</v>
      </c>
      <c r="B2681" s="5">
        <v>1091010</v>
      </c>
      <c r="C2681" s="5" t="s">
        <v>180</v>
      </c>
      <c r="D2681" s="3">
        <f>VLOOKUP(B2681,Sheet2!$A:$O,13,0)</f>
        <v>27000</v>
      </c>
    </row>
    <row r="2682" spans="1:4">
      <c r="A2682" s="8" t="s">
        <v>406</v>
      </c>
      <c r="B2682" s="5">
        <v>1091011</v>
      </c>
      <c r="C2682" s="5" t="s">
        <v>182</v>
      </c>
      <c r="D2682" s="3">
        <f>VLOOKUP(B2682,Sheet2!$A:$O,13,0)</f>
        <v>33000</v>
      </c>
    </row>
    <row r="2683" spans="1:4">
      <c r="A2683" s="8" t="s">
        <v>406</v>
      </c>
      <c r="B2683" s="5">
        <v>1091012</v>
      </c>
      <c r="C2683" s="5" t="s">
        <v>184</v>
      </c>
      <c r="D2683" s="3">
        <f>VLOOKUP(B2683,Sheet2!$A:$O,13,0)</f>
        <v>47000</v>
      </c>
    </row>
    <row r="2684" spans="1:4">
      <c r="A2684" s="8" t="s">
        <v>406</v>
      </c>
      <c r="B2684" s="5">
        <v>1091013</v>
      </c>
      <c r="C2684" s="5" t="s">
        <v>186</v>
      </c>
      <c r="D2684" s="3">
        <f>VLOOKUP(B2684,Sheet2!$A:$O,13,0)</f>
        <v>33000</v>
      </c>
    </row>
    <row r="2685" spans="1:4">
      <c r="A2685" s="8" t="s">
        <v>406</v>
      </c>
      <c r="B2685" s="5">
        <v>1091014</v>
      </c>
      <c r="C2685" s="5" t="s">
        <v>244</v>
      </c>
      <c r="D2685" s="3">
        <f>VLOOKUP(B2685,Sheet2!$A:$O,13,0)</f>
        <v>6961</v>
      </c>
    </row>
    <row r="2686" spans="1:4">
      <c r="A2686" s="8" t="s">
        <v>406</v>
      </c>
      <c r="B2686" s="5">
        <v>1091015</v>
      </c>
      <c r="C2686" s="5" t="s">
        <v>245</v>
      </c>
      <c r="D2686" s="3">
        <f>VLOOKUP(B2686,Sheet2!$A:$O,13,0)</f>
        <v>28000</v>
      </c>
    </row>
    <row r="2687" spans="1:4">
      <c r="A2687" s="8" t="s">
        <v>406</v>
      </c>
      <c r="B2687" s="5">
        <v>1091016</v>
      </c>
      <c r="C2687" s="5" t="s">
        <v>246</v>
      </c>
      <c r="D2687" s="3">
        <f>VLOOKUP(B2687,Sheet2!$A:$O,13,0)</f>
        <v>50187</v>
      </c>
    </row>
    <row r="2688" spans="1:4">
      <c r="A2688" s="8" t="s">
        <v>406</v>
      </c>
      <c r="B2688" s="5">
        <v>1091017</v>
      </c>
      <c r="C2688" s="5" t="s">
        <v>247</v>
      </c>
      <c r="D2688" s="3">
        <f>VLOOKUP(B2688,Sheet2!$A:$O,13,0)</f>
        <v>74833</v>
      </c>
    </row>
    <row r="2689" spans="1:4">
      <c r="A2689" s="8" t="s">
        <v>406</v>
      </c>
      <c r="B2689" s="5">
        <v>1091018</v>
      </c>
      <c r="C2689" s="5" t="s">
        <v>248</v>
      </c>
      <c r="D2689" s="3">
        <f>VLOOKUP(B2689,Sheet2!$A:$O,13,0)</f>
        <v>33031</v>
      </c>
    </row>
    <row r="2690" spans="1:4">
      <c r="A2690" s="8" t="s">
        <v>406</v>
      </c>
      <c r="B2690" s="5">
        <v>1091019</v>
      </c>
      <c r="C2690" s="5" t="s">
        <v>249</v>
      </c>
      <c r="D2690" s="3">
        <f>VLOOKUP(B2690,Sheet2!$A:$O,13,0)</f>
        <v>53387</v>
      </c>
    </row>
    <row r="2691" spans="1:4">
      <c r="A2691" s="8" t="s">
        <v>406</v>
      </c>
      <c r="B2691" s="5">
        <v>1091020</v>
      </c>
      <c r="C2691" s="5" t="s">
        <v>250</v>
      </c>
      <c r="D2691" s="3">
        <f>VLOOKUP(B2691,Sheet2!$A:$O,13,0)</f>
        <v>100500</v>
      </c>
    </row>
    <row r="2692" spans="1:4">
      <c r="A2692" s="8" t="s">
        <v>406</v>
      </c>
      <c r="B2692" s="5">
        <v>1091021</v>
      </c>
      <c r="C2692" s="5" t="s">
        <v>251</v>
      </c>
      <c r="D2692" s="3">
        <f>VLOOKUP(B2692,Sheet2!$A:$O,13,0)</f>
        <v>50600</v>
      </c>
    </row>
    <row r="2693" spans="1:4">
      <c r="A2693" s="8" t="s">
        <v>406</v>
      </c>
      <c r="B2693" s="5">
        <v>1091022</v>
      </c>
      <c r="C2693" s="5" t="s">
        <v>252</v>
      </c>
      <c r="D2693" s="3">
        <f>VLOOKUP(B2693,Sheet2!$A:$O,13,0)</f>
        <v>3235</v>
      </c>
    </row>
    <row r="2694" spans="1:4">
      <c r="A2694" s="8" t="s">
        <v>406</v>
      </c>
      <c r="B2694" s="5">
        <v>1091023</v>
      </c>
      <c r="C2694" s="5" t="s">
        <v>253</v>
      </c>
      <c r="D2694" s="3">
        <f>VLOOKUP(B2694,Sheet2!$A:$O,13,0)</f>
        <v>4412</v>
      </c>
    </row>
    <row r="2695" spans="1:4">
      <c r="A2695" s="8" t="s">
        <v>406</v>
      </c>
      <c r="B2695" s="5">
        <v>1091024</v>
      </c>
      <c r="C2695" s="5" t="s">
        <v>254</v>
      </c>
      <c r="D2695" s="3">
        <f>VLOOKUP(B2695,Sheet2!$A:$O,13,0)</f>
        <v>3922</v>
      </c>
    </row>
    <row r="2696" spans="1:4">
      <c r="A2696" s="8" t="s">
        <v>406</v>
      </c>
      <c r="B2696" s="5">
        <v>1091025</v>
      </c>
      <c r="C2696" s="5" t="s">
        <v>255</v>
      </c>
      <c r="D2696" s="3">
        <f>VLOOKUP(B2696,Sheet2!$A:$O,13,0)</f>
        <v>6275</v>
      </c>
    </row>
    <row r="2697" spans="1:4">
      <c r="A2697" s="8" t="s">
        <v>406</v>
      </c>
      <c r="B2697" s="5">
        <v>1091026</v>
      </c>
      <c r="C2697" s="5" t="s">
        <v>256</v>
      </c>
      <c r="D2697" s="3">
        <f>VLOOKUP(B2697,Sheet2!$A:$O,13,0)</f>
        <v>30686</v>
      </c>
    </row>
    <row r="2698" spans="1:4">
      <c r="A2698" s="8" t="s">
        <v>406</v>
      </c>
      <c r="B2698" s="5">
        <v>1600101</v>
      </c>
      <c r="C2698" s="5" t="s">
        <v>188</v>
      </c>
      <c r="D2698" s="3">
        <f>VLOOKUP(B2698,Sheet2!$A:$O,13,0)</f>
        <v>2872</v>
      </c>
    </row>
    <row r="2699" spans="1:4">
      <c r="A2699" s="8" t="s">
        <v>406</v>
      </c>
      <c r="B2699" s="5">
        <v>1600102</v>
      </c>
      <c r="C2699" s="5" t="s">
        <v>257</v>
      </c>
      <c r="D2699" s="3">
        <f>VLOOKUP(B2699,Sheet2!$A:$O,13,0)</f>
        <v>36275</v>
      </c>
    </row>
    <row r="2700" spans="1:4">
      <c r="A2700" s="8" t="s">
        <v>406</v>
      </c>
      <c r="B2700" s="5">
        <v>1600103</v>
      </c>
      <c r="C2700" s="5" t="s">
        <v>258</v>
      </c>
      <c r="D2700" s="3">
        <f>VLOOKUP(B2700,Sheet2!$A:$O,13,0)</f>
        <v>19800</v>
      </c>
    </row>
    <row r="2701" spans="1:4">
      <c r="A2701" s="8" t="s">
        <v>406</v>
      </c>
      <c r="B2701" s="5">
        <v>1600104</v>
      </c>
      <c r="C2701" s="5" t="s">
        <v>259</v>
      </c>
      <c r="D2701" s="3">
        <f>VLOOKUP(B2701,Sheet2!$A:$O,13,0)</f>
        <v>73810</v>
      </c>
    </row>
    <row r="2702" spans="1:4">
      <c r="A2702" s="8" t="s">
        <v>406</v>
      </c>
      <c r="B2702" s="5">
        <v>1600105</v>
      </c>
      <c r="C2702" s="5" t="s">
        <v>260</v>
      </c>
      <c r="D2702" s="3">
        <f>VLOOKUP(B2702,Sheet2!$A:$O,13,0)</f>
        <v>83950</v>
      </c>
    </row>
    <row r="2703" spans="1:4">
      <c r="A2703" s="8" t="s">
        <v>406</v>
      </c>
      <c r="B2703" s="5">
        <v>1600106</v>
      </c>
      <c r="C2703" s="5" t="s">
        <v>261</v>
      </c>
      <c r="D2703" s="3">
        <f>VLOOKUP(B2703,Sheet2!$A:$O,13,0)</f>
        <v>108071</v>
      </c>
    </row>
    <row r="2704" spans="1:4">
      <c r="A2704" s="8" t="s">
        <v>406</v>
      </c>
      <c r="B2704" s="5">
        <v>1600107</v>
      </c>
      <c r="C2704" s="5" t="s">
        <v>262</v>
      </c>
      <c r="D2704" s="3">
        <f>VLOOKUP(B2704,Sheet2!$A:$O,13,0)</f>
        <v>86601</v>
      </c>
    </row>
    <row r="2705" spans="1:4">
      <c r="A2705" s="8" t="s">
        <v>406</v>
      </c>
      <c r="B2705" s="5">
        <v>1600108</v>
      </c>
      <c r="C2705" s="5" t="s">
        <v>263</v>
      </c>
      <c r="D2705" s="3">
        <f>VLOOKUP(B2705,Sheet2!$A:$O,13,0)</f>
        <v>73810</v>
      </c>
    </row>
    <row r="2706" spans="1:4">
      <c r="A2706" s="8" t="s">
        <v>406</v>
      </c>
      <c r="B2706" s="5">
        <v>1600109</v>
      </c>
      <c r="C2706" s="5" t="s">
        <v>264</v>
      </c>
      <c r="D2706" s="3">
        <f>VLOOKUP(B2706,Sheet2!$A:$O,13,0)</f>
        <v>5882</v>
      </c>
    </row>
    <row r="2707" spans="1:4">
      <c r="A2707" s="8" t="s">
        <v>406</v>
      </c>
      <c r="B2707" s="5">
        <v>1600110</v>
      </c>
      <c r="C2707" s="5" t="s">
        <v>265</v>
      </c>
      <c r="D2707" s="3">
        <f>VLOOKUP(B2707,Sheet2!$A:$O,13,0)</f>
        <v>7917</v>
      </c>
    </row>
    <row r="2708" spans="1:4">
      <c r="A2708" s="8" t="s">
        <v>406</v>
      </c>
      <c r="B2708" s="5">
        <v>1600111</v>
      </c>
      <c r="C2708" s="5" t="s">
        <v>266</v>
      </c>
      <c r="D2708" s="3">
        <f>VLOOKUP(B2708,Sheet2!$A:$O,13,0)</f>
        <v>2266</v>
      </c>
    </row>
    <row r="2709" spans="1:4">
      <c r="A2709" s="8" t="s">
        <v>406</v>
      </c>
      <c r="B2709" s="5">
        <v>1600112</v>
      </c>
      <c r="C2709" s="5" t="s">
        <v>190</v>
      </c>
      <c r="D2709" s="3">
        <f>VLOOKUP(B2709,Sheet2!$A:$O,13,0)</f>
        <v>4800</v>
      </c>
    </row>
    <row r="2710" spans="1:4">
      <c r="A2710" s="8" t="s">
        <v>406</v>
      </c>
      <c r="B2710" s="5">
        <v>1600113</v>
      </c>
      <c r="C2710" s="5" t="s">
        <v>267</v>
      </c>
      <c r="D2710" s="3">
        <f>VLOOKUP(B2710,Sheet2!$A:$O,13,0)</f>
        <v>0</v>
      </c>
    </row>
    <row r="2711" spans="1:4">
      <c r="A2711" s="8" t="s">
        <v>406</v>
      </c>
      <c r="B2711" s="5">
        <v>1600114</v>
      </c>
      <c r="C2711" s="5" t="s">
        <v>268</v>
      </c>
      <c r="D2711" s="3">
        <f>VLOOKUP(B2711,Sheet2!$A:$O,13,0)</f>
        <v>13333</v>
      </c>
    </row>
    <row r="2712" spans="1:4">
      <c r="A2712" s="8" t="s">
        <v>406</v>
      </c>
      <c r="B2712" s="5">
        <v>1700001</v>
      </c>
      <c r="C2712" s="5" t="s">
        <v>269</v>
      </c>
      <c r="D2712" s="3">
        <f>VLOOKUP(B2712,Sheet2!$A:$O,13,0)</f>
        <v>4570</v>
      </c>
    </row>
    <row r="2713" spans="1:4">
      <c r="A2713" s="8" t="s">
        <v>406</v>
      </c>
      <c r="B2713" s="5">
        <v>1700002</v>
      </c>
      <c r="C2713" s="5" t="s">
        <v>270</v>
      </c>
      <c r="D2713" s="3">
        <f>VLOOKUP(B2713,Sheet2!$A:$O,13,0)</f>
        <v>3726</v>
      </c>
    </row>
    <row r="2714" spans="1:4">
      <c r="A2714" s="8" t="s">
        <v>406</v>
      </c>
      <c r="B2714" s="5">
        <v>1700003</v>
      </c>
      <c r="C2714" s="5" t="s">
        <v>271</v>
      </c>
      <c r="D2714" s="3">
        <f>VLOOKUP(B2714,Sheet2!$A:$O,13,0)</f>
        <v>4902</v>
      </c>
    </row>
    <row r="2715" spans="1:4">
      <c r="A2715" s="8" t="s">
        <v>406</v>
      </c>
      <c r="B2715" s="5">
        <v>1700004</v>
      </c>
      <c r="C2715" s="5" t="s">
        <v>272</v>
      </c>
      <c r="D2715" s="3">
        <f>VLOOKUP(B2715,Sheet2!$A:$O,13,0)</f>
        <v>15784</v>
      </c>
    </row>
    <row r="2716" spans="1:4">
      <c r="A2716" s="8" t="s">
        <v>406</v>
      </c>
      <c r="B2716" s="5">
        <v>1700005</v>
      </c>
      <c r="C2716" s="5" t="s">
        <v>192</v>
      </c>
      <c r="D2716" s="3">
        <f>VLOOKUP(B2716,Sheet2!$A:$O,13,0)</f>
        <v>1765</v>
      </c>
    </row>
    <row r="2717" spans="1:4">
      <c r="A2717" s="8" t="s">
        <v>406</v>
      </c>
      <c r="B2717" s="5">
        <v>1700006</v>
      </c>
      <c r="C2717" s="5" t="s">
        <v>273</v>
      </c>
      <c r="D2717" s="3">
        <f>VLOOKUP(B2717,Sheet2!$A:$O,13,0)</f>
        <v>6676</v>
      </c>
    </row>
    <row r="2718" spans="1:4">
      <c r="A2718" s="8" t="s">
        <v>406</v>
      </c>
      <c r="B2718" s="5">
        <v>1700007</v>
      </c>
      <c r="C2718" s="5" t="s">
        <v>274</v>
      </c>
      <c r="D2718" s="3">
        <f>VLOOKUP(B2718,Sheet2!$A:$O,13,0)</f>
        <v>0</v>
      </c>
    </row>
    <row r="2719" spans="1:4">
      <c r="A2719" s="8" t="s">
        <v>406</v>
      </c>
      <c r="B2719" s="5">
        <v>1700008</v>
      </c>
      <c r="C2719" s="5" t="s">
        <v>275</v>
      </c>
      <c r="D2719" s="3">
        <f>VLOOKUP(B2719,Sheet2!$A:$O,13,0)</f>
        <v>0</v>
      </c>
    </row>
    <row r="2720" spans="1:4">
      <c r="A2720" s="8" t="s">
        <v>406</v>
      </c>
      <c r="B2720" s="5">
        <v>1700009</v>
      </c>
      <c r="C2720" s="5" t="s">
        <v>276</v>
      </c>
      <c r="D2720" s="3">
        <f>VLOOKUP(B2720,Sheet2!$A:$O,13,0)</f>
        <v>0</v>
      </c>
    </row>
    <row r="2721" spans="1:4">
      <c r="A2721" s="8" t="s">
        <v>406</v>
      </c>
      <c r="B2721" s="5">
        <v>1700010</v>
      </c>
      <c r="C2721" s="5" t="s">
        <v>277</v>
      </c>
      <c r="D2721" s="3">
        <f>VLOOKUP(B2721,Sheet2!$A:$O,13,0)</f>
        <v>3990</v>
      </c>
    </row>
    <row r="2722" spans="1:4">
      <c r="A2722" s="8" t="s">
        <v>406</v>
      </c>
      <c r="B2722" s="5">
        <v>1700011</v>
      </c>
      <c r="C2722" s="5" t="s">
        <v>278</v>
      </c>
      <c r="D2722" s="3">
        <f>VLOOKUP(B2722,Sheet2!$A:$O,13,0)</f>
        <v>12745</v>
      </c>
    </row>
    <row r="2723" spans="1:4">
      <c r="A2723" s="8" t="s">
        <v>406</v>
      </c>
      <c r="B2723" s="5">
        <v>1700012</v>
      </c>
      <c r="C2723" s="5" t="s">
        <v>279</v>
      </c>
      <c r="D2723" s="3">
        <f>VLOOKUP(B2723,Sheet2!$A:$O,13,0)</f>
        <v>15980</v>
      </c>
    </row>
    <row r="2724" spans="1:4">
      <c r="A2724" s="8" t="s">
        <v>406</v>
      </c>
      <c r="B2724" s="5">
        <v>1700013</v>
      </c>
      <c r="C2724" s="5" t="s">
        <v>280</v>
      </c>
      <c r="D2724" s="3">
        <f>VLOOKUP(B2724,Sheet2!$A:$O,13,0)</f>
        <v>18137</v>
      </c>
    </row>
    <row r="2725" spans="1:4">
      <c r="A2725" s="8" t="s">
        <v>406</v>
      </c>
      <c r="B2725" s="5">
        <v>1700014</v>
      </c>
      <c r="C2725" s="5" t="s">
        <v>194</v>
      </c>
      <c r="D2725" s="3">
        <f>VLOOKUP(B2725,Sheet2!$A:$O,13,0)</f>
        <v>2255</v>
      </c>
    </row>
    <row r="2726" spans="1:4">
      <c r="A2726" s="8" t="s">
        <v>406</v>
      </c>
      <c r="B2726" s="5">
        <v>1700015</v>
      </c>
      <c r="C2726" s="5" t="s">
        <v>281</v>
      </c>
      <c r="D2726" s="3">
        <f>VLOOKUP(B2726,Sheet2!$A:$O,13,0)</f>
        <v>5160</v>
      </c>
    </row>
    <row r="2727" spans="1:4">
      <c r="A2727" s="8" t="s">
        <v>406</v>
      </c>
      <c r="B2727" s="5">
        <v>1700016</v>
      </c>
      <c r="C2727" s="5" t="s">
        <v>282</v>
      </c>
      <c r="D2727" s="3">
        <f>VLOOKUP(B2727,Sheet2!$A:$O,13,0)</f>
        <v>3568</v>
      </c>
    </row>
    <row r="2728" spans="1:4">
      <c r="A2728" s="8" t="s">
        <v>406</v>
      </c>
      <c r="B2728" s="5">
        <v>1700017</v>
      </c>
      <c r="C2728" s="5" t="s">
        <v>283</v>
      </c>
      <c r="D2728" s="3">
        <f>VLOOKUP(B2728,Sheet2!$A:$O,13,0)</f>
        <v>10784</v>
      </c>
    </row>
    <row r="2729" spans="1:4">
      <c r="A2729" s="8" t="s">
        <v>406</v>
      </c>
      <c r="B2729" s="5">
        <v>1700018</v>
      </c>
      <c r="C2729" s="5" t="s">
        <v>284</v>
      </c>
      <c r="D2729" s="3">
        <f>VLOOKUP(B2729,Sheet2!$A:$O,13,0)</f>
        <v>4130</v>
      </c>
    </row>
    <row r="2730" spans="1:4">
      <c r="A2730" s="8" t="s">
        <v>406</v>
      </c>
      <c r="B2730" s="5">
        <v>1700019</v>
      </c>
      <c r="C2730" s="5" t="s">
        <v>285</v>
      </c>
      <c r="D2730" s="3">
        <f>VLOOKUP(B2730,Sheet2!$A:$O,13,0)</f>
        <v>0</v>
      </c>
    </row>
    <row r="2731" spans="1:4">
      <c r="A2731" s="8" t="s">
        <v>406</v>
      </c>
      <c r="B2731" s="5">
        <v>1700020</v>
      </c>
      <c r="C2731" s="5" t="s">
        <v>286</v>
      </c>
      <c r="D2731" s="3">
        <f>VLOOKUP(B2731,Sheet2!$A:$O,13,0)</f>
        <v>49412</v>
      </c>
    </row>
    <row r="2732" spans="1:4">
      <c r="A2732" s="8" t="s">
        <v>406</v>
      </c>
      <c r="B2732" s="5">
        <v>1700021</v>
      </c>
      <c r="C2732" s="5" t="s">
        <v>287</v>
      </c>
      <c r="D2732" s="3">
        <f>VLOOKUP(B2732,Sheet2!$A:$O,13,0)</f>
        <v>86137</v>
      </c>
    </row>
    <row r="2733" spans="1:4">
      <c r="A2733" s="8" t="s">
        <v>406</v>
      </c>
      <c r="B2733" s="5">
        <v>1700022</v>
      </c>
      <c r="C2733" s="5" t="s">
        <v>288</v>
      </c>
      <c r="D2733" s="3">
        <f>VLOOKUP(B2733,Sheet2!$A:$O,13,0)</f>
        <v>33706</v>
      </c>
    </row>
    <row r="2734" spans="1:4">
      <c r="A2734" s="8" t="s">
        <v>406</v>
      </c>
      <c r="B2734" s="5">
        <v>1700023</v>
      </c>
      <c r="C2734" s="5" t="s">
        <v>289</v>
      </c>
      <c r="D2734" s="3">
        <f>VLOOKUP(B2734,Sheet2!$A:$O,13,0)</f>
        <v>8581</v>
      </c>
    </row>
    <row r="2735" spans="1:4">
      <c r="A2735" s="8" t="s">
        <v>406</v>
      </c>
      <c r="B2735" s="5">
        <v>1700024</v>
      </c>
      <c r="C2735" s="5" t="s">
        <v>290</v>
      </c>
      <c r="D2735" s="3">
        <f>VLOOKUP(B2735,Sheet2!$A:$O,13,0)</f>
        <v>0</v>
      </c>
    </row>
    <row r="2736" spans="1:4">
      <c r="A2736" s="8" t="s">
        <v>406</v>
      </c>
      <c r="B2736" s="5">
        <v>1700025</v>
      </c>
      <c r="C2736" s="5" t="s">
        <v>291</v>
      </c>
      <c r="D2736" s="3">
        <f>VLOOKUP(B2736,Sheet2!$A:$O,13,0)</f>
        <v>1961</v>
      </c>
    </row>
    <row r="2737" spans="1:4">
      <c r="A2737" s="8" t="s">
        <v>406</v>
      </c>
      <c r="B2737" s="5">
        <v>1700026</v>
      </c>
      <c r="C2737" s="5" t="s">
        <v>292</v>
      </c>
      <c r="D2737" s="3">
        <f>VLOOKUP(B2737,Sheet2!$A:$O,13,0)</f>
        <v>3725</v>
      </c>
    </row>
    <row r="2738" spans="1:4">
      <c r="A2738" s="8" t="s">
        <v>406</v>
      </c>
      <c r="B2738" s="5">
        <v>1700027</v>
      </c>
      <c r="C2738" s="5" t="s">
        <v>293</v>
      </c>
      <c r="D2738" s="3">
        <f>VLOOKUP(B2738,Sheet2!$A:$O,13,0)</f>
        <v>4412</v>
      </c>
    </row>
    <row r="2739" spans="1:4">
      <c r="A2739" s="8" t="s">
        <v>406</v>
      </c>
      <c r="B2739" s="5">
        <v>1700028</v>
      </c>
      <c r="C2739" s="5" t="s">
        <v>294</v>
      </c>
      <c r="D2739" s="3">
        <f>VLOOKUP(B2739,Sheet2!$A:$O,13,0)</f>
        <v>9500</v>
      </c>
    </row>
    <row r="2740" spans="1:4">
      <c r="A2740" s="8" t="s">
        <v>406</v>
      </c>
      <c r="B2740" s="5">
        <v>1700029</v>
      </c>
      <c r="C2740" s="5" t="s">
        <v>295</v>
      </c>
      <c r="D2740" s="3">
        <f>VLOOKUP(B2740,Sheet2!$A:$O,13,0)</f>
        <v>10670</v>
      </c>
    </row>
    <row r="2741" spans="1:4">
      <c r="A2741" s="8" t="s">
        <v>406</v>
      </c>
      <c r="B2741" s="5">
        <v>1700030</v>
      </c>
      <c r="C2741" s="5" t="s">
        <v>296</v>
      </c>
      <c r="D2741" s="3">
        <f>VLOOKUP(B2741,Sheet2!$A:$O,13,0)</f>
        <v>12720</v>
      </c>
    </row>
    <row r="2742" spans="1:4">
      <c r="A2742" s="8" t="s">
        <v>406</v>
      </c>
      <c r="B2742" s="5">
        <v>1700031</v>
      </c>
      <c r="C2742" s="5" t="s">
        <v>196</v>
      </c>
      <c r="D2742" s="3">
        <f>VLOOKUP(B2742,Sheet2!$A:$O,13,0)</f>
        <v>2069</v>
      </c>
    </row>
    <row r="2743" spans="1:4">
      <c r="A2743" s="8" t="s">
        <v>406</v>
      </c>
      <c r="B2743" s="5">
        <v>1700032</v>
      </c>
      <c r="C2743" s="5" t="s">
        <v>297</v>
      </c>
      <c r="D2743" s="3">
        <f>VLOOKUP(B2743,Sheet2!$A:$O,13,0)</f>
        <v>0</v>
      </c>
    </row>
    <row r="2744" spans="1:4">
      <c r="A2744" s="8" t="s">
        <v>406</v>
      </c>
      <c r="B2744" s="5">
        <v>1700033</v>
      </c>
      <c r="C2744" s="5" t="s">
        <v>298</v>
      </c>
      <c r="D2744" s="3">
        <f>VLOOKUP(B2744,Sheet2!$A:$O,13,0)</f>
        <v>0</v>
      </c>
    </row>
    <row r="2745" spans="1:4">
      <c r="A2745" s="8" t="s">
        <v>406</v>
      </c>
      <c r="B2745" s="5">
        <v>1700034</v>
      </c>
      <c r="C2745" s="5" t="s">
        <v>299</v>
      </c>
      <c r="D2745" s="3">
        <f>VLOOKUP(B2745,Sheet2!$A:$O,13,0)</f>
        <v>17475</v>
      </c>
    </row>
    <row r="2746" spans="1:4">
      <c r="A2746" s="8" t="s">
        <v>406</v>
      </c>
      <c r="B2746" s="5">
        <v>1700035</v>
      </c>
      <c r="C2746" s="5" t="s">
        <v>300</v>
      </c>
      <c r="D2746" s="3">
        <f>VLOOKUP(B2746,Sheet2!$A:$O,13,0)</f>
        <v>34000</v>
      </c>
    </row>
    <row r="2747" spans="1:4">
      <c r="A2747" s="8" t="s">
        <v>406</v>
      </c>
      <c r="B2747" s="5">
        <v>1700036</v>
      </c>
      <c r="C2747" s="5" t="s">
        <v>301</v>
      </c>
      <c r="D2747" s="3">
        <f>VLOOKUP(B2747,Sheet2!$A:$O,13,0)</f>
        <v>5200</v>
      </c>
    </row>
    <row r="2748" spans="1:4">
      <c r="A2748" s="8" t="s">
        <v>406</v>
      </c>
      <c r="B2748" s="5">
        <v>1700037</v>
      </c>
      <c r="C2748" s="5" t="s">
        <v>302</v>
      </c>
      <c r="D2748" s="3">
        <f>VLOOKUP(B2748,Sheet2!$A:$O,13,0)</f>
        <v>7533</v>
      </c>
    </row>
    <row r="2749" spans="1:4">
      <c r="A2749" s="8" t="s">
        <v>406</v>
      </c>
      <c r="B2749" s="5">
        <v>1700038</v>
      </c>
      <c r="C2749" s="5" t="s">
        <v>303</v>
      </c>
      <c r="D2749" s="3">
        <f>VLOOKUP(B2749,Sheet2!$A:$O,13,0)</f>
        <v>2108</v>
      </c>
    </row>
    <row r="2750" spans="1:4">
      <c r="A2750" s="8" t="s">
        <v>406</v>
      </c>
      <c r="B2750" s="5">
        <v>1700039</v>
      </c>
      <c r="C2750" s="5" t="s">
        <v>304</v>
      </c>
      <c r="D2750" s="3">
        <f>VLOOKUP(B2750,Sheet2!$A:$O,13,0)</f>
        <v>3480</v>
      </c>
    </row>
    <row r="2751" spans="1:4">
      <c r="A2751" s="8" t="s">
        <v>406</v>
      </c>
      <c r="B2751" s="5">
        <v>1700040</v>
      </c>
      <c r="C2751" s="5" t="s">
        <v>305</v>
      </c>
      <c r="D2751" s="3">
        <f>VLOOKUP(B2751,Sheet2!$A:$O,13,0)</f>
        <v>1967</v>
      </c>
    </row>
    <row r="2752" spans="1:4">
      <c r="A2752" s="8" t="s">
        <v>406</v>
      </c>
      <c r="B2752" s="5">
        <v>1700041</v>
      </c>
      <c r="C2752" s="5" t="s">
        <v>306</v>
      </c>
      <c r="D2752" s="3">
        <f>VLOOKUP(B2752,Sheet2!$A:$O,13,0)</f>
        <v>3000</v>
      </c>
    </row>
    <row r="2753" spans="1:4">
      <c r="A2753" s="8" t="s">
        <v>406</v>
      </c>
      <c r="B2753" s="5">
        <v>1700042</v>
      </c>
      <c r="C2753" s="5" t="s">
        <v>307</v>
      </c>
      <c r="D2753" s="3">
        <f>VLOOKUP(B2753,Sheet2!$A:$O,13,0)</f>
        <v>3163</v>
      </c>
    </row>
    <row r="2754" spans="1:4">
      <c r="A2754" s="8" t="s">
        <v>406</v>
      </c>
      <c r="B2754" s="5">
        <v>1700043</v>
      </c>
      <c r="C2754" s="5" t="s">
        <v>308</v>
      </c>
      <c r="D2754" s="3">
        <f>VLOOKUP(B2754,Sheet2!$A:$O,13,0)</f>
        <v>5877</v>
      </c>
    </row>
    <row r="2755" spans="1:4">
      <c r="A2755" s="8" t="s">
        <v>406</v>
      </c>
      <c r="B2755" s="5">
        <v>1700044</v>
      </c>
      <c r="C2755" s="5" t="s">
        <v>309</v>
      </c>
      <c r="D2755" s="3">
        <f>VLOOKUP(B2755,Sheet2!$A:$O,13,0)</f>
        <v>7000</v>
      </c>
    </row>
    <row r="2756" spans="1:4">
      <c r="A2756" s="8" t="s">
        <v>406</v>
      </c>
      <c r="B2756" s="5">
        <v>1700045</v>
      </c>
      <c r="C2756" s="5" t="s">
        <v>310</v>
      </c>
      <c r="D2756" s="3">
        <f>VLOOKUP(B2756,Sheet2!$A:$O,13,0)</f>
        <v>3770</v>
      </c>
    </row>
    <row r="2757" spans="1:4">
      <c r="A2757" s="8" t="s">
        <v>406</v>
      </c>
      <c r="B2757" s="5">
        <v>1700046</v>
      </c>
      <c r="C2757" s="5" t="s">
        <v>311</v>
      </c>
      <c r="D2757" s="3">
        <f>VLOOKUP(B2757,Sheet2!$A:$O,13,0)</f>
        <v>6863</v>
      </c>
    </row>
    <row r="2758" spans="1:4">
      <c r="A2758" s="8" t="s">
        <v>406</v>
      </c>
      <c r="B2758" s="5">
        <v>1700047</v>
      </c>
      <c r="C2758" s="5" t="s">
        <v>312</v>
      </c>
      <c r="D2758" s="3">
        <f>VLOOKUP(B2758,Sheet2!$A:$O,13,0)</f>
        <v>22350</v>
      </c>
    </row>
    <row r="2759" spans="1:4">
      <c r="A2759" s="8" t="s">
        <v>406</v>
      </c>
      <c r="B2759" s="5">
        <v>1700048</v>
      </c>
      <c r="C2759" s="5" t="s">
        <v>313</v>
      </c>
      <c r="D2759" s="3">
        <f>VLOOKUP(B2759,Sheet2!$A:$O,13,0)</f>
        <v>13330</v>
      </c>
    </row>
    <row r="2760" spans="1:4">
      <c r="A2760" s="8" t="s">
        <v>406</v>
      </c>
      <c r="B2760" s="5">
        <v>1700049</v>
      </c>
      <c r="C2760" s="5" t="s">
        <v>314</v>
      </c>
      <c r="D2760" s="3">
        <f>VLOOKUP(B2760,Sheet2!$A:$O,13,0)</f>
        <v>5785</v>
      </c>
    </row>
    <row r="2761" spans="1:4">
      <c r="A2761" s="8" t="s">
        <v>406</v>
      </c>
      <c r="B2761" s="5">
        <v>1700050</v>
      </c>
      <c r="C2761" s="5" t="s">
        <v>315</v>
      </c>
      <c r="D2761" s="3">
        <f>VLOOKUP(B2761,Sheet2!$A:$O,13,0)</f>
        <v>39000</v>
      </c>
    </row>
    <row r="2762" spans="1:4">
      <c r="A2762" s="8" t="s">
        <v>406</v>
      </c>
      <c r="B2762" s="5">
        <v>1700051</v>
      </c>
      <c r="C2762" s="5" t="s">
        <v>316</v>
      </c>
      <c r="D2762" s="3">
        <f>VLOOKUP(B2762,Sheet2!$A:$O,13,0)</f>
        <v>11500</v>
      </c>
    </row>
    <row r="2763" spans="1:4">
      <c r="A2763" s="8" t="s">
        <v>406</v>
      </c>
      <c r="B2763" s="5">
        <v>1700052</v>
      </c>
      <c r="C2763" s="5" t="s">
        <v>317</v>
      </c>
      <c r="D2763" s="3">
        <f>VLOOKUP(B2763,Sheet2!$A:$O,13,0)</f>
        <v>3444</v>
      </c>
    </row>
    <row r="2764" spans="1:4">
      <c r="A2764" s="8" t="s">
        <v>406</v>
      </c>
      <c r="B2764" s="5">
        <v>1700053</v>
      </c>
      <c r="C2764" s="5" t="s">
        <v>318</v>
      </c>
      <c r="D2764" s="3">
        <f>VLOOKUP(B2764,Sheet2!$A:$O,13,0)</f>
        <v>15530</v>
      </c>
    </row>
    <row r="2765" spans="1:4">
      <c r="A2765" s="8" t="s">
        <v>406</v>
      </c>
      <c r="B2765" s="5">
        <v>1700054</v>
      </c>
      <c r="C2765" s="5" t="s">
        <v>319</v>
      </c>
      <c r="D2765" s="3">
        <f>VLOOKUP(B2765,Sheet2!$A:$O,13,0)</f>
        <v>11670</v>
      </c>
    </row>
    <row r="2766" spans="1:4">
      <c r="A2766" s="8" t="s">
        <v>406</v>
      </c>
      <c r="B2766" s="5">
        <v>1700055</v>
      </c>
      <c r="C2766" s="5" t="s">
        <v>320</v>
      </c>
      <c r="D2766" s="3">
        <f>VLOOKUP(B2766,Sheet2!$A:$O,13,0)</f>
        <v>11940</v>
      </c>
    </row>
    <row r="2767" spans="1:4">
      <c r="A2767" s="8" t="s">
        <v>406</v>
      </c>
      <c r="B2767" s="5">
        <v>1700056</v>
      </c>
      <c r="C2767" s="5" t="s">
        <v>321</v>
      </c>
      <c r="D2767" s="3">
        <f>VLOOKUP(B2767,Sheet2!$A:$O,13,0)</f>
        <v>6226</v>
      </c>
    </row>
    <row r="2768" spans="1:4">
      <c r="A2768" s="8" t="s">
        <v>406</v>
      </c>
      <c r="B2768" s="5">
        <v>1700057</v>
      </c>
      <c r="C2768" s="5" t="s">
        <v>322</v>
      </c>
      <c r="D2768" s="3">
        <f>VLOOKUP(B2768,Sheet2!$A:$O,13,0)</f>
        <v>2098</v>
      </c>
    </row>
    <row r="2769" spans="1:4">
      <c r="A2769" s="8" t="s">
        <v>406</v>
      </c>
      <c r="B2769" s="5">
        <v>1700058</v>
      </c>
      <c r="C2769" s="5" t="s">
        <v>323</v>
      </c>
      <c r="D2769" s="3">
        <f>VLOOKUP(B2769,Sheet2!$A:$O,13,0)</f>
        <v>5800</v>
      </c>
    </row>
    <row r="2770" spans="1:4">
      <c r="A2770" s="8" t="s">
        <v>406</v>
      </c>
      <c r="B2770" s="5">
        <v>1700059</v>
      </c>
      <c r="C2770" s="5" t="s">
        <v>324</v>
      </c>
      <c r="D2770" s="3">
        <f>VLOOKUP(B2770,Sheet2!$A:$O,13,0)</f>
        <v>27667</v>
      </c>
    </row>
    <row r="2771" spans="1:4">
      <c r="A2771" s="8" t="s">
        <v>406</v>
      </c>
      <c r="B2771" s="5">
        <v>1700060</v>
      </c>
      <c r="C2771" s="5" t="s">
        <v>325</v>
      </c>
      <c r="D2771" s="3">
        <f>VLOOKUP(B2771,Sheet2!$A:$O,13,0)</f>
        <v>5471</v>
      </c>
    </row>
    <row r="2772" spans="1:4">
      <c r="A2772" s="8" t="s">
        <v>406</v>
      </c>
      <c r="B2772" s="5">
        <v>1700061</v>
      </c>
      <c r="C2772" s="5" t="s">
        <v>326</v>
      </c>
      <c r="D2772" s="3">
        <f>VLOOKUP(B2772,Sheet2!$A:$O,13,0)</f>
        <v>8920</v>
      </c>
    </row>
    <row r="2773" spans="1:4">
      <c r="A2773" s="8" t="s">
        <v>406</v>
      </c>
      <c r="B2773" s="5">
        <v>1700062</v>
      </c>
      <c r="C2773" s="5" t="s">
        <v>327</v>
      </c>
      <c r="D2773" s="3">
        <f>VLOOKUP(B2773,Sheet2!$A:$O,13,0)</f>
        <v>10520</v>
      </c>
    </row>
    <row r="2774" spans="1:4">
      <c r="A2774" s="8" t="s">
        <v>406</v>
      </c>
      <c r="B2774" s="5">
        <v>1700063</v>
      </c>
      <c r="C2774" s="5" t="s">
        <v>328</v>
      </c>
      <c r="D2774" s="3">
        <f>VLOOKUP(B2774,Sheet2!$A:$O,13,0)</f>
        <v>10550</v>
      </c>
    </row>
    <row r="2775" spans="1:4">
      <c r="A2775" s="8" t="s">
        <v>406</v>
      </c>
      <c r="B2775" s="5">
        <v>1700064</v>
      </c>
      <c r="C2775" s="5" t="s">
        <v>329</v>
      </c>
      <c r="D2775" s="3">
        <f>VLOOKUP(B2775,Sheet2!$A:$O,13,0)</f>
        <v>11060</v>
      </c>
    </row>
    <row r="2776" spans="1:4">
      <c r="A2776" s="8" t="s">
        <v>406</v>
      </c>
      <c r="B2776" s="5">
        <v>1700065</v>
      </c>
      <c r="C2776" s="5" t="s">
        <v>330</v>
      </c>
      <c r="D2776" s="3">
        <f>VLOOKUP(B2776,Sheet2!$A:$O,13,0)</f>
        <v>12760</v>
      </c>
    </row>
    <row r="2777" spans="1:4">
      <c r="A2777" s="8" t="s">
        <v>406</v>
      </c>
      <c r="B2777" s="5">
        <v>1700066</v>
      </c>
      <c r="C2777" s="5" t="s">
        <v>331</v>
      </c>
      <c r="D2777" s="3">
        <f>VLOOKUP(B2777,Sheet2!$A:$O,13,0)</f>
        <v>13200</v>
      </c>
    </row>
    <row r="2778" spans="1:4">
      <c r="A2778" s="8" t="s">
        <v>406</v>
      </c>
      <c r="B2778" s="5">
        <v>1700067</v>
      </c>
      <c r="C2778" s="5" t="s">
        <v>332</v>
      </c>
      <c r="D2778" s="3">
        <f>VLOOKUP(B2778,Sheet2!$A:$O,13,0)</f>
        <v>10720</v>
      </c>
    </row>
    <row r="2779" spans="1:4">
      <c r="A2779" s="8" t="s">
        <v>406</v>
      </c>
      <c r="B2779" s="5">
        <v>1700068</v>
      </c>
      <c r="C2779" s="5" t="s">
        <v>333</v>
      </c>
      <c r="D2779" s="3">
        <f>VLOOKUP(B2779,Sheet2!$A:$O,13,0)</f>
        <v>12720</v>
      </c>
    </row>
    <row r="2780" spans="1:4">
      <c r="A2780" s="8" t="s">
        <v>406</v>
      </c>
      <c r="B2780" s="5">
        <v>1700069</v>
      </c>
      <c r="C2780" s="5" t="s">
        <v>334</v>
      </c>
      <c r="D2780" s="3">
        <f>VLOOKUP(B2780,Sheet2!$A:$O,13,0)</f>
        <v>14000</v>
      </c>
    </row>
    <row r="2781" spans="1:4">
      <c r="A2781" s="8" t="s">
        <v>406</v>
      </c>
      <c r="B2781" s="5">
        <v>1700070</v>
      </c>
      <c r="C2781" s="5" t="s">
        <v>335</v>
      </c>
      <c r="D2781" s="3">
        <f>VLOOKUP(B2781,Sheet2!$A:$O,13,0)</f>
        <v>1618</v>
      </c>
    </row>
    <row r="2782" spans="1:4">
      <c r="A2782" s="8" t="s">
        <v>406</v>
      </c>
      <c r="B2782" s="5">
        <v>1700071</v>
      </c>
      <c r="C2782" s="5" t="s">
        <v>336</v>
      </c>
      <c r="D2782" s="3">
        <f>VLOOKUP(B2782,Sheet2!$A:$O,13,0)</f>
        <v>12190</v>
      </c>
    </row>
    <row r="2783" spans="1:4">
      <c r="A2783" s="8" t="s">
        <v>406</v>
      </c>
      <c r="B2783" s="5">
        <v>1700072</v>
      </c>
      <c r="C2783" s="5" t="s">
        <v>337</v>
      </c>
      <c r="D2783" s="3">
        <f>VLOOKUP(B2783,Sheet2!$A:$O,13,0)</f>
        <v>10180</v>
      </c>
    </row>
    <row r="2784" spans="1:4">
      <c r="A2784" s="8" t="s">
        <v>406</v>
      </c>
      <c r="B2784" s="5">
        <v>1700073</v>
      </c>
      <c r="C2784" s="5" t="s">
        <v>338</v>
      </c>
      <c r="D2784" s="3">
        <f>VLOOKUP(B2784,Sheet2!$A:$O,13,0)</f>
        <v>9020</v>
      </c>
    </row>
    <row r="2785" spans="1:4">
      <c r="A2785" s="8" t="s">
        <v>406</v>
      </c>
      <c r="B2785" s="5">
        <v>1700076</v>
      </c>
      <c r="C2785" s="5" t="s">
        <v>339</v>
      </c>
      <c r="D2785" s="3">
        <f>VLOOKUP(B2785,Sheet2!$A:$O,13,0)</f>
        <v>4108</v>
      </c>
    </row>
    <row r="2786" spans="1:4">
      <c r="A2786" s="8" t="s">
        <v>406</v>
      </c>
      <c r="B2786" s="5">
        <v>1700077</v>
      </c>
      <c r="C2786" s="5" t="s">
        <v>340</v>
      </c>
      <c r="D2786" s="3">
        <f>VLOOKUP(B2786,Sheet2!$A:$O,13,0)</f>
        <v>3843</v>
      </c>
    </row>
    <row r="2787" spans="1:4">
      <c r="A2787" s="8" t="s">
        <v>406</v>
      </c>
      <c r="B2787" s="5">
        <v>1700078</v>
      </c>
      <c r="C2787" s="5" t="s">
        <v>341</v>
      </c>
      <c r="D2787" s="3">
        <f>VLOOKUP(B2787,Sheet2!$A:$O,13,0)</f>
        <v>4716</v>
      </c>
    </row>
    <row r="2788" spans="1:4">
      <c r="A2788" s="8" t="s">
        <v>406</v>
      </c>
      <c r="B2788" s="5">
        <v>1700080</v>
      </c>
      <c r="C2788" s="5" t="s">
        <v>342</v>
      </c>
      <c r="D2788" s="3">
        <f>VLOOKUP(B2788,Sheet2!$A:$O,13,0)</f>
        <v>3529</v>
      </c>
    </row>
    <row r="2789" spans="1:4">
      <c r="A2789" s="8" t="s">
        <v>406</v>
      </c>
      <c r="B2789" s="5">
        <v>1700083</v>
      </c>
      <c r="C2789" s="5" t="s">
        <v>343</v>
      </c>
      <c r="D2789" s="3">
        <f>VLOOKUP(B2789,Sheet2!$A:$O,13,0)</f>
        <v>8333</v>
      </c>
    </row>
    <row r="2790" spans="1:4">
      <c r="A2790" s="8" t="s">
        <v>406</v>
      </c>
      <c r="B2790" s="5">
        <v>1700084</v>
      </c>
      <c r="C2790" s="5" t="s">
        <v>344</v>
      </c>
      <c r="D2790" s="3">
        <f>VLOOKUP(B2790,Sheet2!$A:$O,13,0)</f>
        <v>12010</v>
      </c>
    </row>
    <row r="2791" spans="1:4">
      <c r="A2791" s="8" t="s">
        <v>406</v>
      </c>
      <c r="B2791" s="5">
        <v>1700085</v>
      </c>
      <c r="C2791" s="5" t="s">
        <v>345</v>
      </c>
      <c r="D2791" s="3">
        <f>VLOOKUP(B2791,Sheet2!$A:$O,13,0)</f>
        <v>7860</v>
      </c>
    </row>
    <row r="2792" spans="1:4">
      <c r="A2792" s="8" t="s">
        <v>406</v>
      </c>
      <c r="B2792" s="5">
        <v>1700086</v>
      </c>
      <c r="C2792" s="5" t="s">
        <v>346</v>
      </c>
      <c r="D2792" s="3">
        <f>VLOOKUP(B2792,Sheet2!$A:$O,13,0)</f>
        <v>1814</v>
      </c>
    </row>
    <row r="2793" spans="1:4">
      <c r="A2793" s="8" t="s">
        <v>406</v>
      </c>
      <c r="B2793" s="5">
        <v>1700087</v>
      </c>
      <c r="C2793" s="5" t="s">
        <v>347</v>
      </c>
      <c r="D2793" s="3">
        <f>VLOOKUP(B2793,Sheet2!$A:$O,13,0)</f>
        <v>4890</v>
      </c>
    </row>
    <row r="2794" spans="1:4">
      <c r="A2794" s="8" t="s">
        <v>406</v>
      </c>
      <c r="B2794" s="5">
        <v>1700088</v>
      </c>
      <c r="C2794" s="5" t="s">
        <v>348</v>
      </c>
      <c r="D2794" s="3">
        <f>VLOOKUP(B2794,Sheet2!$A:$O,13,0)</f>
        <v>15500</v>
      </c>
    </row>
    <row r="2795" spans="1:4">
      <c r="A2795" s="8" t="s">
        <v>406</v>
      </c>
      <c r="B2795" s="5">
        <v>1700089</v>
      </c>
      <c r="C2795" s="5" t="s">
        <v>349</v>
      </c>
      <c r="D2795" s="3">
        <f>VLOOKUP(B2795,Sheet2!$A:$O,13,0)</f>
        <v>18500</v>
      </c>
    </row>
    <row r="2796" spans="1:4">
      <c r="A2796" s="8" t="s">
        <v>406</v>
      </c>
      <c r="B2796" s="5">
        <v>1700090</v>
      </c>
      <c r="C2796" s="5" t="s">
        <v>350</v>
      </c>
      <c r="D2796" s="3">
        <f>VLOOKUP(B2796,Sheet2!$A:$O,13,0)</f>
        <v>25490</v>
      </c>
    </row>
    <row r="2797" spans="1:4">
      <c r="A2797" s="8" t="s">
        <v>406</v>
      </c>
      <c r="B2797" s="5">
        <v>1700091</v>
      </c>
      <c r="C2797" s="5" t="s">
        <v>351</v>
      </c>
      <c r="D2797" s="3">
        <f>VLOOKUP(B2797,Sheet2!$A:$O,13,0)</f>
        <v>18353</v>
      </c>
    </row>
    <row r="2798" spans="1:4">
      <c r="A2798" s="8" t="s">
        <v>406</v>
      </c>
      <c r="B2798" s="5">
        <v>1700092</v>
      </c>
      <c r="C2798" s="5" t="s">
        <v>352</v>
      </c>
      <c r="D2798" s="3">
        <f>VLOOKUP(B2798,Sheet2!$A:$O,13,0)</f>
        <v>1784</v>
      </c>
    </row>
    <row r="2799" spans="1:4">
      <c r="A2799" s="8" t="s">
        <v>406</v>
      </c>
      <c r="B2799" s="5">
        <v>1700093</v>
      </c>
      <c r="C2799" s="5" t="s">
        <v>353</v>
      </c>
      <c r="D2799" s="3">
        <f>VLOOKUP(B2799,Sheet2!$A:$O,13,0)</f>
        <v>11180</v>
      </c>
    </row>
    <row r="2800" spans="1:4">
      <c r="A2800" s="8" t="s">
        <v>406</v>
      </c>
      <c r="B2800" s="5">
        <v>1700094</v>
      </c>
      <c r="C2800" s="5" t="s">
        <v>354</v>
      </c>
      <c r="D2800" s="3">
        <f>VLOOKUP(B2800,Sheet2!$A:$O,13,0)</f>
        <v>13529</v>
      </c>
    </row>
    <row r="2801" spans="1:4">
      <c r="A2801" s="8" t="s">
        <v>406</v>
      </c>
      <c r="B2801" s="5">
        <v>1700095</v>
      </c>
      <c r="C2801" s="5" t="s">
        <v>355</v>
      </c>
      <c r="D2801" s="3">
        <f>VLOOKUP(B2801,Sheet2!$A:$O,13,0)</f>
        <v>4500</v>
      </c>
    </row>
    <row r="2802" spans="1:4">
      <c r="A2802" s="8" t="s">
        <v>406</v>
      </c>
      <c r="B2802" s="5">
        <v>1700096</v>
      </c>
      <c r="C2802" s="5" t="s">
        <v>356</v>
      </c>
      <c r="D2802" s="3">
        <f>VLOOKUP(B2802,Sheet2!$A:$O,13,0)</f>
        <v>24510</v>
      </c>
    </row>
    <row r="2803" spans="1:4">
      <c r="A2803" s="8" t="s">
        <v>406</v>
      </c>
      <c r="B2803" s="5">
        <v>1700097</v>
      </c>
      <c r="C2803" s="5" t="s">
        <v>357</v>
      </c>
      <c r="D2803" s="3">
        <f>VLOOKUP(B2803,Sheet2!$A:$O,13,0)</f>
        <v>19608</v>
      </c>
    </row>
    <row r="2804" spans="1:4">
      <c r="A2804" s="8" t="s">
        <v>406</v>
      </c>
      <c r="B2804" s="5">
        <v>1700098</v>
      </c>
      <c r="C2804" s="5" t="s">
        <v>358</v>
      </c>
      <c r="D2804" s="3">
        <f>VLOOKUP(B2804,Sheet2!$A:$O,13,0)</f>
        <v>19608</v>
      </c>
    </row>
    <row r="2805" spans="1:4">
      <c r="A2805" s="8" t="s">
        <v>406</v>
      </c>
      <c r="B2805" s="5">
        <v>1700099</v>
      </c>
      <c r="C2805" s="5" t="s">
        <v>359</v>
      </c>
      <c r="D2805" s="3">
        <f>VLOOKUP(B2805,Sheet2!$A:$O,13,0)</f>
        <v>9000</v>
      </c>
    </row>
    <row r="2806" spans="1:4">
      <c r="A2806" s="8" t="s">
        <v>406</v>
      </c>
      <c r="B2806" s="5">
        <v>1700100</v>
      </c>
      <c r="C2806" s="5" t="s">
        <v>360</v>
      </c>
      <c r="D2806" s="3">
        <f>VLOOKUP(B2806,Sheet2!$A:$O,13,0)</f>
        <v>3333</v>
      </c>
    </row>
    <row r="2807" spans="1:4">
      <c r="A2807" s="8" t="s">
        <v>406</v>
      </c>
      <c r="B2807" s="5">
        <v>1700101</v>
      </c>
      <c r="C2807" s="5" t="s">
        <v>361</v>
      </c>
      <c r="D2807" s="3">
        <f>VLOOKUP(B2807,Sheet2!$A:$O,13,0)</f>
        <v>7647</v>
      </c>
    </row>
    <row r="2808" spans="1:4">
      <c r="A2808" s="8" t="s">
        <v>406</v>
      </c>
      <c r="B2808" s="5">
        <v>1700102</v>
      </c>
      <c r="C2808" s="5" t="s">
        <v>362</v>
      </c>
      <c r="D2808" s="3">
        <f>VLOOKUP(B2808,Sheet2!$A:$O,13,0)</f>
        <v>40197</v>
      </c>
    </row>
    <row r="2809" spans="1:4">
      <c r="A2809" s="8" t="s">
        <v>406</v>
      </c>
      <c r="B2809" s="5">
        <v>1700103</v>
      </c>
      <c r="C2809" s="5" t="s">
        <v>363</v>
      </c>
      <c r="D2809" s="3">
        <f>VLOOKUP(B2809,Sheet2!$A:$O,13,0)</f>
        <v>9000</v>
      </c>
    </row>
    <row r="2810" spans="1:4">
      <c r="A2810" s="8" t="s">
        <v>406</v>
      </c>
      <c r="B2810" s="5">
        <v>1700104</v>
      </c>
      <c r="C2810" s="5" t="s">
        <v>364</v>
      </c>
      <c r="D2810" s="3">
        <f>VLOOKUP(B2810,Sheet2!$A:$O,13,0)</f>
        <v>25000</v>
      </c>
    </row>
    <row r="2811" spans="1:4">
      <c r="A2811" s="8" t="s">
        <v>406</v>
      </c>
      <c r="B2811" s="5">
        <v>1700105</v>
      </c>
      <c r="C2811" s="5" t="s">
        <v>365</v>
      </c>
      <c r="D2811" s="3">
        <f>VLOOKUP(B2811,Sheet2!$A:$O,13,0)</f>
        <v>10588</v>
      </c>
    </row>
    <row r="2812" spans="1:4">
      <c r="A2812" s="8" t="s">
        <v>406</v>
      </c>
      <c r="B2812" s="5">
        <v>1700106</v>
      </c>
      <c r="C2812" s="5" t="s">
        <v>366</v>
      </c>
      <c r="D2812" s="3">
        <f>VLOOKUP(B2812,Sheet2!$A:$O,13,0)</f>
        <v>14020</v>
      </c>
    </row>
    <row r="2813" spans="1:4">
      <c r="A2813" s="8" t="s">
        <v>406</v>
      </c>
      <c r="B2813" s="5">
        <v>1700107</v>
      </c>
      <c r="C2813" s="5" t="s">
        <v>367</v>
      </c>
      <c r="D2813" s="3">
        <f>VLOOKUP(B2813,Sheet2!$A:$O,13,0)</f>
        <v>9020</v>
      </c>
    </row>
    <row r="2814" spans="1:4">
      <c r="A2814" s="8" t="s">
        <v>406</v>
      </c>
      <c r="B2814" s="5">
        <v>1800002</v>
      </c>
      <c r="C2814" s="5" t="s">
        <v>368</v>
      </c>
      <c r="D2814" s="3">
        <f>VLOOKUP(B2814,Sheet2!$A:$O,13,0)</f>
        <v>9520</v>
      </c>
    </row>
    <row r="2815" spans="1:4">
      <c r="A2815" s="8" t="s">
        <v>406</v>
      </c>
      <c r="B2815" s="5">
        <v>1800004</v>
      </c>
      <c r="C2815" s="5" t="s">
        <v>369</v>
      </c>
      <c r="D2815" s="3">
        <f>VLOOKUP(B2815,Sheet2!$A:$O,13,0)</f>
        <v>0</v>
      </c>
    </row>
    <row r="2816" spans="1:4">
      <c r="A2816" s="8" t="s">
        <v>406</v>
      </c>
      <c r="B2816" s="5">
        <v>1800005</v>
      </c>
      <c r="C2816" s="5" t="s">
        <v>370</v>
      </c>
      <c r="D2816" s="3">
        <f>VLOOKUP(B2816,Sheet2!$A:$O,13,0)</f>
        <v>0</v>
      </c>
    </row>
    <row r="2817" spans="1:4">
      <c r="A2817" s="8" t="s">
        <v>406</v>
      </c>
      <c r="B2817" s="5">
        <v>1800006</v>
      </c>
      <c r="C2817" s="5" t="s">
        <v>371</v>
      </c>
      <c r="D2817" s="3">
        <f>VLOOKUP(B2817,Sheet2!$A:$O,13,0)</f>
        <v>0</v>
      </c>
    </row>
    <row r="2818" spans="1:4">
      <c r="A2818" s="8" t="s">
        <v>406</v>
      </c>
      <c r="B2818" s="5">
        <v>1800007</v>
      </c>
      <c r="C2818" s="5" t="s">
        <v>372</v>
      </c>
      <c r="D2818" s="3">
        <f>VLOOKUP(B2818,Sheet2!$A:$O,13,0)</f>
        <v>10000</v>
      </c>
    </row>
    <row r="2819" spans="1:4">
      <c r="A2819" s="8" t="s">
        <v>406</v>
      </c>
      <c r="B2819" s="5">
        <v>1800008</v>
      </c>
      <c r="C2819" s="5" t="s">
        <v>373</v>
      </c>
      <c r="D2819" s="3">
        <f>VLOOKUP(B2819,Sheet2!$A:$O,13,0)</f>
        <v>10110</v>
      </c>
    </row>
    <row r="2820" spans="1:4">
      <c r="A2820" s="8" t="s">
        <v>406</v>
      </c>
      <c r="B2820" s="5">
        <v>1800009</v>
      </c>
      <c r="C2820" s="5" t="s">
        <v>374</v>
      </c>
      <c r="D2820" s="3">
        <f>VLOOKUP(B2820,Sheet2!$A:$O,13,0)</f>
        <v>11800</v>
      </c>
    </row>
    <row r="2821" spans="1:4">
      <c r="A2821" s="8" t="s">
        <v>406</v>
      </c>
      <c r="B2821" s="5">
        <v>1800010</v>
      </c>
      <c r="C2821" s="5" t="s">
        <v>375</v>
      </c>
      <c r="D2821" s="3">
        <f>VLOOKUP(B2821,Sheet2!$A:$O,13,0)</f>
        <v>6863</v>
      </c>
    </row>
    <row r="2822" spans="1:4">
      <c r="A2822" s="8" t="s">
        <v>406</v>
      </c>
      <c r="B2822" s="5">
        <v>1800011</v>
      </c>
      <c r="C2822" s="5" t="s">
        <v>376</v>
      </c>
      <c r="D2822" s="3">
        <f>VLOOKUP(B2822,Sheet2!$A:$O,13,0)</f>
        <v>13235</v>
      </c>
    </row>
    <row r="2823" spans="1:4">
      <c r="A2823" s="8" t="s">
        <v>406</v>
      </c>
      <c r="B2823" s="5">
        <v>1800012</v>
      </c>
      <c r="C2823" s="5" t="s">
        <v>377</v>
      </c>
      <c r="D2823" s="3">
        <f>VLOOKUP(B2823,Sheet2!$A:$O,13,0)</f>
        <v>8235</v>
      </c>
    </row>
    <row r="2824" spans="1:4">
      <c r="A2824" s="8" t="s">
        <v>406</v>
      </c>
      <c r="B2824" s="5">
        <v>1800013</v>
      </c>
      <c r="C2824" s="5" t="s">
        <v>378</v>
      </c>
      <c r="D2824" s="3">
        <f>VLOOKUP(B2824,Sheet2!$A:$O,13,0)</f>
        <v>49100</v>
      </c>
    </row>
    <row r="2825" spans="1:4">
      <c r="A2825" s="8" t="s">
        <v>406</v>
      </c>
      <c r="B2825" s="5">
        <v>1800014</v>
      </c>
      <c r="C2825" s="5" t="s">
        <v>379</v>
      </c>
      <c r="D2825" s="3">
        <f>VLOOKUP(B2825,Sheet2!$A:$O,13,0)</f>
        <v>70000</v>
      </c>
    </row>
    <row r="2826" spans="1:4">
      <c r="A2826" s="8" t="s">
        <v>406</v>
      </c>
      <c r="B2826" s="5">
        <v>1800015</v>
      </c>
      <c r="C2826" s="5" t="s">
        <v>380</v>
      </c>
      <c r="D2826" s="3">
        <f>VLOOKUP(B2826,Sheet2!$A:$O,13,0)</f>
        <v>66700</v>
      </c>
    </row>
    <row r="2827" spans="1:4">
      <c r="A2827" s="8" t="s">
        <v>406</v>
      </c>
      <c r="B2827" s="5">
        <v>1900013</v>
      </c>
      <c r="C2827" s="5" t="s">
        <v>381</v>
      </c>
      <c r="D2827" s="3">
        <f>VLOOKUP(B2827,Sheet2!$A:$O,13,0)</f>
        <v>0</v>
      </c>
    </row>
    <row r="2828" spans="1:4">
      <c r="A2828" s="8" t="s">
        <v>406</v>
      </c>
      <c r="B2828" s="5">
        <v>1900018</v>
      </c>
      <c r="C2828" s="5" t="s">
        <v>382</v>
      </c>
      <c r="D2828" s="3">
        <f>VLOOKUP(B2828,Sheet2!$A:$O,13,0)</f>
        <v>0</v>
      </c>
    </row>
    <row r="2829" spans="1:4">
      <c r="A2829" s="8" t="s">
        <v>407</v>
      </c>
      <c r="B2829" s="5">
        <v>1010101</v>
      </c>
      <c r="C2829" s="5" t="s">
        <v>5</v>
      </c>
      <c r="D2829" s="3">
        <f>VLOOKUP(B2829,Sheet2!$A:$O,14,0)</f>
        <v>698</v>
      </c>
    </row>
    <row r="2830" spans="1:4">
      <c r="A2830" s="8" t="s">
        <v>407</v>
      </c>
      <c r="B2830" s="5">
        <v>1010111</v>
      </c>
      <c r="C2830" s="5" t="s">
        <v>9</v>
      </c>
      <c r="D2830" s="3">
        <f>VLOOKUP(B2830,Sheet2!$A:$O,14,0)</f>
        <v>19100</v>
      </c>
    </row>
    <row r="2831" spans="1:4">
      <c r="A2831" s="8" t="s">
        <v>407</v>
      </c>
      <c r="B2831" s="5">
        <v>1010201</v>
      </c>
      <c r="C2831" s="5" t="s">
        <v>11</v>
      </c>
      <c r="D2831" s="3">
        <f>VLOOKUP(B2831,Sheet2!$A:$O,14,0)</f>
        <v>882</v>
      </c>
    </row>
    <row r="2832" spans="1:4">
      <c r="A2832" s="8" t="s">
        <v>407</v>
      </c>
      <c r="B2832" s="5">
        <v>1010300</v>
      </c>
      <c r="C2832" s="5" t="s">
        <v>213</v>
      </c>
      <c r="D2832" s="3">
        <f>VLOOKUP(B2832,Sheet2!$A:$O,14,0)</f>
        <v>9020</v>
      </c>
    </row>
    <row r="2833" spans="1:4">
      <c r="A2833" s="8" t="s">
        <v>407</v>
      </c>
      <c r="B2833" s="5">
        <v>1010301</v>
      </c>
      <c r="C2833" s="5" t="s">
        <v>214</v>
      </c>
      <c r="D2833" s="3">
        <f>VLOOKUP(B2833,Sheet2!$A:$O,14,0)</f>
        <v>6765</v>
      </c>
    </row>
    <row r="2834" spans="1:4">
      <c r="A2834" s="8" t="s">
        <v>407</v>
      </c>
      <c r="B2834" s="5">
        <v>1010302</v>
      </c>
      <c r="C2834" s="5" t="s">
        <v>16</v>
      </c>
      <c r="D2834" s="3">
        <f>VLOOKUP(B2834,Sheet2!$A:$O,14,0)</f>
        <v>4314</v>
      </c>
    </row>
    <row r="2835" spans="1:4">
      <c r="A2835" s="8" t="s">
        <v>407</v>
      </c>
      <c r="B2835" s="5">
        <v>1010303</v>
      </c>
      <c r="C2835" s="5" t="s">
        <v>18</v>
      </c>
      <c r="D2835" s="3">
        <f>VLOOKUP(B2835,Sheet2!$A:$O,14,0)</f>
        <v>882</v>
      </c>
    </row>
    <row r="2836" spans="1:4">
      <c r="A2836" s="8" t="s">
        <v>407</v>
      </c>
      <c r="B2836" s="5">
        <v>1010304</v>
      </c>
      <c r="C2836" s="5" t="s">
        <v>215</v>
      </c>
      <c r="D2836" s="3">
        <f>VLOOKUP(B2836,Sheet2!$A:$O,14,0)</f>
        <v>1422</v>
      </c>
    </row>
    <row r="2837" spans="1:4">
      <c r="A2837" s="8" t="s">
        <v>407</v>
      </c>
      <c r="B2837" s="5">
        <v>1010401</v>
      </c>
      <c r="C2837" s="5" t="s">
        <v>20</v>
      </c>
      <c r="D2837" s="3">
        <f>VLOOKUP(B2837,Sheet2!$A:$O,14,0)</f>
        <v>3627</v>
      </c>
    </row>
    <row r="2838" spans="1:4">
      <c r="A2838" s="8" t="s">
        <v>407</v>
      </c>
      <c r="B2838" s="5">
        <v>1010405</v>
      </c>
      <c r="C2838" s="5" t="s">
        <v>22</v>
      </c>
      <c r="D2838" s="3">
        <f>VLOOKUP(B2838,Sheet2!$A:$O,14,0)</f>
        <v>9975</v>
      </c>
    </row>
    <row r="2839" spans="1:4">
      <c r="A2839" s="8" t="s">
        <v>407</v>
      </c>
      <c r="B2839" s="5">
        <v>1010501</v>
      </c>
      <c r="C2839" s="5" t="s">
        <v>24</v>
      </c>
      <c r="D2839" s="3">
        <f>VLOOKUP(B2839,Sheet2!$A:$O,14,0)</f>
        <v>980</v>
      </c>
    </row>
    <row r="2840" spans="1:4">
      <c r="A2840" s="8" t="s">
        <v>407</v>
      </c>
      <c r="B2840" s="5">
        <v>1010502</v>
      </c>
      <c r="C2840" s="5" t="s">
        <v>216</v>
      </c>
      <c r="D2840" s="3">
        <f>VLOOKUP(B2840,Sheet2!$A:$O,14,0)</f>
        <v>0</v>
      </c>
    </row>
    <row r="2841" spans="1:4">
      <c r="A2841" s="8" t="s">
        <v>407</v>
      </c>
      <c r="B2841" s="5">
        <v>1010601</v>
      </c>
      <c r="C2841" s="5" t="s">
        <v>26</v>
      </c>
      <c r="D2841" s="3">
        <f>VLOOKUP(B2841,Sheet2!$A:$O,14,0)</f>
        <v>4412</v>
      </c>
    </row>
    <row r="2842" spans="1:4">
      <c r="A2842" s="8" t="s">
        <v>407</v>
      </c>
      <c r="B2842" s="5">
        <v>1010701</v>
      </c>
      <c r="C2842" s="5" t="s">
        <v>28</v>
      </c>
      <c r="D2842" s="3">
        <f>VLOOKUP(B2842,Sheet2!$A:$O,14,0)</f>
        <v>686</v>
      </c>
    </row>
    <row r="2843" spans="1:4">
      <c r="A2843" s="8" t="s">
        <v>407</v>
      </c>
      <c r="B2843" s="5">
        <v>1010801</v>
      </c>
      <c r="C2843" s="5" t="s">
        <v>30</v>
      </c>
      <c r="D2843" s="3">
        <f>VLOOKUP(B2843,Sheet2!$A:$O,14,0)</f>
        <v>9118</v>
      </c>
    </row>
    <row r="2844" spans="1:4">
      <c r="A2844" s="8" t="s">
        <v>407</v>
      </c>
      <c r="B2844" s="5">
        <v>1010901</v>
      </c>
      <c r="C2844" s="5" t="s">
        <v>32</v>
      </c>
      <c r="D2844" s="3">
        <f>VLOOKUP(B2844,Sheet2!$A:$O,14,0)</f>
        <v>4804</v>
      </c>
    </row>
    <row r="2845" spans="1:4">
      <c r="A2845" s="8" t="s">
        <v>407</v>
      </c>
      <c r="B2845" s="5">
        <v>1020101</v>
      </c>
      <c r="C2845" s="5" t="s">
        <v>34</v>
      </c>
      <c r="D2845" s="3">
        <f>VLOOKUP(B2845,Sheet2!$A:$O,14,0)</f>
        <v>17451</v>
      </c>
    </row>
    <row r="2846" spans="1:4">
      <c r="A2846" s="8" t="s">
        <v>407</v>
      </c>
      <c r="B2846" s="5">
        <v>1020201</v>
      </c>
      <c r="C2846" s="5" t="s">
        <v>217</v>
      </c>
      <c r="D2846" s="3">
        <f>VLOOKUP(B2846,Sheet2!$A:$O,14,0)</f>
        <v>5600</v>
      </c>
    </row>
    <row r="2847" spans="1:4">
      <c r="A2847" s="8" t="s">
        <v>407</v>
      </c>
      <c r="B2847" s="5">
        <v>1020301</v>
      </c>
      <c r="C2847" s="5" t="s">
        <v>38</v>
      </c>
      <c r="D2847" s="3">
        <f>VLOOKUP(B2847,Sheet2!$A:$O,14,0)</f>
        <v>2200</v>
      </c>
    </row>
    <row r="2848" spans="1:4">
      <c r="A2848" s="8" t="s">
        <v>407</v>
      </c>
      <c r="B2848" s="5">
        <v>1020401</v>
      </c>
      <c r="C2848" s="5" t="s">
        <v>40</v>
      </c>
      <c r="D2848" s="3">
        <f>VLOOKUP(B2848,Sheet2!$A:$O,14,0)</f>
        <v>3500</v>
      </c>
    </row>
    <row r="2849" spans="1:4">
      <c r="A2849" s="8" t="s">
        <v>407</v>
      </c>
      <c r="B2849" s="5">
        <v>1030102</v>
      </c>
      <c r="C2849" s="5" t="s">
        <v>218</v>
      </c>
      <c r="D2849" s="3">
        <f>VLOOKUP(B2849,Sheet2!$A:$O,14,0)</f>
        <v>0</v>
      </c>
    </row>
    <row r="2850" spans="1:4">
      <c r="A2850" s="8" t="s">
        <v>407</v>
      </c>
      <c r="B2850" s="5">
        <v>1030201</v>
      </c>
      <c r="C2850" s="5" t="s">
        <v>42</v>
      </c>
      <c r="D2850" s="3">
        <f>VLOOKUP(B2850,Sheet2!$A:$O,14,0)</f>
        <v>2843</v>
      </c>
    </row>
    <row r="2851" spans="1:4">
      <c r="A2851" s="8" t="s">
        <v>407</v>
      </c>
      <c r="B2851" s="5">
        <v>1030203</v>
      </c>
      <c r="C2851" s="5" t="s">
        <v>219</v>
      </c>
      <c r="D2851" s="3">
        <f>VLOOKUP(B2851,Sheet2!$A:$O,14,0)</f>
        <v>0</v>
      </c>
    </row>
    <row r="2852" spans="1:4">
      <c r="A2852" s="8" t="s">
        <v>407</v>
      </c>
      <c r="B2852" s="5">
        <v>1030204</v>
      </c>
      <c r="C2852" s="5" t="s">
        <v>220</v>
      </c>
      <c r="D2852" s="3">
        <f>VLOOKUP(B2852,Sheet2!$A:$O,14,0)</f>
        <v>0</v>
      </c>
    </row>
    <row r="2853" spans="1:4">
      <c r="A2853" s="8" t="s">
        <v>407</v>
      </c>
      <c r="B2853" s="5">
        <v>1030205</v>
      </c>
      <c r="C2853" s="5" t="s">
        <v>44</v>
      </c>
      <c r="D2853" s="3">
        <f>VLOOKUP(B2853,Sheet2!$A:$O,14,0)</f>
        <v>5000</v>
      </c>
    </row>
    <row r="2854" spans="1:4">
      <c r="A2854" s="8" t="s">
        <v>407</v>
      </c>
      <c r="B2854" s="5">
        <v>1030206</v>
      </c>
      <c r="C2854" s="5" t="s">
        <v>46</v>
      </c>
      <c r="D2854" s="3">
        <f>VLOOKUP(B2854,Sheet2!$A:$O,14,0)</f>
        <v>6200</v>
      </c>
    </row>
    <row r="2855" spans="1:4">
      <c r="A2855" s="8" t="s">
        <v>407</v>
      </c>
      <c r="B2855" s="5">
        <v>1030207</v>
      </c>
      <c r="C2855" s="5" t="s">
        <v>48</v>
      </c>
      <c r="D2855" s="3">
        <f>VLOOKUP(B2855,Sheet2!$A:$O,14,0)</f>
        <v>4600</v>
      </c>
    </row>
    <row r="2856" spans="1:4">
      <c r="A2856" s="8" t="s">
        <v>407</v>
      </c>
      <c r="B2856" s="5">
        <v>1030501</v>
      </c>
      <c r="C2856" s="5" t="s">
        <v>50</v>
      </c>
      <c r="D2856" s="3">
        <f>VLOOKUP(B2856,Sheet2!$A:$O,14,0)</f>
        <v>1127</v>
      </c>
    </row>
    <row r="2857" spans="1:4">
      <c r="A2857" s="8" t="s">
        <v>407</v>
      </c>
      <c r="B2857" s="5">
        <v>1030601</v>
      </c>
      <c r="C2857" s="5" t="s">
        <v>52</v>
      </c>
      <c r="D2857" s="3">
        <f>VLOOKUP(B2857,Sheet2!$A:$O,14,0)</f>
        <v>3000</v>
      </c>
    </row>
    <row r="2858" spans="1:4">
      <c r="A2858" s="8" t="s">
        <v>407</v>
      </c>
      <c r="B2858" s="5">
        <v>1030701</v>
      </c>
      <c r="C2858" s="5" t="s">
        <v>221</v>
      </c>
      <c r="D2858" s="3">
        <f>VLOOKUP(B2858,Sheet2!$A:$O,14,0)</f>
        <v>3000</v>
      </c>
    </row>
    <row r="2859" spans="1:4">
      <c r="A2859" s="8" t="s">
        <v>407</v>
      </c>
      <c r="B2859" s="5">
        <v>1030705</v>
      </c>
      <c r="C2859" s="5" t="s">
        <v>222</v>
      </c>
      <c r="D2859" s="3">
        <f>VLOOKUP(B2859,Sheet2!$A:$O,14,0)</f>
        <v>0</v>
      </c>
    </row>
    <row r="2860" spans="1:4">
      <c r="A2860" s="8" t="s">
        <v>407</v>
      </c>
      <c r="B2860" s="5">
        <v>1030801</v>
      </c>
      <c r="C2860" s="5" t="s">
        <v>54</v>
      </c>
      <c r="D2860" s="3">
        <f>VLOOKUP(B2860,Sheet2!$A:$O,14,0)</f>
        <v>1176</v>
      </c>
    </row>
    <row r="2861" spans="1:4">
      <c r="A2861" s="8" t="s">
        <v>407</v>
      </c>
      <c r="B2861" s="5">
        <v>1030901</v>
      </c>
      <c r="C2861" s="5" t="s">
        <v>223</v>
      </c>
      <c r="D2861" s="3">
        <f>VLOOKUP(B2861,Sheet2!$A:$O,14,0)</f>
        <v>0</v>
      </c>
    </row>
    <row r="2862" spans="1:4">
      <c r="A2862" s="8" t="s">
        <v>407</v>
      </c>
      <c r="B2862" s="5">
        <v>1040201</v>
      </c>
      <c r="C2862" s="5" t="s">
        <v>56</v>
      </c>
      <c r="D2862" s="3">
        <f>VLOOKUP(B2862,Sheet2!$A:$O,14,0)</f>
        <v>1450</v>
      </c>
    </row>
    <row r="2863" spans="1:4">
      <c r="A2863" s="8" t="s">
        <v>407</v>
      </c>
      <c r="B2863" s="5">
        <v>1040202</v>
      </c>
      <c r="C2863" s="5" t="s">
        <v>224</v>
      </c>
      <c r="D2863" s="3">
        <f>VLOOKUP(B2863,Sheet2!$A:$O,14,0)</f>
        <v>0</v>
      </c>
    </row>
    <row r="2864" spans="1:4">
      <c r="A2864" s="8" t="s">
        <v>407</v>
      </c>
      <c r="B2864" s="5">
        <v>1040203</v>
      </c>
      <c r="C2864" s="5" t="s">
        <v>225</v>
      </c>
      <c r="D2864" s="3">
        <f>VLOOKUP(B2864,Sheet2!$A:$O,14,0)</f>
        <v>0</v>
      </c>
    </row>
    <row r="2865" spans="1:4">
      <c r="A2865" s="8" t="s">
        <v>407</v>
      </c>
      <c r="B2865" s="5">
        <v>1040204</v>
      </c>
      <c r="C2865" s="5" t="s">
        <v>226</v>
      </c>
      <c r="D2865" s="3">
        <f>VLOOKUP(B2865,Sheet2!$A:$O,14,0)</f>
        <v>8583</v>
      </c>
    </row>
    <row r="2866" spans="1:4">
      <c r="A2866" s="8" t="s">
        <v>407</v>
      </c>
      <c r="B2866" s="5">
        <v>1040301</v>
      </c>
      <c r="C2866" s="5" t="s">
        <v>58</v>
      </c>
      <c r="D2866" s="3">
        <f>VLOOKUP(B2866,Sheet2!$A:$O,14,0)</f>
        <v>1650</v>
      </c>
    </row>
    <row r="2867" spans="1:4">
      <c r="A2867" s="8" t="s">
        <v>407</v>
      </c>
      <c r="B2867" s="5">
        <v>1040401</v>
      </c>
      <c r="C2867" s="5" t="s">
        <v>227</v>
      </c>
      <c r="D2867" s="3">
        <f>VLOOKUP(B2867,Sheet2!$A:$O,14,0)</f>
        <v>0</v>
      </c>
    </row>
    <row r="2868" spans="1:4">
      <c r="A2868" s="8" t="s">
        <v>407</v>
      </c>
      <c r="B2868" s="5">
        <v>1050102</v>
      </c>
      <c r="C2868" s="5" t="s">
        <v>60</v>
      </c>
      <c r="D2868" s="3">
        <f>VLOOKUP(B2868,Sheet2!$A:$O,14,0)</f>
        <v>31000</v>
      </c>
    </row>
    <row r="2869" spans="1:4">
      <c r="A2869" s="8" t="s">
        <v>407</v>
      </c>
      <c r="B2869" s="5">
        <v>1050103</v>
      </c>
      <c r="C2869" s="5" t="s">
        <v>228</v>
      </c>
      <c r="D2869" s="3">
        <f>VLOOKUP(B2869,Sheet2!$A:$O,14,0)</f>
        <v>11275</v>
      </c>
    </row>
    <row r="2870" spans="1:4">
      <c r="A2870" s="8" t="s">
        <v>407</v>
      </c>
      <c r="B2870" s="5">
        <v>1050301</v>
      </c>
      <c r="C2870" s="5" t="s">
        <v>62</v>
      </c>
      <c r="D2870" s="3">
        <f>VLOOKUP(B2870,Sheet2!$A:$O,14,0)</f>
        <v>9804</v>
      </c>
    </row>
    <row r="2871" spans="1:4">
      <c r="A2871" s="8" t="s">
        <v>407</v>
      </c>
      <c r="B2871" s="5">
        <v>1050401</v>
      </c>
      <c r="C2871" s="5" t="s">
        <v>64</v>
      </c>
      <c r="D2871" s="3">
        <f>VLOOKUP(B2871,Sheet2!$A:$O,14,0)</f>
        <v>8824</v>
      </c>
    </row>
    <row r="2872" spans="1:4">
      <c r="A2872" s="8" t="s">
        <v>407</v>
      </c>
      <c r="B2872" s="5">
        <v>1050501</v>
      </c>
      <c r="C2872" s="5" t="s">
        <v>66</v>
      </c>
      <c r="D2872" s="3">
        <f>VLOOKUP(B2872,Sheet2!$A:$O,14,0)</f>
        <v>10784</v>
      </c>
    </row>
    <row r="2873" spans="1:4">
      <c r="A2873" s="8" t="s">
        <v>407</v>
      </c>
      <c r="B2873" s="5">
        <v>1050511</v>
      </c>
      <c r="C2873" s="5" t="s">
        <v>68</v>
      </c>
      <c r="D2873" s="3">
        <f>VLOOKUP(B2873,Sheet2!$A:$O,14,0)</f>
        <v>18000</v>
      </c>
    </row>
    <row r="2874" spans="1:4">
      <c r="A2874" s="8" t="s">
        <v>407</v>
      </c>
      <c r="B2874" s="5">
        <v>1050512</v>
      </c>
      <c r="C2874" s="5" t="s">
        <v>229</v>
      </c>
      <c r="D2874" s="3">
        <f>VLOOKUP(B2874,Sheet2!$A:$O,14,0)</f>
        <v>0</v>
      </c>
    </row>
    <row r="2875" spans="1:4">
      <c r="A2875" s="8" t="s">
        <v>407</v>
      </c>
      <c r="B2875" s="5">
        <v>1050521</v>
      </c>
      <c r="C2875" s="5" t="s">
        <v>70</v>
      </c>
      <c r="D2875" s="3">
        <f>VLOOKUP(B2875,Sheet2!$A:$O,14,0)</f>
        <v>14706</v>
      </c>
    </row>
    <row r="2876" spans="1:4">
      <c r="A2876" s="8" t="s">
        <v>407</v>
      </c>
      <c r="B2876" s="5">
        <v>1050531</v>
      </c>
      <c r="C2876" s="5" t="s">
        <v>72</v>
      </c>
      <c r="D2876" s="3">
        <f>VLOOKUP(B2876,Sheet2!$A:$O,14,0)</f>
        <v>21000</v>
      </c>
    </row>
    <row r="2877" spans="1:4">
      <c r="A2877" s="8" t="s">
        <v>407</v>
      </c>
      <c r="B2877" s="5">
        <v>1050541</v>
      </c>
      <c r="C2877" s="5" t="s">
        <v>74</v>
      </c>
      <c r="D2877" s="3">
        <f>VLOOKUP(B2877,Sheet2!$A:$O,14,0)</f>
        <v>11000</v>
      </c>
    </row>
    <row r="2878" spans="1:4">
      <c r="A2878" s="8" t="s">
        <v>407</v>
      </c>
      <c r="B2878" s="5">
        <v>1050551</v>
      </c>
      <c r="C2878" s="5" t="s">
        <v>76</v>
      </c>
      <c r="D2878" s="3">
        <f>VLOOKUP(B2878,Sheet2!$A:$O,14,0)</f>
        <v>54000</v>
      </c>
    </row>
    <row r="2879" spans="1:4">
      <c r="A2879" s="8" t="s">
        <v>407</v>
      </c>
      <c r="B2879" s="5">
        <v>1050561</v>
      </c>
      <c r="C2879" s="5" t="s">
        <v>78</v>
      </c>
      <c r="D2879" s="3">
        <f>VLOOKUP(B2879,Sheet2!$A:$O,14,0)</f>
        <v>77321</v>
      </c>
    </row>
    <row r="2880" spans="1:4">
      <c r="A2880" s="8" t="s">
        <v>407</v>
      </c>
      <c r="B2880" s="5">
        <v>1050571</v>
      </c>
      <c r="C2880" s="5" t="s">
        <v>80</v>
      </c>
      <c r="D2880" s="3">
        <f>VLOOKUP(B2880,Sheet2!$A:$O,14,0)</f>
        <v>58000</v>
      </c>
    </row>
    <row r="2881" spans="1:4">
      <c r="A2881" s="8" t="s">
        <v>407</v>
      </c>
      <c r="B2881" s="5">
        <v>1050581</v>
      </c>
      <c r="C2881" s="5" t="s">
        <v>82</v>
      </c>
      <c r="D2881" s="3">
        <f>VLOOKUP(B2881,Sheet2!$A:$O,14,0)</f>
        <v>57000</v>
      </c>
    </row>
    <row r="2882" spans="1:4">
      <c r="A2882" s="8" t="s">
        <v>407</v>
      </c>
      <c r="B2882" s="5">
        <v>1050591</v>
      </c>
      <c r="C2882" s="5" t="s">
        <v>84</v>
      </c>
      <c r="D2882" s="3">
        <f>VLOOKUP(B2882,Sheet2!$A:$O,14,0)</f>
        <v>97750</v>
      </c>
    </row>
    <row r="2883" spans="1:4">
      <c r="A2883" s="8" t="s">
        <v>407</v>
      </c>
      <c r="B2883" s="5">
        <v>1050601</v>
      </c>
      <c r="C2883" s="5" t="s">
        <v>86</v>
      </c>
      <c r="D2883" s="3">
        <f>VLOOKUP(B2883,Sheet2!$A:$O,14,0)</f>
        <v>5900</v>
      </c>
    </row>
    <row r="2884" spans="1:4">
      <c r="A2884" s="8" t="s">
        <v>407</v>
      </c>
      <c r="B2884" s="5">
        <v>1050701</v>
      </c>
      <c r="C2884" s="5" t="s">
        <v>88</v>
      </c>
      <c r="D2884" s="3">
        <f>VLOOKUP(B2884,Sheet2!$A:$O,14,0)</f>
        <v>6000</v>
      </c>
    </row>
    <row r="2885" spans="1:4">
      <c r="A2885" s="8" t="s">
        <v>407</v>
      </c>
      <c r="B2885" s="5">
        <v>1050702</v>
      </c>
      <c r="C2885" s="5" t="s">
        <v>90</v>
      </c>
      <c r="D2885" s="3">
        <f>VLOOKUP(B2885,Sheet2!$A:$O,14,0)</f>
        <v>6000</v>
      </c>
    </row>
    <row r="2886" spans="1:4">
      <c r="A2886" s="8" t="s">
        <v>407</v>
      </c>
      <c r="B2886" s="5">
        <v>1050711</v>
      </c>
      <c r="C2886" s="5" t="s">
        <v>92</v>
      </c>
      <c r="D2886" s="3">
        <f>VLOOKUP(B2886,Sheet2!$A:$O,14,0)</f>
        <v>2900</v>
      </c>
    </row>
    <row r="2887" spans="1:4">
      <c r="A2887" s="8" t="s">
        <v>407</v>
      </c>
      <c r="B2887" s="5">
        <v>1050721</v>
      </c>
      <c r="C2887" s="5" t="s">
        <v>94</v>
      </c>
      <c r="D2887" s="3">
        <f>VLOOKUP(B2887,Sheet2!$A:$O,14,0)</f>
        <v>14800</v>
      </c>
    </row>
    <row r="2888" spans="1:4">
      <c r="A2888" s="8" t="s">
        <v>407</v>
      </c>
      <c r="B2888" s="5">
        <v>1050801</v>
      </c>
      <c r="C2888" s="5" t="s">
        <v>7</v>
      </c>
      <c r="D2888" s="3">
        <f>VLOOKUP(B2888,Sheet2!$A:$O,14,0)</f>
        <v>927</v>
      </c>
    </row>
    <row r="2889" spans="1:4">
      <c r="A2889" s="8" t="s">
        <v>407</v>
      </c>
      <c r="B2889" s="5">
        <v>1050901</v>
      </c>
      <c r="C2889" s="5" t="s">
        <v>96</v>
      </c>
      <c r="D2889" s="3">
        <f>VLOOKUP(B2889,Sheet2!$A:$O,14,0)</f>
        <v>1218</v>
      </c>
    </row>
    <row r="2890" spans="1:4">
      <c r="A2890" s="8" t="s">
        <v>407</v>
      </c>
      <c r="B2890" s="5">
        <v>1060101</v>
      </c>
      <c r="C2890" s="5" t="s">
        <v>98</v>
      </c>
      <c r="D2890" s="3">
        <f>VLOOKUP(B2890,Sheet2!$A:$O,14,0)</f>
        <v>2200</v>
      </c>
    </row>
    <row r="2891" spans="1:4">
      <c r="A2891" s="8" t="s">
        <v>407</v>
      </c>
      <c r="B2891" s="5">
        <v>1060401</v>
      </c>
      <c r="C2891" s="5" t="s">
        <v>100</v>
      </c>
      <c r="D2891" s="3">
        <f>VLOOKUP(B2891,Sheet2!$A:$O,14,0)</f>
        <v>71000</v>
      </c>
    </row>
    <row r="2892" spans="1:4">
      <c r="A2892" s="8" t="s">
        <v>407</v>
      </c>
      <c r="B2892" s="5">
        <v>1060412</v>
      </c>
      <c r="C2892" s="5" t="s">
        <v>230</v>
      </c>
      <c r="D2892" s="3">
        <f>VLOOKUP(B2892,Sheet2!$A:$O,14,0)</f>
        <v>33000</v>
      </c>
    </row>
    <row r="2893" spans="1:4">
      <c r="A2893" s="8" t="s">
        <v>407</v>
      </c>
      <c r="B2893" s="5">
        <v>1060421</v>
      </c>
      <c r="C2893" s="5" t="s">
        <v>104</v>
      </c>
      <c r="D2893" s="3">
        <f>VLOOKUP(B2893,Sheet2!$A:$O,14,0)</f>
        <v>110000</v>
      </c>
    </row>
    <row r="2894" spans="1:4">
      <c r="A2894" s="8" t="s">
        <v>407</v>
      </c>
      <c r="B2894" s="5">
        <v>1060441</v>
      </c>
      <c r="C2894" s="5" t="s">
        <v>106</v>
      </c>
      <c r="D2894" s="3">
        <f>VLOOKUP(B2894,Sheet2!$A:$O,14,0)</f>
        <v>6471</v>
      </c>
    </row>
    <row r="2895" spans="1:4">
      <c r="A2895" s="8" t="s">
        <v>407</v>
      </c>
      <c r="B2895" s="5">
        <v>1060451</v>
      </c>
      <c r="C2895" s="5" t="s">
        <v>108</v>
      </c>
      <c r="D2895" s="3">
        <f>VLOOKUP(B2895,Sheet2!$A:$O,14,0)</f>
        <v>38235</v>
      </c>
    </row>
    <row r="2896" spans="1:4">
      <c r="A2896" s="8" t="s">
        <v>407</v>
      </c>
      <c r="B2896" s="5">
        <v>1070101</v>
      </c>
      <c r="C2896" s="5" t="s">
        <v>110</v>
      </c>
      <c r="D2896" s="3">
        <f>VLOOKUP(B2896,Sheet2!$A:$O,14,0)</f>
        <v>3820</v>
      </c>
    </row>
    <row r="2897" spans="1:4">
      <c r="A2897" s="8" t="s">
        <v>407</v>
      </c>
      <c r="B2897" s="5">
        <v>1070301</v>
      </c>
      <c r="C2897" s="5" t="s">
        <v>112</v>
      </c>
      <c r="D2897" s="3">
        <f>VLOOKUP(B2897,Sheet2!$A:$O,14,0)</f>
        <v>37000</v>
      </c>
    </row>
    <row r="2898" spans="1:4">
      <c r="A2898" s="8" t="s">
        <v>407</v>
      </c>
      <c r="B2898" s="5">
        <v>1070401</v>
      </c>
      <c r="C2898" s="5" t="s">
        <v>114</v>
      </c>
      <c r="D2898" s="3">
        <f>VLOOKUP(B2898,Sheet2!$A:$O,14,0)</f>
        <v>12000</v>
      </c>
    </row>
    <row r="2899" spans="1:4">
      <c r="A2899" s="8" t="s">
        <v>407</v>
      </c>
      <c r="B2899" s="5">
        <v>1070501</v>
      </c>
      <c r="C2899" s="5" t="s">
        <v>231</v>
      </c>
      <c r="D2899" s="3">
        <f>VLOOKUP(B2899,Sheet2!$A:$O,14,0)</f>
        <v>5500</v>
      </c>
    </row>
    <row r="2900" spans="1:4">
      <c r="A2900" s="8" t="s">
        <v>407</v>
      </c>
      <c r="B2900" s="5">
        <v>1070701</v>
      </c>
      <c r="C2900" s="5" t="s">
        <v>118</v>
      </c>
      <c r="D2900" s="3">
        <f>VLOOKUP(B2900,Sheet2!$A:$O,14,0)</f>
        <v>36000</v>
      </c>
    </row>
    <row r="2901" spans="1:4">
      <c r="A2901" s="8" t="s">
        <v>407</v>
      </c>
      <c r="B2901" s="5">
        <v>1070801</v>
      </c>
      <c r="C2901" s="5" t="s">
        <v>232</v>
      </c>
      <c r="D2901" s="3">
        <f>VLOOKUP(B2901,Sheet2!$A:$O,14,0)</f>
        <v>35000</v>
      </c>
    </row>
    <row r="2902" spans="1:4">
      <c r="A2902" s="8" t="s">
        <v>407</v>
      </c>
      <c r="B2902" s="5">
        <v>1080101</v>
      </c>
      <c r="C2902" s="5" t="s">
        <v>120</v>
      </c>
      <c r="D2902" s="3">
        <f>VLOOKUP(B2902,Sheet2!$A:$O,14,0)</f>
        <v>11000</v>
      </c>
    </row>
    <row r="2903" spans="1:4">
      <c r="A2903" s="8" t="s">
        <v>407</v>
      </c>
      <c r="B2903" s="5">
        <v>1080201</v>
      </c>
      <c r="C2903" s="5" t="s">
        <v>122</v>
      </c>
      <c r="D2903" s="3">
        <f>VLOOKUP(B2903,Sheet2!$A:$O,14,0)</f>
        <v>540</v>
      </c>
    </row>
    <row r="2904" spans="1:4">
      <c r="A2904" s="8" t="s">
        <v>407</v>
      </c>
      <c r="B2904" s="5">
        <v>1080301</v>
      </c>
      <c r="C2904" s="5" t="s">
        <v>124</v>
      </c>
      <c r="D2904" s="3">
        <f>VLOOKUP(B2904,Sheet2!$A:$O,14,0)</f>
        <v>1550</v>
      </c>
    </row>
    <row r="2905" spans="1:4">
      <c r="A2905" s="8" t="s">
        <v>407</v>
      </c>
      <c r="B2905" s="5">
        <v>1080401</v>
      </c>
      <c r="C2905" s="5" t="s">
        <v>233</v>
      </c>
      <c r="D2905" s="3">
        <f>VLOOKUP(B2905,Sheet2!$A:$O,14,0)</f>
        <v>3300</v>
      </c>
    </row>
    <row r="2906" spans="1:4">
      <c r="A2906" s="8" t="s">
        <v>407</v>
      </c>
      <c r="B2906" s="5">
        <v>1080411</v>
      </c>
      <c r="C2906" s="5" t="s">
        <v>128</v>
      </c>
      <c r="D2906" s="3">
        <f>VLOOKUP(B2906,Sheet2!$A:$O,14,0)</f>
        <v>3300</v>
      </c>
    </row>
    <row r="2907" spans="1:4">
      <c r="A2907" s="8" t="s">
        <v>407</v>
      </c>
      <c r="B2907" s="5">
        <v>1080501</v>
      </c>
      <c r="C2907" s="5" t="s">
        <v>130</v>
      </c>
      <c r="D2907" s="3">
        <f>VLOOKUP(B2907,Sheet2!$A:$O,14,0)</f>
        <v>3800</v>
      </c>
    </row>
    <row r="2908" spans="1:4">
      <c r="A2908" s="8" t="s">
        <v>407</v>
      </c>
      <c r="B2908" s="5">
        <v>1080602</v>
      </c>
      <c r="C2908" s="5" t="s">
        <v>234</v>
      </c>
      <c r="D2908" s="3">
        <f>VLOOKUP(B2908,Sheet2!$A:$O,14,0)</f>
        <v>38600</v>
      </c>
    </row>
    <row r="2909" spans="1:4">
      <c r="A2909" s="8" t="s">
        <v>407</v>
      </c>
      <c r="B2909" s="5">
        <v>1080604</v>
      </c>
      <c r="C2909" s="5" t="s">
        <v>235</v>
      </c>
      <c r="D2909" s="3">
        <f>VLOOKUP(B2909,Sheet2!$A:$O,14,0)</f>
        <v>0</v>
      </c>
    </row>
    <row r="2910" spans="1:4">
      <c r="A2910" s="8" t="s">
        <v>407</v>
      </c>
      <c r="B2910" s="5">
        <v>1080702</v>
      </c>
      <c r="C2910" s="5" t="s">
        <v>236</v>
      </c>
      <c r="D2910" s="3">
        <f>VLOOKUP(B2910,Sheet2!$A:$O,14,0)</f>
        <v>43500</v>
      </c>
    </row>
    <row r="2911" spans="1:4">
      <c r="A2911" s="8" t="s">
        <v>407</v>
      </c>
      <c r="B2911" s="5">
        <v>1080704</v>
      </c>
      <c r="C2911" s="5" t="s">
        <v>237</v>
      </c>
      <c r="D2911" s="3">
        <f>VLOOKUP(B2911,Sheet2!$A:$O,14,0)</f>
        <v>0</v>
      </c>
    </row>
    <row r="2912" spans="1:4">
      <c r="A2912" s="8" t="s">
        <v>407</v>
      </c>
      <c r="B2912" s="5">
        <v>1090104</v>
      </c>
      <c r="C2912" s="5" t="s">
        <v>136</v>
      </c>
      <c r="D2912" s="3">
        <f>VLOOKUP(B2912,Sheet2!$A:$O,14,0)</f>
        <v>40000</v>
      </c>
    </row>
    <row r="2913" spans="1:4">
      <c r="A2913" s="8" t="s">
        <v>407</v>
      </c>
      <c r="B2913" s="5">
        <v>1090112</v>
      </c>
      <c r="C2913" s="5" t="s">
        <v>138</v>
      </c>
      <c r="D2913" s="3">
        <f>VLOOKUP(B2913,Sheet2!$A:$O,14,0)</f>
        <v>35000</v>
      </c>
    </row>
    <row r="2914" spans="1:4">
      <c r="A2914" s="8" t="s">
        <v>407</v>
      </c>
      <c r="B2914" s="5">
        <v>1090201</v>
      </c>
      <c r="C2914" s="5" t="s">
        <v>140</v>
      </c>
      <c r="D2914" s="3">
        <f>VLOOKUP(B2914,Sheet2!$A:$O,14,0)</f>
        <v>15800</v>
      </c>
    </row>
    <row r="2915" spans="1:4">
      <c r="A2915" s="8" t="s">
        <v>407</v>
      </c>
      <c r="B2915" s="5">
        <v>1090202</v>
      </c>
      <c r="C2915" s="5" t="s">
        <v>142</v>
      </c>
      <c r="D2915" s="3">
        <f>VLOOKUP(B2915,Sheet2!$A:$O,14,0)</f>
        <v>98000</v>
      </c>
    </row>
    <row r="2916" spans="1:4">
      <c r="A2916" s="8" t="s">
        <v>407</v>
      </c>
      <c r="B2916" s="5">
        <v>1090203</v>
      </c>
      <c r="C2916" s="5" t="s">
        <v>144</v>
      </c>
      <c r="D2916" s="3">
        <f>VLOOKUP(B2916,Sheet2!$A:$O,14,0)</f>
        <v>23000</v>
      </c>
    </row>
    <row r="2917" spans="1:4">
      <c r="A2917" s="8" t="s">
        <v>407</v>
      </c>
      <c r="B2917" s="5">
        <v>1090211</v>
      </c>
      <c r="C2917" s="5" t="s">
        <v>146</v>
      </c>
      <c r="D2917" s="3">
        <f>VLOOKUP(B2917,Sheet2!$A:$O,14,0)</f>
        <v>64706</v>
      </c>
    </row>
    <row r="2918" spans="1:4">
      <c r="A2918" s="8" t="s">
        <v>407</v>
      </c>
      <c r="B2918" s="5">
        <v>1090301</v>
      </c>
      <c r="C2918" s="5" t="s">
        <v>238</v>
      </c>
      <c r="D2918" s="3">
        <f>VLOOKUP(B2918,Sheet2!$A:$O,14,0)</f>
        <v>32000</v>
      </c>
    </row>
    <row r="2919" spans="1:4">
      <c r="A2919" s="8" t="s">
        <v>407</v>
      </c>
      <c r="B2919" s="5">
        <v>1090311</v>
      </c>
      <c r="C2919" s="5" t="s">
        <v>150</v>
      </c>
      <c r="D2919" s="3">
        <f>VLOOKUP(B2919,Sheet2!$A:$O,14,0)</f>
        <v>37000</v>
      </c>
    </row>
    <row r="2920" spans="1:4">
      <c r="A2920" s="8" t="s">
        <v>407</v>
      </c>
      <c r="B2920" s="5">
        <v>1090321</v>
      </c>
      <c r="C2920" s="5" t="s">
        <v>152</v>
      </c>
      <c r="D2920" s="3">
        <f>VLOOKUP(B2920,Sheet2!$A:$O,14,0)</f>
        <v>66000</v>
      </c>
    </row>
    <row r="2921" spans="1:4">
      <c r="A2921" s="8" t="s">
        <v>407</v>
      </c>
      <c r="B2921" s="5">
        <v>1090401</v>
      </c>
      <c r="C2921" s="5" t="s">
        <v>154</v>
      </c>
      <c r="D2921" s="3">
        <f>VLOOKUP(B2921,Sheet2!$A:$O,14,0)</f>
        <v>8800</v>
      </c>
    </row>
    <row r="2922" spans="1:4">
      <c r="A2922" s="8" t="s">
        <v>407</v>
      </c>
      <c r="B2922" s="5">
        <v>1090411</v>
      </c>
      <c r="C2922" s="5" t="s">
        <v>156</v>
      </c>
      <c r="D2922" s="3">
        <f>VLOOKUP(B2922,Sheet2!$A:$O,14,0)</f>
        <v>45000</v>
      </c>
    </row>
    <row r="2923" spans="1:4">
      <c r="A2923" s="8" t="s">
        <v>407</v>
      </c>
      <c r="B2923" s="5">
        <v>1090421</v>
      </c>
      <c r="C2923" s="5" t="s">
        <v>158</v>
      </c>
      <c r="D2923" s="3">
        <f>VLOOKUP(B2923,Sheet2!$A:$O,14,0)</f>
        <v>36000</v>
      </c>
    </row>
    <row r="2924" spans="1:4">
      <c r="A2924" s="8" t="s">
        <v>407</v>
      </c>
      <c r="B2924" s="5">
        <v>1090551</v>
      </c>
      <c r="C2924" s="5" t="s">
        <v>239</v>
      </c>
      <c r="D2924" s="3">
        <f>VLOOKUP(B2924,Sheet2!$A:$O,14,0)</f>
        <v>4900</v>
      </c>
    </row>
    <row r="2925" spans="1:4">
      <c r="A2925" s="8" t="s">
        <v>407</v>
      </c>
      <c r="B2925" s="5">
        <v>1090602</v>
      </c>
      <c r="C2925" s="5" t="s">
        <v>162</v>
      </c>
      <c r="D2925" s="3">
        <f>VLOOKUP(B2925,Sheet2!$A:$O,14,0)</f>
        <v>5130</v>
      </c>
    </row>
    <row r="2926" spans="1:4">
      <c r="A2926" s="8" t="s">
        <v>407</v>
      </c>
      <c r="B2926" s="5">
        <v>1090611</v>
      </c>
      <c r="C2926" s="5" t="s">
        <v>164</v>
      </c>
      <c r="D2926" s="3">
        <f>VLOOKUP(B2926,Sheet2!$A:$O,14,0)</f>
        <v>4300</v>
      </c>
    </row>
    <row r="2927" spans="1:4">
      <c r="A2927" s="8" t="s">
        <v>407</v>
      </c>
      <c r="B2927" s="5">
        <v>1090701</v>
      </c>
      <c r="C2927" s="5" t="s">
        <v>166</v>
      </c>
      <c r="D2927" s="3">
        <f>VLOOKUP(B2927,Sheet2!$A:$O,14,0)</f>
        <v>21000</v>
      </c>
    </row>
    <row r="2928" spans="1:4">
      <c r="A2928" s="8" t="s">
        <v>407</v>
      </c>
      <c r="B2928" s="5">
        <v>1090901</v>
      </c>
      <c r="C2928" s="5" t="s">
        <v>168</v>
      </c>
      <c r="D2928" s="3">
        <f>VLOOKUP(B2928,Sheet2!$A:$O,14,0)</f>
        <v>4300</v>
      </c>
    </row>
    <row r="2929" spans="1:4">
      <c r="A2929" s="8" t="s">
        <v>407</v>
      </c>
      <c r="B2929" s="5">
        <v>1091001</v>
      </c>
      <c r="C2929" s="5" t="s">
        <v>170</v>
      </c>
      <c r="D2929" s="3">
        <f>VLOOKUP(B2929,Sheet2!$A:$O,14,0)</f>
        <v>7000</v>
      </c>
    </row>
    <row r="2930" spans="1:4">
      <c r="A2930" s="8" t="s">
        <v>407</v>
      </c>
      <c r="B2930" s="5">
        <v>1091002</v>
      </c>
      <c r="C2930" s="5" t="s">
        <v>172</v>
      </c>
      <c r="D2930" s="3">
        <f>VLOOKUP(B2930,Sheet2!$A:$O,14,0)</f>
        <v>6304</v>
      </c>
    </row>
    <row r="2931" spans="1:4">
      <c r="A2931" s="8" t="s">
        <v>407</v>
      </c>
      <c r="B2931" s="5">
        <v>1091003</v>
      </c>
      <c r="C2931" s="5" t="s">
        <v>174</v>
      </c>
      <c r="D2931" s="3">
        <f>VLOOKUP(B2931,Sheet2!$A:$O,14,0)</f>
        <v>9915</v>
      </c>
    </row>
    <row r="2932" spans="1:4">
      <c r="A2932" s="8" t="s">
        <v>407</v>
      </c>
      <c r="B2932" s="5">
        <v>1091004</v>
      </c>
      <c r="C2932" s="5" t="s">
        <v>240</v>
      </c>
      <c r="D2932" s="3">
        <f>VLOOKUP(B2932,Sheet2!$A:$O,14,0)</f>
        <v>0</v>
      </c>
    </row>
    <row r="2933" spans="1:4">
      <c r="A2933" s="8" t="s">
        <v>407</v>
      </c>
      <c r="B2933" s="5">
        <v>1091005</v>
      </c>
      <c r="C2933" s="5" t="s">
        <v>241</v>
      </c>
      <c r="D2933" s="3">
        <f>VLOOKUP(B2933,Sheet2!$A:$O,14,0)</f>
        <v>0</v>
      </c>
    </row>
    <row r="2934" spans="1:4">
      <c r="A2934" s="8" t="s">
        <v>407</v>
      </c>
      <c r="B2934" s="5">
        <v>1091006</v>
      </c>
      <c r="C2934" s="5" t="s">
        <v>242</v>
      </c>
      <c r="D2934" s="3">
        <f>VLOOKUP(B2934,Sheet2!$A:$O,14,0)</f>
        <v>0</v>
      </c>
    </row>
    <row r="2935" spans="1:4">
      <c r="A2935" s="8" t="s">
        <v>407</v>
      </c>
      <c r="B2935" s="5">
        <v>1091007</v>
      </c>
      <c r="C2935" s="5" t="s">
        <v>243</v>
      </c>
      <c r="D2935" s="3">
        <f>VLOOKUP(B2935,Sheet2!$A:$O,14,0)</f>
        <v>2640</v>
      </c>
    </row>
    <row r="2936" spans="1:4">
      <c r="A2936" s="8" t="s">
        <v>407</v>
      </c>
      <c r="B2936" s="5">
        <v>1091008</v>
      </c>
      <c r="C2936" s="5" t="s">
        <v>176</v>
      </c>
      <c r="D2936" s="3">
        <f>VLOOKUP(B2936,Sheet2!$A:$O,14,0)</f>
        <v>450000</v>
      </c>
    </row>
    <row r="2937" spans="1:4">
      <c r="A2937" s="8" t="s">
        <v>407</v>
      </c>
      <c r="B2937" s="5">
        <v>1091009</v>
      </c>
      <c r="C2937" s="5" t="s">
        <v>178</v>
      </c>
      <c r="D2937" s="3">
        <f>VLOOKUP(B2937,Sheet2!$A:$O,14,0)</f>
        <v>190000</v>
      </c>
    </row>
    <row r="2938" spans="1:4">
      <c r="A2938" s="8" t="s">
        <v>407</v>
      </c>
      <c r="B2938" s="5">
        <v>1091010</v>
      </c>
      <c r="C2938" s="5" t="s">
        <v>180</v>
      </c>
      <c r="D2938" s="3">
        <f>VLOOKUP(B2938,Sheet2!$A:$O,14,0)</f>
        <v>27000</v>
      </c>
    </row>
    <row r="2939" spans="1:4">
      <c r="A2939" s="8" t="s">
        <v>407</v>
      </c>
      <c r="B2939" s="5">
        <v>1091011</v>
      </c>
      <c r="C2939" s="5" t="s">
        <v>182</v>
      </c>
      <c r="D2939" s="3">
        <f>VLOOKUP(B2939,Sheet2!$A:$O,14,0)</f>
        <v>33000</v>
      </c>
    </row>
    <row r="2940" spans="1:4">
      <c r="A2940" s="8" t="s">
        <v>407</v>
      </c>
      <c r="B2940" s="5">
        <v>1091012</v>
      </c>
      <c r="C2940" s="5" t="s">
        <v>184</v>
      </c>
      <c r="D2940" s="3">
        <f>VLOOKUP(B2940,Sheet2!$A:$O,14,0)</f>
        <v>47000</v>
      </c>
    </row>
    <row r="2941" spans="1:4">
      <c r="A2941" s="8" t="s">
        <v>407</v>
      </c>
      <c r="B2941" s="5">
        <v>1091013</v>
      </c>
      <c r="C2941" s="5" t="s">
        <v>186</v>
      </c>
      <c r="D2941" s="3">
        <f>VLOOKUP(B2941,Sheet2!$A:$O,14,0)</f>
        <v>33000</v>
      </c>
    </row>
    <row r="2942" spans="1:4">
      <c r="A2942" s="8" t="s">
        <v>407</v>
      </c>
      <c r="B2942" s="5">
        <v>1091014</v>
      </c>
      <c r="C2942" s="5" t="s">
        <v>244</v>
      </c>
      <c r="D2942" s="3">
        <f>VLOOKUP(B2942,Sheet2!$A:$O,14,0)</f>
        <v>6961</v>
      </c>
    </row>
    <row r="2943" spans="1:4">
      <c r="A2943" s="8" t="s">
        <v>407</v>
      </c>
      <c r="B2943" s="5">
        <v>1091015</v>
      </c>
      <c r="C2943" s="5" t="s">
        <v>245</v>
      </c>
      <c r="D2943" s="3">
        <f>VLOOKUP(B2943,Sheet2!$A:$O,14,0)</f>
        <v>25490</v>
      </c>
    </row>
    <row r="2944" spans="1:4">
      <c r="A2944" s="8" t="s">
        <v>407</v>
      </c>
      <c r="B2944" s="5">
        <v>1091016</v>
      </c>
      <c r="C2944" s="5" t="s">
        <v>246</v>
      </c>
      <c r="D2944" s="3">
        <f>VLOOKUP(B2944,Sheet2!$A:$O,14,0)</f>
        <v>50187</v>
      </c>
    </row>
    <row r="2945" spans="1:4">
      <c r="A2945" s="8" t="s">
        <v>407</v>
      </c>
      <c r="B2945" s="5">
        <v>1091017</v>
      </c>
      <c r="C2945" s="5" t="s">
        <v>247</v>
      </c>
      <c r="D2945" s="3">
        <f>VLOOKUP(B2945,Sheet2!$A:$O,14,0)</f>
        <v>74833</v>
      </c>
    </row>
    <row r="2946" spans="1:4">
      <c r="A2946" s="8" t="s">
        <v>407</v>
      </c>
      <c r="B2946" s="5">
        <v>1091018</v>
      </c>
      <c r="C2946" s="5" t="s">
        <v>248</v>
      </c>
      <c r="D2946" s="3">
        <f>VLOOKUP(B2946,Sheet2!$A:$O,14,0)</f>
        <v>33031</v>
      </c>
    </row>
    <row r="2947" spans="1:4">
      <c r="A2947" s="8" t="s">
        <v>407</v>
      </c>
      <c r="B2947" s="5">
        <v>1091019</v>
      </c>
      <c r="C2947" s="5" t="s">
        <v>249</v>
      </c>
      <c r="D2947" s="3">
        <f>VLOOKUP(B2947,Sheet2!$A:$O,14,0)</f>
        <v>53387</v>
      </c>
    </row>
    <row r="2948" spans="1:4">
      <c r="A2948" s="8" t="s">
        <v>407</v>
      </c>
      <c r="B2948" s="5">
        <v>1091020</v>
      </c>
      <c r="C2948" s="5" t="s">
        <v>250</v>
      </c>
      <c r="D2948" s="3">
        <f>VLOOKUP(B2948,Sheet2!$A:$O,14,0)</f>
        <v>100500</v>
      </c>
    </row>
    <row r="2949" spans="1:4">
      <c r="A2949" s="8" t="s">
        <v>407</v>
      </c>
      <c r="B2949" s="5">
        <v>1091021</v>
      </c>
      <c r="C2949" s="5" t="s">
        <v>251</v>
      </c>
      <c r="D2949" s="3">
        <f>VLOOKUP(B2949,Sheet2!$A:$O,14,0)</f>
        <v>50600</v>
      </c>
    </row>
    <row r="2950" spans="1:4">
      <c r="A2950" s="8" t="s">
        <v>407</v>
      </c>
      <c r="B2950" s="5">
        <v>1091022</v>
      </c>
      <c r="C2950" s="5" t="s">
        <v>252</v>
      </c>
      <c r="D2950" s="3">
        <f>VLOOKUP(B2950,Sheet2!$A:$O,14,0)</f>
        <v>3235</v>
      </c>
    </row>
    <row r="2951" spans="1:4">
      <c r="A2951" s="8" t="s">
        <v>407</v>
      </c>
      <c r="B2951" s="5">
        <v>1091023</v>
      </c>
      <c r="C2951" s="5" t="s">
        <v>253</v>
      </c>
      <c r="D2951" s="3">
        <f>VLOOKUP(B2951,Sheet2!$A:$O,14,0)</f>
        <v>4412</v>
      </c>
    </row>
    <row r="2952" spans="1:4">
      <c r="A2952" s="8" t="s">
        <v>407</v>
      </c>
      <c r="B2952" s="5">
        <v>1091024</v>
      </c>
      <c r="C2952" s="5" t="s">
        <v>254</v>
      </c>
      <c r="D2952" s="3">
        <f>VLOOKUP(B2952,Sheet2!$A:$O,14,0)</f>
        <v>3922</v>
      </c>
    </row>
    <row r="2953" spans="1:4">
      <c r="A2953" s="8" t="s">
        <v>407</v>
      </c>
      <c r="B2953" s="5">
        <v>1091025</v>
      </c>
      <c r="C2953" s="5" t="s">
        <v>255</v>
      </c>
      <c r="D2953" s="3">
        <f>VLOOKUP(B2953,Sheet2!$A:$O,14,0)</f>
        <v>6275</v>
      </c>
    </row>
    <row r="2954" spans="1:4">
      <c r="A2954" s="8" t="s">
        <v>407</v>
      </c>
      <c r="B2954" s="5">
        <v>1091026</v>
      </c>
      <c r="C2954" s="5" t="s">
        <v>256</v>
      </c>
      <c r="D2954" s="3">
        <f>VLOOKUP(B2954,Sheet2!$A:$O,14,0)</f>
        <v>30686</v>
      </c>
    </row>
    <row r="2955" spans="1:4">
      <c r="A2955" s="8" t="s">
        <v>407</v>
      </c>
      <c r="B2955" s="5">
        <v>1600101</v>
      </c>
      <c r="C2955" s="5" t="s">
        <v>188</v>
      </c>
      <c r="D2955" s="3">
        <f>VLOOKUP(B2955,Sheet2!$A:$O,14,0)</f>
        <v>2835</v>
      </c>
    </row>
    <row r="2956" spans="1:4">
      <c r="A2956" s="8" t="s">
        <v>407</v>
      </c>
      <c r="B2956" s="5">
        <v>1600102</v>
      </c>
      <c r="C2956" s="5" t="s">
        <v>257</v>
      </c>
      <c r="D2956" s="3">
        <f>VLOOKUP(B2956,Sheet2!$A:$O,14,0)</f>
        <v>36275</v>
      </c>
    </row>
    <row r="2957" spans="1:4">
      <c r="A2957" s="8" t="s">
        <v>407</v>
      </c>
      <c r="B2957" s="5">
        <v>1600103</v>
      </c>
      <c r="C2957" s="5" t="s">
        <v>258</v>
      </c>
      <c r="D2957" s="3">
        <f>VLOOKUP(B2957,Sheet2!$A:$O,14,0)</f>
        <v>19800</v>
      </c>
    </row>
    <row r="2958" spans="1:4">
      <c r="A2958" s="8" t="s">
        <v>407</v>
      </c>
      <c r="B2958" s="5">
        <v>1600104</v>
      </c>
      <c r="C2958" s="5" t="s">
        <v>259</v>
      </c>
      <c r="D2958" s="3">
        <f>VLOOKUP(B2958,Sheet2!$A:$O,14,0)</f>
        <v>73810</v>
      </c>
    </row>
    <row r="2959" spans="1:4">
      <c r="A2959" s="8" t="s">
        <v>407</v>
      </c>
      <c r="B2959" s="5">
        <v>1600105</v>
      </c>
      <c r="C2959" s="5" t="s">
        <v>260</v>
      </c>
      <c r="D2959" s="3">
        <f>VLOOKUP(B2959,Sheet2!$A:$O,14,0)</f>
        <v>83950</v>
      </c>
    </row>
    <row r="2960" spans="1:4">
      <c r="A2960" s="8" t="s">
        <v>407</v>
      </c>
      <c r="B2960" s="5">
        <v>1600106</v>
      </c>
      <c r="C2960" s="5" t="s">
        <v>261</v>
      </c>
      <c r="D2960" s="3">
        <f>VLOOKUP(B2960,Sheet2!$A:$O,14,0)</f>
        <v>108071</v>
      </c>
    </row>
    <row r="2961" spans="1:4">
      <c r="A2961" s="8" t="s">
        <v>407</v>
      </c>
      <c r="B2961" s="5">
        <v>1600107</v>
      </c>
      <c r="C2961" s="5" t="s">
        <v>262</v>
      </c>
      <c r="D2961" s="3">
        <f>VLOOKUP(B2961,Sheet2!$A:$O,14,0)</f>
        <v>86601</v>
      </c>
    </row>
    <row r="2962" spans="1:4">
      <c r="A2962" s="8" t="s">
        <v>407</v>
      </c>
      <c r="B2962" s="5">
        <v>1600108</v>
      </c>
      <c r="C2962" s="5" t="s">
        <v>263</v>
      </c>
      <c r="D2962" s="3">
        <f>VLOOKUP(B2962,Sheet2!$A:$O,14,0)</f>
        <v>73810</v>
      </c>
    </row>
    <row r="2963" spans="1:4">
      <c r="A2963" s="8" t="s">
        <v>407</v>
      </c>
      <c r="B2963" s="5">
        <v>1600109</v>
      </c>
      <c r="C2963" s="5" t="s">
        <v>264</v>
      </c>
      <c r="D2963" s="3">
        <f>VLOOKUP(B2963,Sheet2!$A:$O,14,0)</f>
        <v>5882</v>
      </c>
    </row>
    <row r="2964" spans="1:4">
      <c r="A2964" s="8" t="s">
        <v>407</v>
      </c>
      <c r="B2964" s="5">
        <v>1600110</v>
      </c>
      <c r="C2964" s="5" t="s">
        <v>265</v>
      </c>
      <c r="D2964" s="3">
        <f>VLOOKUP(B2964,Sheet2!$A:$O,14,0)</f>
        <v>7917</v>
      </c>
    </row>
    <row r="2965" spans="1:4">
      <c r="A2965" s="8" t="s">
        <v>407</v>
      </c>
      <c r="B2965" s="5">
        <v>1600111</v>
      </c>
      <c r="C2965" s="5" t="s">
        <v>266</v>
      </c>
      <c r="D2965" s="3">
        <f>VLOOKUP(B2965,Sheet2!$A:$O,14,0)</f>
        <v>2266</v>
      </c>
    </row>
    <row r="2966" spans="1:4">
      <c r="A2966" s="8" t="s">
        <v>407</v>
      </c>
      <c r="B2966" s="5">
        <v>1600112</v>
      </c>
      <c r="C2966" s="5" t="s">
        <v>190</v>
      </c>
      <c r="D2966" s="3">
        <f>VLOOKUP(B2966,Sheet2!$A:$O,14,0)</f>
        <v>4800</v>
      </c>
    </row>
    <row r="2967" spans="1:4">
      <c r="A2967" s="8" t="s">
        <v>407</v>
      </c>
      <c r="B2967" s="5">
        <v>1600113</v>
      </c>
      <c r="C2967" s="5" t="s">
        <v>267</v>
      </c>
      <c r="D2967" s="3">
        <f>VLOOKUP(B2967,Sheet2!$A:$O,14,0)</f>
        <v>0</v>
      </c>
    </row>
    <row r="2968" spans="1:4">
      <c r="A2968" s="8" t="s">
        <v>407</v>
      </c>
      <c r="B2968" s="5">
        <v>1600114</v>
      </c>
      <c r="C2968" s="5" t="s">
        <v>268</v>
      </c>
      <c r="D2968" s="3">
        <f>VLOOKUP(B2968,Sheet2!$A:$O,14,0)</f>
        <v>13333</v>
      </c>
    </row>
    <row r="2969" spans="1:4">
      <c r="A2969" s="8" t="s">
        <v>407</v>
      </c>
      <c r="B2969" s="5">
        <v>1700001</v>
      </c>
      <c r="C2969" s="5" t="s">
        <v>269</v>
      </c>
      <c r="D2969" s="3">
        <f>VLOOKUP(B2969,Sheet2!$A:$O,14,0)</f>
        <v>4468</v>
      </c>
    </row>
    <row r="2970" spans="1:4">
      <c r="A2970" s="8" t="s">
        <v>407</v>
      </c>
      <c r="B2970" s="5">
        <v>1700002</v>
      </c>
      <c r="C2970" s="5" t="s">
        <v>270</v>
      </c>
      <c r="D2970" s="3">
        <f>VLOOKUP(B2970,Sheet2!$A:$O,14,0)</f>
        <v>3726</v>
      </c>
    </row>
    <row r="2971" spans="1:4">
      <c r="A2971" s="8" t="s">
        <v>407</v>
      </c>
      <c r="B2971" s="5">
        <v>1700003</v>
      </c>
      <c r="C2971" s="5" t="s">
        <v>271</v>
      </c>
      <c r="D2971" s="3">
        <f>VLOOKUP(B2971,Sheet2!$A:$O,14,0)</f>
        <v>4902</v>
      </c>
    </row>
    <row r="2972" spans="1:4">
      <c r="A2972" s="8" t="s">
        <v>407</v>
      </c>
      <c r="B2972" s="5">
        <v>1700004</v>
      </c>
      <c r="C2972" s="5" t="s">
        <v>272</v>
      </c>
      <c r="D2972" s="3">
        <f>VLOOKUP(B2972,Sheet2!$A:$O,14,0)</f>
        <v>15784</v>
      </c>
    </row>
    <row r="2973" spans="1:4">
      <c r="A2973" s="8" t="s">
        <v>407</v>
      </c>
      <c r="B2973" s="5">
        <v>1700005</v>
      </c>
      <c r="C2973" s="5" t="s">
        <v>192</v>
      </c>
      <c r="D2973" s="3">
        <f>VLOOKUP(B2973,Sheet2!$A:$O,14,0)</f>
        <v>1765</v>
      </c>
    </row>
    <row r="2974" spans="1:4">
      <c r="A2974" s="8" t="s">
        <v>407</v>
      </c>
      <c r="B2974" s="5">
        <v>1700006</v>
      </c>
      <c r="C2974" s="5" t="s">
        <v>273</v>
      </c>
      <c r="D2974" s="3">
        <f>VLOOKUP(B2974,Sheet2!$A:$O,14,0)</f>
        <v>6676</v>
      </c>
    </row>
    <row r="2975" spans="1:4">
      <c r="A2975" s="8" t="s">
        <v>407</v>
      </c>
      <c r="B2975" s="5">
        <v>1700007</v>
      </c>
      <c r="C2975" s="5" t="s">
        <v>274</v>
      </c>
      <c r="D2975" s="3">
        <f>VLOOKUP(B2975,Sheet2!$A:$O,14,0)</f>
        <v>0</v>
      </c>
    </row>
    <row r="2976" spans="1:4">
      <c r="A2976" s="8" t="s">
        <v>407</v>
      </c>
      <c r="B2976" s="5">
        <v>1700008</v>
      </c>
      <c r="C2976" s="5" t="s">
        <v>275</v>
      </c>
      <c r="D2976" s="3">
        <f>VLOOKUP(B2976,Sheet2!$A:$O,14,0)</f>
        <v>0</v>
      </c>
    </row>
    <row r="2977" spans="1:4">
      <c r="A2977" s="8" t="s">
        <v>407</v>
      </c>
      <c r="B2977" s="5">
        <v>1700009</v>
      </c>
      <c r="C2977" s="5" t="s">
        <v>276</v>
      </c>
      <c r="D2977" s="3">
        <f>VLOOKUP(B2977,Sheet2!$A:$O,14,0)</f>
        <v>0</v>
      </c>
    </row>
    <row r="2978" spans="1:4">
      <c r="A2978" s="8" t="s">
        <v>407</v>
      </c>
      <c r="B2978" s="5">
        <v>1700010</v>
      </c>
      <c r="C2978" s="5" t="s">
        <v>277</v>
      </c>
      <c r="D2978" s="3">
        <f>VLOOKUP(B2978,Sheet2!$A:$O,14,0)</f>
        <v>3990</v>
      </c>
    </row>
    <row r="2979" spans="1:4">
      <c r="A2979" s="8" t="s">
        <v>407</v>
      </c>
      <c r="B2979" s="5">
        <v>1700011</v>
      </c>
      <c r="C2979" s="5" t="s">
        <v>278</v>
      </c>
      <c r="D2979" s="3">
        <f>VLOOKUP(B2979,Sheet2!$A:$O,14,0)</f>
        <v>12745</v>
      </c>
    </row>
    <row r="2980" spans="1:4">
      <c r="A2980" s="8" t="s">
        <v>407</v>
      </c>
      <c r="B2980" s="5">
        <v>1700012</v>
      </c>
      <c r="C2980" s="5" t="s">
        <v>279</v>
      </c>
      <c r="D2980" s="3">
        <f>VLOOKUP(B2980,Sheet2!$A:$O,14,0)</f>
        <v>15980</v>
      </c>
    </row>
    <row r="2981" spans="1:4">
      <c r="A2981" s="8" t="s">
        <v>407</v>
      </c>
      <c r="B2981" s="5">
        <v>1700013</v>
      </c>
      <c r="C2981" s="5" t="s">
        <v>280</v>
      </c>
      <c r="D2981" s="3">
        <f>VLOOKUP(B2981,Sheet2!$A:$O,14,0)</f>
        <v>18137</v>
      </c>
    </row>
    <row r="2982" spans="1:4">
      <c r="A2982" s="8" t="s">
        <v>407</v>
      </c>
      <c r="B2982" s="5">
        <v>1700014</v>
      </c>
      <c r="C2982" s="5" t="s">
        <v>194</v>
      </c>
      <c r="D2982" s="3">
        <f>VLOOKUP(B2982,Sheet2!$A:$O,14,0)</f>
        <v>2255</v>
      </c>
    </row>
    <row r="2983" spans="1:4">
      <c r="A2983" s="8" t="s">
        <v>407</v>
      </c>
      <c r="B2983" s="5">
        <v>1700015</v>
      </c>
      <c r="C2983" s="5" t="s">
        <v>281</v>
      </c>
      <c r="D2983" s="3">
        <f>VLOOKUP(B2983,Sheet2!$A:$O,14,0)</f>
        <v>5160</v>
      </c>
    </row>
    <row r="2984" spans="1:4">
      <c r="A2984" s="8" t="s">
        <v>407</v>
      </c>
      <c r="B2984" s="5">
        <v>1700016</v>
      </c>
      <c r="C2984" s="5" t="s">
        <v>282</v>
      </c>
      <c r="D2984" s="3">
        <f>VLOOKUP(B2984,Sheet2!$A:$O,14,0)</f>
        <v>3617</v>
      </c>
    </row>
    <row r="2985" spans="1:4">
      <c r="A2985" s="8" t="s">
        <v>407</v>
      </c>
      <c r="B2985" s="5">
        <v>1700017</v>
      </c>
      <c r="C2985" s="5" t="s">
        <v>283</v>
      </c>
      <c r="D2985" s="3">
        <f>VLOOKUP(B2985,Sheet2!$A:$O,14,0)</f>
        <v>10784</v>
      </c>
    </row>
    <row r="2986" spans="1:4">
      <c r="A2986" s="8" t="s">
        <v>407</v>
      </c>
      <c r="B2986" s="5">
        <v>1700018</v>
      </c>
      <c r="C2986" s="5" t="s">
        <v>284</v>
      </c>
      <c r="D2986" s="3">
        <f>VLOOKUP(B2986,Sheet2!$A:$O,14,0)</f>
        <v>4367</v>
      </c>
    </row>
    <row r="2987" spans="1:4">
      <c r="A2987" s="8" t="s">
        <v>407</v>
      </c>
      <c r="B2987" s="5">
        <v>1700019</v>
      </c>
      <c r="C2987" s="5" t="s">
        <v>285</v>
      </c>
      <c r="D2987" s="3">
        <f>VLOOKUP(B2987,Sheet2!$A:$O,14,0)</f>
        <v>0</v>
      </c>
    </row>
    <row r="2988" spans="1:4">
      <c r="A2988" s="8" t="s">
        <v>407</v>
      </c>
      <c r="B2988" s="5">
        <v>1700020</v>
      </c>
      <c r="C2988" s="5" t="s">
        <v>286</v>
      </c>
      <c r="D2988" s="3">
        <f>VLOOKUP(B2988,Sheet2!$A:$O,14,0)</f>
        <v>49412</v>
      </c>
    </row>
    <row r="2989" spans="1:4">
      <c r="A2989" s="8" t="s">
        <v>407</v>
      </c>
      <c r="B2989" s="5">
        <v>1700021</v>
      </c>
      <c r="C2989" s="5" t="s">
        <v>287</v>
      </c>
      <c r="D2989" s="3">
        <f>VLOOKUP(B2989,Sheet2!$A:$O,14,0)</f>
        <v>84736</v>
      </c>
    </row>
    <row r="2990" spans="1:4">
      <c r="A2990" s="8" t="s">
        <v>407</v>
      </c>
      <c r="B2990" s="5">
        <v>1700022</v>
      </c>
      <c r="C2990" s="5" t="s">
        <v>288</v>
      </c>
      <c r="D2990" s="3">
        <f>VLOOKUP(B2990,Sheet2!$A:$O,14,0)</f>
        <v>33706</v>
      </c>
    </row>
    <row r="2991" spans="1:4">
      <c r="A2991" s="8" t="s">
        <v>407</v>
      </c>
      <c r="B2991" s="5">
        <v>1700023</v>
      </c>
      <c r="C2991" s="5" t="s">
        <v>289</v>
      </c>
      <c r="D2991" s="3">
        <f>VLOOKUP(B2991,Sheet2!$A:$O,14,0)</f>
        <v>9809</v>
      </c>
    </row>
    <row r="2992" spans="1:4">
      <c r="A2992" s="8" t="s">
        <v>407</v>
      </c>
      <c r="B2992" s="5">
        <v>1700024</v>
      </c>
      <c r="C2992" s="5" t="s">
        <v>290</v>
      </c>
      <c r="D2992" s="3">
        <f>VLOOKUP(B2992,Sheet2!$A:$O,14,0)</f>
        <v>0</v>
      </c>
    </row>
    <row r="2993" spans="1:4">
      <c r="A2993" s="8" t="s">
        <v>407</v>
      </c>
      <c r="B2993" s="5">
        <v>1700025</v>
      </c>
      <c r="C2993" s="5" t="s">
        <v>291</v>
      </c>
      <c r="D2993" s="3">
        <f>VLOOKUP(B2993,Sheet2!$A:$O,14,0)</f>
        <v>1961</v>
      </c>
    </row>
    <row r="2994" spans="1:4">
      <c r="A2994" s="8" t="s">
        <v>407</v>
      </c>
      <c r="B2994" s="5">
        <v>1700026</v>
      </c>
      <c r="C2994" s="5" t="s">
        <v>292</v>
      </c>
      <c r="D2994" s="3">
        <f>VLOOKUP(B2994,Sheet2!$A:$O,14,0)</f>
        <v>3725</v>
      </c>
    </row>
    <row r="2995" spans="1:4">
      <c r="A2995" s="8" t="s">
        <v>407</v>
      </c>
      <c r="B2995" s="5">
        <v>1700027</v>
      </c>
      <c r="C2995" s="5" t="s">
        <v>293</v>
      </c>
      <c r="D2995" s="3">
        <f>VLOOKUP(B2995,Sheet2!$A:$O,14,0)</f>
        <v>4412</v>
      </c>
    </row>
    <row r="2996" spans="1:4">
      <c r="A2996" s="8" t="s">
        <v>407</v>
      </c>
      <c r="B2996" s="5">
        <v>1700028</v>
      </c>
      <c r="C2996" s="5" t="s">
        <v>294</v>
      </c>
      <c r="D2996" s="3">
        <f>VLOOKUP(B2996,Sheet2!$A:$O,14,0)</f>
        <v>9500</v>
      </c>
    </row>
    <row r="2997" spans="1:4">
      <c r="A2997" s="8" t="s">
        <v>407</v>
      </c>
      <c r="B2997" s="5">
        <v>1700029</v>
      </c>
      <c r="C2997" s="5" t="s">
        <v>295</v>
      </c>
      <c r="D2997" s="3">
        <f>VLOOKUP(B2997,Sheet2!$A:$O,14,0)</f>
        <v>10670</v>
      </c>
    </row>
    <row r="2998" spans="1:4">
      <c r="A2998" s="8" t="s">
        <v>407</v>
      </c>
      <c r="B2998" s="5">
        <v>1700030</v>
      </c>
      <c r="C2998" s="5" t="s">
        <v>296</v>
      </c>
      <c r="D2998" s="3">
        <f>VLOOKUP(B2998,Sheet2!$A:$O,14,0)</f>
        <v>12720</v>
      </c>
    </row>
    <row r="2999" spans="1:4">
      <c r="A2999" s="8" t="s">
        <v>407</v>
      </c>
      <c r="B2999" s="5">
        <v>1700031</v>
      </c>
      <c r="C2999" s="5" t="s">
        <v>196</v>
      </c>
      <c r="D2999" s="3">
        <f>VLOOKUP(B2999,Sheet2!$A:$O,14,0)</f>
        <v>2069</v>
      </c>
    </row>
    <row r="3000" spans="1:4">
      <c r="A3000" s="8" t="s">
        <v>407</v>
      </c>
      <c r="B3000" s="5">
        <v>1700032</v>
      </c>
      <c r="C3000" s="5" t="s">
        <v>297</v>
      </c>
      <c r="D3000" s="3">
        <f>VLOOKUP(B3000,Sheet2!$A:$O,14,0)</f>
        <v>0</v>
      </c>
    </row>
    <row r="3001" spans="1:4">
      <c r="A3001" s="8" t="s">
        <v>407</v>
      </c>
      <c r="B3001" s="5">
        <v>1700033</v>
      </c>
      <c r="C3001" s="5" t="s">
        <v>298</v>
      </c>
      <c r="D3001" s="3">
        <f>VLOOKUP(B3001,Sheet2!$A:$O,14,0)</f>
        <v>0</v>
      </c>
    </row>
    <row r="3002" spans="1:4">
      <c r="A3002" s="8" t="s">
        <v>407</v>
      </c>
      <c r="B3002" s="5">
        <v>1700034</v>
      </c>
      <c r="C3002" s="5" t="s">
        <v>299</v>
      </c>
      <c r="D3002" s="3">
        <f>VLOOKUP(B3002,Sheet2!$A:$O,14,0)</f>
        <v>17475</v>
      </c>
    </row>
    <row r="3003" spans="1:4">
      <c r="A3003" s="8" t="s">
        <v>407</v>
      </c>
      <c r="B3003" s="5">
        <v>1700035</v>
      </c>
      <c r="C3003" s="5" t="s">
        <v>300</v>
      </c>
      <c r="D3003" s="3">
        <f>VLOOKUP(B3003,Sheet2!$A:$O,14,0)</f>
        <v>34000</v>
      </c>
    </row>
    <row r="3004" spans="1:4">
      <c r="A3004" s="8" t="s">
        <v>407</v>
      </c>
      <c r="B3004" s="5">
        <v>1700036</v>
      </c>
      <c r="C3004" s="5" t="s">
        <v>301</v>
      </c>
      <c r="D3004" s="3">
        <f>VLOOKUP(B3004,Sheet2!$A:$O,14,0)</f>
        <v>5200</v>
      </c>
    </row>
    <row r="3005" spans="1:4">
      <c r="A3005" s="8" t="s">
        <v>407</v>
      </c>
      <c r="B3005" s="5">
        <v>1700037</v>
      </c>
      <c r="C3005" s="5" t="s">
        <v>302</v>
      </c>
      <c r="D3005" s="3">
        <f>VLOOKUP(B3005,Sheet2!$A:$O,14,0)</f>
        <v>7533</v>
      </c>
    </row>
    <row r="3006" spans="1:4">
      <c r="A3006" s="8" t="s">
        <v>407</v>
      </c>
      <c r="B3006" s="5">
        <v>1700038</v>
      </c>
      <c r="C3006" s="5" t="s">
        <v>303</v>
      </c>
      <c r="D3006" s="3">
        <f>VLOOKUP(B3006,Sheet2!$A:$O,14,0)</f>
        <v>2108</v>
      </c>
    </row>
    <row r="3007" spans="1:4">
      <c r="A3007" s="8" t="s">
        <v>407</v>
      </c>
      <c r="B3007" s="5">
        <v>1700039</v>
      </c>
      <c r="C3007" s="5" t="s">
        <v>304</v>
      </c>
      <c r="D3007" s="3">
        <f>VLOOKUP(B3007,Sheet2!$A:$O,14,0)</f>
        <v>3480</v>
      </c>
    </row>
    <row r="3008" spans="1:4">
      <c r="A3008" s="8" t="s">
        <v>407</v>
      </c>
      <c r="B3008" s="5">
        <v>1700040</v>
      </c>
      <c r="C3008" s="5" t="s">
        <v>305</v>
      </c>
      <c r="D3008" s="3">
        <f>VLOOKUP(B3008,Sheet2!$A:$O,14,0)</f>
        <v>1967</v>
      </c>
    </row>
    <row r="3009" spans="1:4">
      <c r="A3009" s="8" t="s">
        <v>407</v>
      </c>
      <c r="B3009" s="5">
        <v>1700041</v>
      </c>
      <c r="C3009" s="5" t="s">
        <v>306</v>
      </c>
      <c r="D3009" s="3">
        <f>VLOOKUP(B3009,Sheet2!$A:$O,14,0)</f>
        <v>3000</v>
      </c>
    </row>
    <row r="3010" spans="1:4">
      <c r="A3010" s="8" t="s">
        <v>407</v>
      </c>
      <c r="B3010" s="5">
        <v>1700042</v>
      </c>
      <c r="C3010" s="5" t="s">
        <v>307</v>
      </c>
      <c r="D3010" s="3">
        <f>VLOOKUP(B3010,Sheet2!$A:$O,14,0)</f>
        <v>3163</v>
      </c>
    </row>
    <row r="3011" spans="1:4">
      <c r="A3011" s="8" t="s">
        <v>407</v>
      </c>
      <c r="B3011" s="5">
        <v>1700043</v>
      </c>
      <c r="C3011" s="5" t="s">
        <v>308</v>
      </c>
      <c r="D3011" s="3">
        <f>VLOOKUP(B3011,Sheet2!$A:$O,14,0)</f>
        <v>5877</v>
      </c>
    </row>
    <row r="3012" spans="1:4">
      <c r="A3012" s="8" t="s">
        <v>407</v>
      </c>
      <c r="B3012" s="5">
        <v>1700044</v>
      </c>
      <c r="C3012" s="5" t="s">
        <v>309</v>
      </c>
      <c r="D3012" s="3">
        <f>VLOOKUP(B3012,Sheet2!$A:$O,14,0)</f>
        <v>7000</v>
      </c>
    </row>
    <row r="3013" spans="1:4">
      <c r="A3013" s="8" t="s">
        <v>407</v>
      </c>
      <c r="B3013" s="5">
        <v>1700045</v>
      </c>
      <c r="C3013" s="5" t="s">
        <v>310</v>
      </c>
      <c r="D3013" s="3">
        <f>VLOOKUP(B3013,Sheet2!$A:$O,14,0)</f>
        <v>3814</v>
      </c>
    </row>
    <row r="3014" spans="1:4">
      <c r="A3014" s="8" t="s">
        <v>407</v>
      </c>
      <c r="B3014" s="5">
        <v>1700046</v>
      </c>
      <c r="C3014" s="5" t="s">
        <v>311</v>
      </c>
      <c r="D3014" s="3">
        <f>VLOOKUP(B3014,Sheet2!$A:$O,14,0)</f>
        <v>6863</v>
      </c>
    </row>
    <row r="3015" spans="1:4">
      <c r="A3015" s="8" t="s">
        <v>407</v>
      </c>
      <c r="B3015" s="5">
        <v>1700047</v>
      </c>
      <c r="C3015" s="5" t="s">
        <v>312</v>
      </c>
      <c r="D3015" s="3">
        <f>VLOOKUP(B3015,Sheet2!$A:$O,14,0)</f>
        <v>22350</v>
      </c>
    </row>
    <row r="3016" spans="1:4">
      <c r="A3016" s="8" t="s">
        <v>407</v>
      </c>
      <c r="B3016" s="5">
        <v>1700048</v>
      </c>
      <c r="C3016" s="5" t="s">
        <v>313</v>
      </c>
      <c r="D3016" s="3">
        <f>VLOOKUP(B3016,Sheet2!$A:$O,14,0)</f>
        <v>13330</v>
      </c>
    </row>
    <row r="3017" spans="1:4">
      <c r="A3017" s="8" t="s">
        <v>407</v>
      </c>
      <c r="B3017" s="5">
        <v>1700049</v>
      </c>
      <c r="C3017" s="5" t="s">
        <v>314</v>
      </c>
      <c r="D3017" s="3">
        <f>VLOOKUP(B3017,Sheet2!$A:$O,14,0)</f>
        <v>5785</v>
      </c>
    </row>
    <row r="3018" spans="1:4">
      <c r="A3018" s="8" t="s">
        <v>407</v>
      </c>
      <c r="B3018" s="5">
        <v>1700050</v>
      </c>
      <c r="C3018" s="5" t="s">
        <v>315</v>
      </c>
      <c r="D3018" s="3">
        <f>VLOOKUP(B3018,Sheet2!$A:$O,14,0)</f>
        <v>39000</v>
      </c>
    </row>
    <row r="3019" spans="1:4">
      <c r="A3019" s="8" t="s">
        <v>407</v>
      </c>
      <c r="B3019" s="5">
        <v>1700051</v>
      </c>
      <c r="C3019" s="5" t="s">
        <v>316</v>
      </c>
      <c r="D3019" s="3">
        <f>VLOOKUP(B3019,Sheet2!$A:$O,14,0)</f>
        <v>11500</v>
      </c>
    </row>
    <row r="3020" spans="1:4">
      <c r="A3020" s="8" t="s">
        <v>407</v>
      </c>
      <c r="B3020" s="5">
        <v>1700052</v>
      </c>
      <c r="C3020" s="5" t="s">
        <v>317</v>
      </c>
      <c r="D3020" s="3">
        <f>VLOOKUP(B3020,Sheet2!$A:$O,14,0)</f>
        <v>3444</v>
      </c>
    </row>
    <row r="3021" spans="1:4">
      <c r="A3021" s="8" t="s">
        <v>407</v>
      </c>
      <c r="B3021" s="5">
        <v>1700053</v>
      </c>
      <c r="C3021" s="5" t="s">
        <v>318</v>
      </c>
      <c r="D3021" s="3">
        <f>VLOOKUP(B3021,Sheet2!$A:$O,14,0)</f>
        <v>15530</v>
      </c>
    </row>
    <row r="3022" spans="1:4">
      <c r="A3022" s="8" t="s">
        <v>407</v>
      </c>
      <c r="B3022" s="5">
        <v>1700054</v>
      </c>
      <c r="C3022" s="5" t="s">
        <v>319</v>
      </c>
      <c r="D3022" s="3">
        <f>VLOOKUP(B3022,Sheet2!$A:$O,14,0)</f>
        <v>11670</v>
      </c>
    </row>
    <row r="3023" spans="1:4">
      <c r="A3023" s="8" t="s">
        <v>407</v>
      </c>
      <c r="B3023" s="5">
        <v>1700055</v>
      </c>
      <c r="C3023" s="5" t="s">
        <v>320</v>
      </c>
      <c r="D3023" s="3">
        <f>VLOOKUP(B3023,Sheet2!$A:$O,14,0)</f>
        <v>11940</v>
      </c>
    </row>
    <row r="3024" spans="1:4">
      <c r="A3024" s="8" t="s">
        <v>407</v>
      </c>
      <c r="B3024" s="5">
        <v>1700056</v>
      </c>
      <c r="C3024" s="5" t="s">
        <v>321</v>
      </c>
      <c r="D3024" s="3">
        <f>VLOOKUP(B3024,Sheet2!$A:$O,14,0)</f>
        <v>7001</v>
      </c>
    </row>
    <row r="3025" spans="1:4">
      <c r="A3025" s="8" t="s">
        <v>407</v>
      </c>
      <c r="B3025" s="5">
        <v>1700057</v>
      </c>
      <c r="C3025" s="5" t="s">
        <v>322</v>
      </c>
      <c r="D3025" s="3">
        <f>VLOOKUP(B3025,Sheet2!$A:$O,14,0)</f>
        <v>2098</v>
      </c>
    </row>
    <row r="3026" spans="1:4">
      <c r="A3026" s="8" t="s">
        <v>407</v>
      </c>
      <c r="B3026" s="5">
        <v>1700058</v>
      </c>
      <c r="C3026" s="5" t="s">
        <v>323</v>
      </c>
      <c r="D3026" s="3">
        <f>VLOOKUP(B3026,Sheet2!$A:$O,14,0)</f>
        <v>5800</v>
      </c>
    </row>
    <row r="3027" spans="1:4">
      <c r="A3027" s="8" t="s">
        <v>407</v>
      </c>
      <c r="B3027" s="5">
        <v>1700059</v>
      </c>
      <c r="C3027" s="5" t="s">
        <v>324</v>
      </c>
      <c r="D3027" s="3">
        <f>VLOOKUP(B3027,Sheet2!$A:$O,14,0)</f>
        <v>27667</v>
      </c>
    </row>
    <row r="3028" spans="1:4">
      <c r="A3028" s="8" t="s">
        <v>407</v>
      </c>
      <c r="B3028" s="5">
        <v>1700060</v>
      </c>
      <c r="C3028" s="5" t="s">
        <v>325</v>
      </c>
      <c r="D3028" s="3">
        <f>VLOOKUP(B3028,Sheet2!$A:$O,14,0)</f>
        <v>5471</v>
      </c>
    </row>
    <row r="3029" spans="1:4">
      <c r="A3029" s="8" t="s">
        <v>407</v>
      </c>
      <c r="B3029" s="5">
        <v>1700061</v>
      </c>
      <c r="C3029" s="5" t="s">
        <v>326</v>
      </c>
      <c r="D3029" s="3">
        <f>VLOOKUP(B3029,Sheet2!$A:$O,14,0)</f>
        <v>8920</v>
      </c>
    </row>
    <row r="3030" spans="1:4">
      <c r="A3030" s="8" t="s">
        <v>407</v>
      </c>
      <c r="B3030" s="5">
        <v>1700062</v>
      </c>
      <c r="C3030" s="5" t="s">
        <v>327</v>
      </c>
      <c r="D3030" s="3">
        <f>VLOOKUP(B3030,Sheet2!$A:$O,14,0)</f>
        <v>10520</v>
      </c>
    </row>
    <row r="3031" spans="1:4">
      <c r="A3031" s="8" t="s">
        <v>407</v>
      </c>
      <c r="B3031" s="5">
        <v>1700063</v>
      </c>
      <c r="C3031" s="5" t="s">
        <v>328</v>
      </c>
      <c r="D3031" s="3">
        <f>VLOOKUP(B3031,Sheet2!$A:$O,14,0)</f>
        <v>10550</v>
      </c>
    </row>
    <row r="3032" spans="1:4">
      <c r="A3032" s="8" t="s">
        <v>407</v>
      </c>
      <c r="B3032" s="5">
        <v>1700064</v>
      </c>
      <c r="C3032" s="5" t="s">
        <v>329</v>
      </c>
      <c r="D3032" s="3">
        <f>VLOOKUP(B3032,Sheet2!$A:$O,14,0)</f>
        <v>11060</v>
      </c>
    </row>
    <row r="3033" spans="1:4">
      <c r="A3033" s="8" t="s">
        <v>407</v>
      </c>
      <c r="B3033" s="5">
        <v>1700065</v>
      </c>
      <c r="C3033" s="5" t="s">
        <v>330</v>
      </c>
      <c r="D3033" s="3">
        <f>VLOOKUP(B3033,Sheet2!$A:$O,14,0)</f>
        <v>12760</v>
      </c>
    </row>
    <row r="3034" spans="1:4">
      <c r="A3034" s="8" t="s">
        <v>407</v>
      </c>
      <c r="B3034" s="5">
        <v>1700066</v>
      </c>
      <c r="C3034" s="5" t="s">
        <v>331</v>
      </c>
      <c r="D3034" s="3">
        <f>VLOOKUP(B3034,Sheet2!$A:$O,14,0)</f>
        <v>13200</v>
      </c>
    </row>
    <row r="3035" spans="1:4">
      <c r="A3035" s="8" t="s">
        <v>407</v>
      </c>
      <c r="B3035" s="5">
        <v>1700067</v>
      </c>
      <c r="C3035" s="5" t="s">
        <v>332</v>
      </c>
      <c r="D3035" s="3">
        <f>VLOOKUP(B3035,Sheet2!$A:$O,14,0)</f>
        <v>10720</v>
      </c>
    </row>
    <row r="3036" spans="1:4">
      <c r="A3036" s="8" t="s">
        <v>407</v>
      </c>
      <c r="B3036" s="5">
        <v>1700068</v>
      </c>
      <c r="C3036" s="5" t="s">
        <v>333</v>
      </c>
      <c r="D3036" s="3">
        <f>VLOOKUP(B3036,Sheet2!$A:$O,14,0)</f>
        <v>12720</v>
      </c>
    </row>
    <row r="3037" spans="1:4">
      <c r="A3037" s="8" t="s">
        <v>407</v>
      </c>
      <c r="B3037" s="5">
        <v>1700069</v>
      </c>
      <c r="C3037" s="5" t="s">
        <v>334</v>
      </c>
      <c r="D3037" s="3">
        <f>VLOOKUP(B3037,Sheet2!$A:$O,14,0)</f>
        <v>14000</v>
      </c>
    </row>
    <row r="3038" spans="1:4">
      <c r="A3038" s="8" t="s">
        <v>407</v>
      </c>
      <c r="B3038" s="5">
        <v>1700070</v>
      </c>
      <c r="C3038" s="5" t="s">
        <v>335</v>
      </c>
      <c r="D3038" s="3">
        <f>VLOOKUP(B3038,Sheet2!$A:$O,14,0)</f>
        <v>1618</v>
      </c>
    </row>
    <row r="3039" spans="1:4">
      <c r="A3039" s="8" t="s">
        <v>407</v>
      </c>
      <c r="B3039" s="5">
        <v>1700071</v>
      </c>
      <c r="C3039" s="5" t="s">
        <v>336</v>
      </c>
      <c r="D3039" s="3">
        <f>VLOOKUP(B3039,Sheet2!$A:$O,14,0)</f>
        <v>12190</v>
      </c>
    </row>
    <row r="3040" spans="1:4">
      <c r="A3040" s="8" t="s">
        <v>407</v>
      </c>
      <c r="B3040" s="5">
        <v>1700072</v>
      </c>
      <c r="C3040" s="5" t="s">
        <v>337</v>
      </c>
      <c r="D3040" s="3">
        <f>VLOOKUP(B3040,Sheet2!$A:$O,14,0)</f>
        <v>10180</v>
      </c>
    </row>
    <row r="3041" spans="1:4">
      <c r="A3041" s="8" t="s">
        <v>407</v>
      </c>
      <c r="B3041" s="5">
        <v>1700073</v>
      </c>
      <c r="C3041" s="5" t="s">
        <v>338</v>
      </c>
      <c r="D3041" s="3">
        <f>VLOOKUP(B3041,Sheet2!$A:$O,14,0)</f>
        <v>9020</v>
      </c>
    </row>
    <row r="3042" spans="1:4">
      <c r="A3042" s="8" t="s">
        <v>407</v>
      </c>
      <c r="B3042" s="5">
        <v>1700076</v>
      </c>
      <c r="C3042" s="5" t="s">
        <v>339</v>
      </c>
      <c r="D3042" s="3">
        <f>VLOOKUP(B3042,Sheet2!$A:$O,14,0)</f>
        <v>3279</v>
      </c>
    </row>
    <row r="3043" spans="1:4">
      <c r="A3043" s="8" t="s">
        <v>407</v>
      </c>
      <c r="B3043" s="5">
        <v>1700077</v>
      </c>
      <c r="C3043" s="5" t="s">
        <v>340</v>
      </c>
      <c r="D3043" s="3">
        <f>VLOOKUP(B3043,Sheet2!$A:$O,14,0)</f>
        <v>3098</v>
      </c>
    </row>
    <row r="3044" spans="1:4">
      <c r="A3044" s="8" t="s">
        <v>407</v>
      </c>
      <c r="B3044" s="5">
        <v>1700078</v>
      </c>
      <c r="C3044" s="5" t="s">
        <v>341</v>
      </c>
      <c r="D3044" s="3">
        <f>VLOOKUP(B3044,Sheet2!$A:$O,14,0)</f>
        <v>4716</v>
      </c>
    </row>
    <row r="3045" spans="1:4">
      <c r="A3045" s="8" t="s">
        <v>407</v>
      </c>
      <c r="B3045" s="5">
        <v>1700080</v>
      </c>
      <c r="C3045" s="5" t="s">
        <v>342</v>
      </c>
      <c r="D3045" s="3">
        <f>VLOOKUP(B3045,Sheet2!$A:$O,14,0)</f>
        <v>3529</v>
      </c>
    </row>
    <row r="3046" spans="1:4">
      <c r="A3046" s="8" t="s">
        <v>407</v>
      </c>
      <c r="B3046" s="5">
        <v>1700083</v>
      </c>
      <c r="C3046" s="5" t="s">
        <v>343</v>
      </c>
      <c r="D3046" s="3">
        <f>VLOOKUP(B3046,Sheet2!$A:$O,14,0)</f>
        <v>8333</v>
      </c>
    </row>
    <row r="3047" spans="1:4">
      <c r="A3047" s="8" t="s">
        <v>407</v>
      </c>
      <c r="B3047" s="5">
        <v>1700084</v>
      </c>
      <c r="C3047" s="5" t="s">
        <v>344</v>
      </c>
      <c r="D3047" s="3">
        <f>VLOOKUP(B3047,Sheet2!$A:$O,14,0)</f>
        <v>12010</v>
      </c>
    </row>
    <row r="3048" spans="1:4">
      <c r="A3048" s="8" t="s">
        <v>407</v>
      </c>
      <c r="B3048" s="5">
        <v>1700085</v>
      </c>
      <c r="C3048" s="5" t="s">
        <v>345</v>
      </c>
      <c r="D3048" s="3">
        <f>VLOOKUP(B3048,Sheet2!$A:$O,14,0)</f>
        <v>7860</v>
      </c>
    </row>
    <row r="3049" spans="1:4">
      <c r="A3049" s="8" t="s">
        <v>407</v>
      </c>
      <c r="B3049" s="5">
        <v>1700086</v>
      </c>
      <c r="C3049" s="5" t="s">
        <v>346</v>
      </c>
      <c r="D3049" s="3">
        <f>VLOOKUP(B3049,Sheet2!$A:$O,14,0)</f>
        <v>1814</v>
      </c>
    </row>
    <row r="3050" spans="1:4">
      <c r="A3050" s="8" t="s">
        <v>407</v>
      </c>
      <c r="B3050" s="5">
        <v>1700087</v>
      </c>
      <c r="C3050" s="5" t="s">
        <v>347</v>
      </c>
      <c r="D3050" s="3">
        <f>VLOOKUP(B3050,Sheet2!$A:$O,14,0)</f>
        <v>4890</v>
      </c>
    </row>
    <row r="3051" spans="1:4">
      <c r="A3051" s="8" t="s">
        <v>407</v>
      </c>
      <c r="B3051" s="5">
        <v>1700088</v>
      </c>
      <c r="C3051" s="5" t="s">
        <v>348</v>
      </c>
      <c r="D3051" s="3">
        <f>VLOOKUP(B3051,Sheet2!$A:$O,14,0)</f>
        <v>15500</v>
      </c>
    </row>
    <row r="3052" spans="1:4">
      <c r="A3052" s="8" t="s">
        <v>407</v>
      </c>
      <c r="B3052" s="5">
        <v>1700089</v>
      </c>
      <c r="C3052" s="5" t="s">
        <v>349</v>
      </c>
      <c r="D3052" s="3">
        <f>VLOOKUP(B3052,Sheet2!$A:$O,14,0)</f>
        <v>18500</v>
      </c>
    </row>
    <row r="3053" spans="1:4">
      <c r="A3053" s="8" t="s">
        <v>407</v>
      </c>
      <c r="B3053" s="5">
        <v>1700090</v>
      </c>
      <c r="C3053" s="5" t="s">
        <v>350</v>
      </c>
      <c r="D3053" s="3">
        <f>VLOOKUP(B3053,Sheet2!$A:$O,14,0)</f>
        <v>25490</v>
      </c>
    </row>
    <row r="3054" spans="1:4">
      <c r="A3054" s="8" t="s">
        <v>407</v>
      </c>
      <c r="B3054" s="5">
        <v>1700091</v>
      </c>
      <c r="C3054" s="5" t="s">
        <v>351</v>
      </c>
      <c r="D3054" s="3">
        <f>VLOOKUP(B3054,Sheet2!$A:$O,14,0)</f>
        <v>18353</v>
      </c>
    </row>
    <row r="3055" spans="1:4">
      <c r="A3055" s="8" t="s">
        <v>407</v>
      </c>
      <c r="B3055" s="5">
        <v>1700092</v>
      </c>
      <c r="C3055" s="5" t="s">
        <v>352</v>
      </c>
      <c r="D3055" s="3">
        <f>VLOOKUP(B3055,Sheet2!$A:$O,14,0)</f>
        <v>1784</v>
      </c>
    </row>
    <row r="3056" spans="1:4">
      <c r="A3056" s="8" t="s">
        <v>407</v>
      </c>
      <c r="B3056" s="5">
        <v>1700093</v>
      </c>
      <c r="C3056" s="5" t="s">
        <v>353</v>
      </c>
      <c r="D3056" s="3">
        <f>VLOOKUP(B3056,Sheet2!$A:$O,14,0)</f>
        <v>11180</v>
      </c>
    </row>
    <row r="3057" spans="1:4">
      <c r="A3057" s="8" t="s">
        <v>407</v>
      </c>
      <c r="B3057" s="5">
        <v>1700094</v>
      </c>
      <c r="C3057" s="5" t="s">
        <v>354</v>
      </c>
      <c r="D3057" s="3">
        <f>VLOOKUP(B3057,Sheet2!$A:$O,14,0)</f>
        <v>13529</v>
      </c>
    </row>
    <row r="3058" spans="1:4">
      <c r="A3058" s="8" t="s">
        <v>407</v>
      </c>
      <c r="B3058" s="5">
        <v>1700095</v>
      </c>
      <c r="C3058" s="5" t="s">
        <v>355</v>
      </c>
      <c r="D3058" s="3">
        <f>VLOOKUP(B3058,Sheet2!$A:$O,14,0)</f>
        <v>4500</v>
      </c>
    </row>
    <row r="3059" spans="1:4">
      <c r="A3059" s="8" t="s">
        <v>407</v>
      </c>
      <c r="B3059" s="5">
        <v>1700096</v>
      </c>
      <c r="C3059" s="5" t="s">
        <v>356</v>
      </c>
      <c r="D3059" s="3">
        <f>VLOOKUP(B3059,Sheet2!$A:$O,14,0)</f>
        <v>24510</v>
      </c>
    </row>
    <row r="3060" spans="1:4">
      <c r="A3060" s="8" t="s">
        <v>407</v>
      </c>
      <c r="B3060" s="5">
        <v>1700097</v>
      </c>
      <c r="C3060" s="5" t="s">
        <v>357</v>
      </c>
      <c r="D3060" s="3">
        <f>VLOOKUP(B3060,Sheet2!$A:$O,14,0)</f>
        <v>19608</v>
      </c>
    </row>
    <row r="3061" spans="1:4">
      <c r="A3061" s="8" t="s">
        <v>407</v>
      </c>
      <c r="B3061" s="5">
        <v>1700098</v>
      </c>
      <c r="C3061" s="5" t="s">
        <v>358</v>
      </c>
      <c r="D3061" s="3">
        <f>VLOOKUP(B3061,Sheet2!$A:$O,14,0)</f>
        <v>19608</v>
      </c>
    </row>
    <row r="3062" spans="1:4">
      <c r="A3062" s="8" t="s">
        <v>407</v>
      </c>
      <c r="B3062" s="5">
        <v>1700099</v>
      </c>
      <c r="C3062" s="5" t="s">
        <v>359</v>
      </c>
      <c r="D3062" s="3">
        <f>VLOOKUP(B3062,Sheet2!$A:$O,14,0)</f>
        <v>9000</v>
      </c>
    </row>
    <row r="3063" spans="1:4">
      <c r="A3063" s="8" t="s">
        <v>407</v>
      </c>
      <c r="B3063" s="5">
        <v>1700100</v>
      </c>
      <c r="C3063" s="5" t="s">
        <v>360</v>
      </c>
      <c r="D3063" s="3">
        <f>VLOOKUP(B3063,Sheet2!$A:$O,14,0)</f>
        <v>3333</v>
      </c>
    </row>
    <row r="3064" spans="1:4">
      <c r="A3064" s="8" t="s">
        <v>407</v>
      </c>
      <c r="B3064" s="5">
        <v>1700101</v>
      </c>
      <c r="C3064" s="5" t="s">
        <v>361</v>
      </c>
      <c r="D3064" s="3">
        <f>VLOOKUP(B3064,Sheet2!$A:$O,14,0)</f>
        <v>7647</v>
      </c>
    </row>
    <row r="3065" spans="1:4">
      <c r="A3065" s="8" t="s">
        <v>407</v>
      </c>
      <c r="B3065" s="5">
        <v>1700102</v>
      </c>
      <c r="C3065" s="5" t="s">
        <v>362</v>
      </c>
      <c r="D3065" s="3">
        <f>VLOOKUP(B3065,Sheet2!$A:$O,14,0)</f>
        <v>40197</v>
      </c>
    </row>
    <row r="3066" spans="1:4">
      <c r="A3066" s="8" t="s">
        <v>407</v>
      </c>
      <c r="B3066" s="5">
        <v>1700103</v>
      </c>
      <c r="C3066" s="5" t="s">
        <v>363</v>
      </c>
      <c r="D3066" s="3">
        <f>VLOOKUP(B3066,Sheet2!$A:$O,14,0)</f>
        <v>9000</v>
      </c>
    </row>
    <row r="3067" spans="1:4">
      <c r="A3067" s="8" t="s">
        <v>407</v>
      </c>
      <c r="B3067" s="5">
        <v>1700104</v>
      </c>
      <c r="C3067" s="5" t="s">
        <v>364</v>
      </c>
      <c r="D3067" s="3">
        <f>VLOOKUP(B3067,Sheet2!$A:$O,14,0)</f>
        <v>25000</v>
      </c>
    </row>
    <row r="3068" spans="1:4">
      <c r="A3068" s="8" t="s">
        <v>407</v>
      </c>
      <c r="B3068" s="5">
        <v>1700105</v>
      </c>
      <c r="C3068" s="5" t="s">
        <v>365</v>
      </c>
      <c r="D3068" s="3">
        <f>VLOOKUP(B3068,Sheet2!$A:$O,14,0)</f>
        <v>10588</v>
      </c>
    </row>
    <row r="3069" spans="1:4">
      <c r="A3069" s="8" t="s">
        <v>407</v>
      </c>
      <c r="B3069" s="5">
        <v>1700106</v>
      </c>
      <c r="C3069" s="5" t="s">
        <v>366</v>
      </c>
      <c r="D3069" s="3">
        <f>VLOOKUP(B3069,Sheet2!$A:$O,14,0)</f>
        <v>14020</v>
      </c>
    </row>
    <row r="3070" spans="1:4">
      <c r="A3070" s="8" t="s">
        <v>407</v>
      </c>
      <c r="B3070" s="5">
        <v>1700107</v>
      </c>
      <c r="C3070" s="5" t="s">
        <v>367</v>
      </c>
      <c r="D3070" s="3">
        <f>VLOOKUP(B3070,Sheet2!$A:$O,14,0)</f>
        <v>9020</v>
      </c>
    </row>
    <row r="3071" spans="1:4">
      <c r="A3071" s="8" t="s">
        <v>407</v>
      </c>
      <c r="B3071" s="5">
        <v>1800002</v>
      </c>
      <c r="C3071" s="5" t="s">
        <v>368</v>
      </c>
      <c r="D3071" s="3">
        <f>VLOOKUP(B3071,Sheet2!$A:$O,14,0)</f>
        <v>9520</v>
      </c>
    </row>
    <row r="3072" spans="1:4">
      <c r="A3072" s="8" t="s">
        <v>407</v>
      </c>
      <c r="B3072" s="5">
        <v>1800004</v>
      </c>
      <c r="C3072" s="5" t="s">
        <v>369</v>
      </c>
      <c r="D3072" s="3">
        <f>VLOOKUP(B3072,Sheet2!$A:$O,14,0)</f>
        <v>0</v>
      </c>
    </row>
    <row r="3073" spans="1:4">
      <c r="A3073" s="8" t="s">
        <v>407</v>
      </c>
      <c r="B3073" s="5">
        <v>1800005</v>
      </c>
      <c r="C3073" s="5" t="s">
        <v>370</v>
      </c>
      <c r="D3073" s="3">
        <f>VLOOKUP(B3073,Sheet2!$A:$O,14,0)</f>
        <v>0</v>
      </c>
    </row>
    <row r="3074" spans="1:4">
      <c r="A3074" s="8" t="s">
        <v>407</v>
      </c>
      <c r="B3074" s="5">
        <v>1800006</v>
      </c>
      <c r="C3074" s="5" t="s">
        <v>371</v>
      </c>
      <c r="D3074" s="3">
        <f>VLOOKUP(B3074,Sheet2!$A:$O,14,0)</f>
        <v>0</v>
      </c>
    </row>
    <row r="3075" spans="1:4">
      <c r="A3075" s="8" t="s">
        <v>407</v>
      </c>
      <c r="B3075" s="5">
        <v>1800007</v>
      </c>
      <c r="C3075" s="5" t="s">
        <v>372</v>
      </c>
      <c r="D3075" s="3">
        <f>VLOOKUP(B3075,Sheet2!$A:$O,14,0)</f>
        <v>10000</v>
      </c>
    </row>
    <row r="3076" spans="1:4">
      <c r="A3076" s="8" t="s">
        <v>407</v>
      </c>
      <c r="B3076" s="5">
        <v>1800008</v>
      </c>
      <c r="C3076" s="5" t="s">
        <v>373</v>
      </c>
      <c r="D3076" s="3">
        <f>VLOOKUP(B3076,Sheet2!$A:$O,14,0)</f>
        <v>10230</v>
      </c>
    </row>
    <row r="3077" spans="1:4">
      <c r="A3077" s="8" t="s">
        <v>407</v>
      </c>
      <c r="B3077" s="5">
        <v>1800009</v>
      </c>
      <c r="C3077" s="5" t="s">
        <v>374</v>
      </c>
      <c r="D3077" s="3">
        <f>VLOOKUP(B3077,Sheet2!$A:$O,14,0)</f>
        <v>11800</v>
      </c>
    </row>
    <row r="3078" spans="1:4">
      <c r="A3078" s="8" t="s">
        <v>407</v>
      </c>
      <c r="B3078" s="5">
        <v>1800010</v>
      </c>
      <c r="C3078" s="5" t="s">
        <v>375</v>
      </c>
      <c r="D3078" s="3">
        <f>VLOOKUP(B3078,Sheet2!$A:$O,14,0)</f>
        <v>6863</v>
      </c>
    </row>
    <row r="3079" spans="1:4">
      <c r="A3079" s="8" t="s">
        <v>407</v>
      </c>
      <c r="B3079" s="5">
        <v>1800011</v>
      </c>
      <c r="C3079" s="5" t="s">
        <v>376</v>
      </c>
      <c r="D3079" s="3">
        <f>VLOOKUP(B3079,Sheet2!$A:$O,14,0)</f>
        <v>13235</v>
      </c>
    </row>
    <row r="3080" spans="1:4">
      <c r="A3080" s="8" t="s">
        <v>407</v>
      </c>
      <c r="B3080" s="5">
        <v>1800012</v>
      </c>
      <c r="C3080" s="5" t="s">
        <v>377</v>
      </c>
      <c r="D3080" s="3">
        <f>VLOOKUP(B3080,Sheet2!$A:$O,14,0)</f>
        <v>8235</v>
      </c>
    </row>
    <row r="3081" spans="1:4">
      <c r="A3081" s="8" t="s">
        <v>407</v>
      </c>
      <c r="B3081" s="5">
        <v>1800013</v>
      </c>
      <c r="C3081" s="5" t="s">
        <v>378</v>
      </c>
      <c r="D3081" s="3">
        <f>VLOOKUP(B3081,Sheet2!$A:$O,14,0)</f>
        <v>49100</v>
      </c>
    </row>
    <row r="3082" spans="1:4">
      <c r="A3082" s="8" t="s">
        <v>407</v>
      </c>
      <c r="B3082" s="5">
        <v>1800014</v>
      </c>
      <c r="C3082" s="5" t="s">
        <v>379</v>
      </c>
      <c r="D3082" s="3">
        <f>VLOOKUP(B3082,Sheet2!$A:$O,14,0)</f>
        <v>70000</v>
      </c>
    </row>
    <row r="3083" spans="1:4">
      <c r="A3083" s="8" t="s">
        <v>407</v>
      </c>
      <c r="B3083" s="5">
        <v>1800015</v>
      </c>
      <c r="C3083" s="5" t="s">
        <v>380</v>
      </c>
      <c r="D3083" s="3">
        <f>VLOOKUP(B3083,Sheet2!$A:$O,14,0)</f>
        <v>66700</v>
      </c>
    </row>
    <row r="3084" spans="1:4">
      <c r="A3084" s="8" t="s">
        <v>407</v>
      </c>
      <c r="B3084" s="5">
        <v>1900013</v>
      </c>
      <c r="C3084" s="5" t="s">
        <v>381</v>
      </c>
      <c r="D3084" s="3">
        <f>VLOOKUP(B3084,Sheet2!$A:$O,14,0)</f>
        <v>0</v>
      </c>
    </row>
    <row r="3085" spans="1:4">
      <c r="A3085" s="8" t="s">
        <v>407</v>
      </c>
      <c r="B3085" s="5">
        <v>1900018</v>
      </c>
      <c r="C3085" s="5" t="s">
        <v>382</v>
      </c>
      <c r="D3085" s="3">
        <f>VLOOKUP(B3085,Sheet2!$A:$O,14,0)</f>
        <v>0</v>
      </c>
    </row>
    <row r="3086" spans="1:4">
      <c r="A3086" s="2" t="s">
        <v>212</v>
      </c>
      <c r="B3086" s="2">
        <v>1010101</v>
      </c>
      <c r="C3086" s="2" t="s">
        <v>5</v>
      </c>
      <c r="D3086" s="3">
        <v>701</v>
      </c>
    </row>
    <row r="3087" spans="1:4">
      <c r="A3087" s="2" t="s">
        <v>212</v>
      </c>
      <c r="B3087" s="2">
        <v>1010111</v>
      </c>
      <c r="C3087" s="2" t="s">
        <v>9</v>
      </c>
      <c r="D3087" s="3">
        <v>19100</v>
      </c>
    </row>
    <row r="3088" spans="1:4">
      <c r="A3088" s="2" t="s">
        <v>212</v>
      </c>
      <c r="B3088" s="2">
        <v>1010201</v>
      </c>
      <c r="C3088" s="2" t="s">
        <v>11</v>
      </c>
      <c r="D3088" s="3">
        <v>1373</v>
      </c>
    </row>
    <row r="3089" spans="1:4">
      <c r="A3089" s="2" t="s">
        <v>212</v>
      </c>
      <c r="B3089" s="2">
        <v>1010300</v>
      </c>
      <c r="C3089" s="2" t="s">
        <v>213</v>
      </c>
      <c r="D3089" s="3">
        <v>9020</v>
      </c>
    </row>
    <row r="3090" spans="1:4">
      <c r="A3090" s="2" t="s">
        <v>212</v>
      </c>
      <c r="B3090" s="2">
        <v>1010301</v>
      </c>
      <c r="C3090" s="2" t="s">
        <v>214</v>
      </c>
      <c r="D3090" s="3">
        <v>6765</v>
      </c>
    </row>
    <row r="3091" spans="1:4">
      <c r="A3091" s="2" t="s">
        <v>212</v>
      </c>
      <c r="B3091" s="2">
        <v>1010302</v>
      </c>
      <c r="C3091" s="2" t="s">
        <v>16</v>
      </c>
      <c r="D3091" s="3">
        <v>4314</v>
      </c>
    </row>
    <row r="3092" spans="1:4">
      <c r="A3092" s="2" t="s">
        <v>212</v>
      </c>
      <c r="B3092" s="2">
        <v>1010303</v>
      </c>
      <c r="C3092" s="2" t="s">
        <v>18</v>
      </c>
      <c r="D3092" s="3">
        <v>882</v>
      </c>
    </row>
    <row r="3093" spans="1:4">
      <c r="A3093" s="2" t="s">
        <v>212</v>
      </c>
      <c r="B3093" s="2">
        <v>1010304</v>
      </c>
      <c r="C3093" s="2" t="s">
        <v>215</v>
      </c>
      <c r="D3093" s="3">
        <v>1422</v>
      </c>
    </row>
    <row r="3094" spans="1:4">
      <c r="A3094" s="2" t="s">
        <v>212</v>
      </c>
      <c r="B3094" s="2">
        <v>1010401</v>
      </c>
      <c r="C3094" s="2" t="s">
        <v>20</v>
      </c>
      <c r="D3094" s="3">
        <v>3627</v>
      </c>
    </row>
    <row r="3095" spans="1:4">
      <c r="A3095" s="2" t="s">
        <v>212</v>
      </c>
      <c r="B3095" s="2">
        <v>1010405</v>
      </c>
      <c r="C3095" s="2" t="s">
        <v>22</v>
      </c>
      <c r="D3095" s="3">
        <v>9975</v>
      </c>
    </row>
    <row r="3096" spans="1:4">
      <c r="A3096" s="2" t="s">
        <v>212</v>
      </c>
      <c r="B3096" s="2">
        <v>1010501</v>
      </c>
      <c r="C3096" s="2" t="s">
        <v>24</v>
      </c>
      <c r="D3096" s="3">
        <v>980</v>
      </c>
    </row>
    <row r="3097" spans="1:4">
      <c r="A3097" s="2" t="s">
        <v>212</v>
      </c>
      <c r="B3097" s="2">
        <v>1010502</v>
      </c>
      <c r="C3097" s="2" t="s">
        <v>216</v>
      </c>
      <c r="D3097" s="3">
        <v>0</v>
      </c>
    </row>
    <row r="3098" spans="1:4">
      <c r="A3098" s="2" t="s">
        <v>212</v>
      </c>
      <c r="B3098" s="2">
        <v>1010601</v>
      </c>
      <c r="C3098" s="2" t="s">
        <v>26</v>
      </c>
      <c r="D3098" s="3">
        <v>4412</v>
      </c>
    </row>
    <row r="3099" spans="1:4">
      <c r="A3099" s="2" t="s">
        <v>212</v>
      </c>
      <c r="B3099" s="2">
        <v>1010701</v>
      </c>
      <c r="C3099" s="2" t="s">
        <v>28</v>
      </c>
      <c r="D3099" s="3">
        <v>686</v>
      </c>
    </row>
    <row r="3100" spans="1:4">
      <c r="A3100" s="2" t="s">
        <v>212</v>
      </c>
      <c r="B3100" s="2">
        <v>1010801</v>
      </c>
      <c r="C3100" s="2" t="s">
        <v>30</v>
      </c>
      <c r="D3100" s="3">
        <v>9118</v>
      </c>
    </row>
    <row r="3101" spans="1:4">
      <c r="A3101" s="2" t="s">
        <v>212</v>
      </c>
      <c r="B3101" s="2">
        <v>1010901</v>
      </c>
      <c r="C3101" s="2" t="s">
        <v>32</v>
      </c>
      <c r="D3101" s="3">
        <v>4804</v>
      </c>
    </row>
    <row r="3102" spans="1:4">
      <c r="A3102" s="2" t="s">
        <v>212</v>
      </c>
      <c r="B3102" s="2">
        <v>1020101</v>
      </c>
      <c r="C3102" s="2" t="s">
        <v>34</v>
      </c>
      <c r="D3102" s="3">
        <v>17451</v>
      </c>
    </row>
    <row r="3103" spans="1:4">
      <c r="A3103" s="2" t="s">
        <v>212</v>
      </c>
      <c r="B3103" s="2">
        <v>1020201</v>
      </c>
      <c r="C3103" s="2" t="s">
        <v>217</v>
      </c>
      <c r="D3103" s="3">
        <v>5600</v>
      </c>
    </row>
    <row r="3104" spans="1:4">
      <c r="A3104" s="2" t="s">
        <v>212</v>
      </c>
      <c r="B3104" s="2">
        <v>1020301</v>
      </c>
      <c r="C3104" s="2" t="s">
        <v>38</v>
      </c>
      <c r="D3104" s="3">
        <v>2200</v>
      </c>
    </row>
    <row r="3105" spans="1:4">
      <c r="A3105" s="2" t="s">
        <v>212</v>
      </c>
      <c r="B3105" s="2">
        <v>1020401</v>
      </c>
      <c r="C3105" s="2" t="s">
        <v>40</v>
      </c>
      <c r="D3105" s="3">
        <v>3500</v>
      </c>
    </row>
    <row r="3106" spans="1:4">
      <c r="A3106" s="2" t="s">
        <v>212</v>
      </c>
      <c r="B3106" s="2">
        <v>1030102</v>
      </c>
      <c r="C3106" s="2" t="s">
        <v>218</v>
      </c>
      <c r="D3106" s="3">
        <v>0</v>
      </c>
    </row>
    <row r="3107" spans="1:4">
      <c r="A3107" s="2" t="s">
        <v>212</v>
      </c>
      <c r="B3107" s="2">
        <v>1030201</v>
      </c>
      <c r="C3107" s="2" t="s">
        <v>42</v>
      </c>
      <c r="D3107" s="3">
        <v>2843</v>
      </c>
    </row>
    <row r="3108" spans="1:4">
      <c r="A3108" s="2" t="s">
        <v>212</v>
      </c>
      <c r="B3108" s="2">
        <v>1030203</v>
      </c>
      <c r="C3108" s="2" t="s">
        <v>219</v>
      </c>
      <c r="D3108" s="3">
        <v>0</v>
      </c>
    </row>
    <row r="3109" spans="1:4">
      <c r="A3109" s="2" t="s">
        <v>212</v>
      </c>
      <c r="B3109" s="2">
        <v>1030204</v>
      </c>
      <c r="C3109" s="2" t="s">
        <v>220</v>
      </c>
      <c r="D3109" s="3">
        <v>0</v>
      </c>
    </row>
    <row r="3110" spans="1:4">
      <c r="A3110" s="2" t="s">
        <v>212</v>
      </c>
      <c r="B3110" s="2">
        <v>1030205</v>
      </c>
      <c r="C3110" s="2" t="s">
        <v>44</v>
      </c>
      <c r="D3110" s="3">
        <v>5000</v>
      </c>
    </row>
    <row r="3111" spans="1:4">
      <c r="A3111" s="2" t="s">
        <v>212</v>
      </c>
      <c r="B3111" s="2">
        <v>1030206</v>
      </c>
      <c r="C3111" s="2" t="s">
        <v>46</v>
      </c>
      <c r="D3111" s="3">
        <v>6200</v>
      </c>
    </row>
    <row r="3112" spans="1:4">
      <c r="A3112" s="2" t="s">
        <v>212</v>
      </c>
      <c r="B3112" s="2">
        <v>1030207</v>
      </c>
      <c r="C3112" s="2" t="s">
        <v>48</v>
      </c>
      <c r="D3112" s="3">
        <v>4600</v>
      </c>
    </row>
    <row r="3113" spans="1:4">
      <c r="A3113" s="2" t="s">
        <v>212</v>
      </c>
      <c r="B3113" s="2">
        <v>1030501</v>
      </c>
      <c r="C3113" s="2" t="s">
        <v>50</v>
      </c>
      <c r="D3113" s="3">
        <v>1127</v>
      </c>
    </row>
    <row r="3114" spans="1:4">
      <c r="A3114" s="2" t="s">
        <v>212</v>
      </c>
      <c r="B3114" s="2">
        <v>1030601</v>
      </c>
      <c r="C3114" s="2" t="s">
        <v>52</v>
      </c>
      <c r="D3114" s="3">
        <v>3000</v>
      </c>
    </row>
    <row r="3115" spans="1:4">
      <c r="A3115" s="2" t="s">
        <v>212</v>
      </c>
      <c r="B3115" s="2">
        <v>1030701</v>
      </c>
      <c r="C3115" s="2" t="s">
        <v>221</v>
      </c>
      <c r="D3115" s="3">
        <v>3000</v>
      </c>
    </row>
    <row r="3116" spans="1:4">
      <c r="A3116" s="2" t="s">
        <v>212</v>
      </c>
      <c r="B3116" s="2">
        <v>1030705</v>
      </c>
      <c r="C3116" s="2" t="s">
        <v>222</v>
      </c>
      <c r="D3116" s="3">
        <v>0</v>
      </c>
    </row>
    <row r="3117" spans="1:4">
      <c r="A3117" s="2" t="s">
        <v>212</v>
      </c>
      <c r="B3117" s="2">
        <v>1030801</v>
      </c>
      <c r="C3117" s="2" t="s">
        <v>54</v>
      </c>
      <c r="D3117" s="3">
        <v>1176</v>
      </c>
    </row>
    <row r="3118" spans="1:4">
      <c r="A3118" s="2" t="s">
        <v>212</v>
      </c>
      <c r="B3118" s="2">
        <v>1030901</v>
      </c>
      <c r="C3118" s="2" t="s">
        <v>223</v>
      </c>
      <c r="D3118" s="3">
        <v>0</v>
      </c>
    </row>
    <row r="3119" spans="1:4">
      <c r="A3119" s="2" t="s">
        <v>212</v>
      </c>
      <c r="B3119" s="2">
        <v>1040201</v>
      </c>
      <c r="C3119" s="2" t="s">
        <v>56</v>
      </c>
      <c r="D3119" s="3">
        <v>1450</v>
      </c>
    </row>
    <row r="3120" spans="1:4">
      <c r="A3120" s="2" t="s">
        <v>212</v>
      </c>
      <c r="B3120" s="2">
        <v>1040202</v>
      </c>
      <c r="C3120" s="2" t="s">
        <v>224</v>
      </c>
      <c r="D3120" s="3">
        <v>0</v>
      </c>
    </row>
    <row r="3121" spans="1:4">
      <c r="A3121" s="2" t="s">
        <v>212</v>
      </c>
      <c r="B3121" s="2">
        <v>1040203</v>
      </c>
      <c r="C3121" s="2" t="s">
        <v>225</v>
      </c>
      <c r="D3121" s="3">
        <v>0</v>
      </c>
    </row>
    <row r="3122" spans="1:4">
      <c r="A3122" s="2" t="s">
        <v>212</v>
      </c>
      <c r="B3122" s="2">
        <v>1040204</v>
      </c>
      <c r="C3122" s="2" t="s">
        <v>226</v>
      </c>
      <c r="D3122" s="3">
        <v>8583</v>
      </c>
    </row>
    <row r="3123" spans="1:4">
      <c r="A3123" s="2" t="s">
        <v>212</v>
      </c>
      <c r="B3123" s="2">
        <v>1040301</v>
      </c>
      <c r="C3123" s="2" t="s">
        <v>58</v>
      </c>
      <c r="D3123" s="3">
        <v>1650</v>
      </c>
    </row>
    <row r="3124" spans="1:4">
      <c r="A3124" s="2" t="s">
        <v>212</v>
      </c>
      <c r="B3124" s="2">
        <v>1040401</v>
      </c>
      <c r="C3124" s="2" t="s">
        <v>227</v>
      </c>
      <c r="D3124" s="3">
        <v>0</v>
      </c>
    </row>
    <row r="3125" spans="1:4">
      <c r="A3125" s="2" t="s">
        <v>212</v>
      </c>
      <c r="B3125" s="2">
        <v>1050102</v>
      </c>
      <c r="C3125" s="2" t="s">
        <v>60</v>
      </c>
      <c r="D3125" s="3">
        <v>31000</v>
      </c>
    </row>
    <row r="3126" spans="1:4">
      <c r="A3126" s="2" t="s">
        <v>212</v>
      </c>
      <c r="B3126" s="2">
        <v>1050103</v>
      </c>
      <c r="C3126" s="2" t="s">
        <v>228</v>
      </c>
      <c r="D3126" s="3">
        <v>11275</v>
      </c>
    </row>
    <row r="3127" spans="1:4">
      <c r="A3127" s="2" t="s">
        <v>212</v>
      </c>
      <c r="B3127" s="2">
        <v>1050301</v>
      </c>
      <c r="C3127" s="2" t="s">
        <v>62</v>
      </c>
      <c r="D3127" s="3">
        <v>9804</v>
      </c>
    </row>
    <row r="3128" spans="1:4">
      <c r="A3128" s="2" t="s">
        <v>212</v>
      </c>
      <c r="B3128" s="2">
        <v>1050401</v>
      </c>
      <c r="C3128" s="2" t="s">
        <v>64</v>
      </c>
      <c r="D3128" s="3">
        <v>8824</v>
      </c>
    </row>
    <row r="3129" spans="1:4">
      <c r="A3129" s="2" t="s">
        <v>212</v>
      </c>
      <c r="B3129" s="2">
        <v>1050501</v>
      </c>
      <c r="C3129" s="2" t="s">
        <v>66</v>
      </c>
      <c r="D3129" s="3">
        <v>10784</v>
      </c>
    </row>
    <row r="3130" spans="1:4">
      <c r="A3130" s="2" t="s">
        <v>212</v>
      </c>
      <c r="B3130" s="2">
        <v>1050511</v>
      </c>
      <c r="C3130" s="2" t="s">
        <v>68</v>
      </c>
      <c r="D3130" s="3">
        <v>18000</v>
      </c>
    </row>
    <row r="3131" spans="1:4">
      <c r="A3131" s="2" t="s">
        <v>212</v>
      </c>
      <c r="B3131" s="2">
        <v>1050512</v>
      </c>
      <c r="C3131" s="2" t="s">
        <v>229</v>
      </c>
      <c r="D3131" s="3">
        <v>0</v>
      </c>
    </row>
    <row r="3132" spans="1:4">
      <c r="A3132" s="2" t="s">
        <v>212</v>
      </c>
      <c r="B3132" s="2">
        <v>1050521</v>
      </c>
      <c r="C3132" s="2" t="s">
        <v>70</v>
      </c>
      <c r="D3132" s="3">
        <v>14706</v>
      </c>
    </row>
    <row r="3133" spans="1:4">
      <c r="A3133" s="2" t="s">
        <v>212</v>
      </c>
      <c r="B3133" s="2">
        <v>1050531</v>
      </c>
      <c r="C3133" s="2" t="s">
        <v>72</v>
      </c>
      <c r="D3133" s="3">
        <v>21000</v>
      </c>
    </row>
    <row r="3134" spans="1:4">
      <c r="A3134" s="2" t="s">
        <v>212</v>
      </c>
      <c r="B3134" s="2">
        <v>1050541</v>
      </c>
      <c r="C3134" s="2" t="s">
        <v>74</v>
      </c>
      <c r="D3134" s="3">
        <v>11000</v>
      </c>
    </row>
    <row r="3135" spans="1:4">
      <c r="A3135" s="2" t="s">
        <v>212</v>
      </c>
      <c r="B3135" s="2">
        <v>1050551</v>
      </c>
      <c r="C3135" s="2" t="s">
        <v>76</v>
      </c>
      <c r="D3135" s="3">
        <v>54000</v>
      </c>
    </row>
    <row r="3136" spans="1:4">
      <c r="A3136" s="2" t="s">
        <v>212</v>
      </c>
      <c r="B3136" s="2">
        <v>1050561</v>
      </c>
      <c r="C3136" s="2" t="s">
        <v>78</v>
      </c>
      <c r="D3136" s="3">
        <v>77321</v>
      </c>
    </row>
    <row r="3137" spans="1:4">
      <c r="A3137" s="2" t="s">
        <v>212</v>
      </c>
      <c r="B3137" s="2">
        <v>1050571</v>
      </c>
      <c r="C3137" s="2" t="s">
        <v>80</v>
      </c>
      <c r="D3137" s="3">
        <v>58000</v>
      </c>
    </row>
    <row r="3138" spans="1:4">
      <c r="A3138" s="2" t="s">
        <v>212</v>
      </c>
      <c r="B3138" s="2">
        <v>1050581</v>
      </c>
      <c r="C3138" s="2" t="s">
        <v>82</v>
      </c>
      <c r="D3138" s="3">
        <v>57000</v>
      </c>
    </row>
    <row r="3139" spans="1:4">
      <c r="A3139" s="2" t="s">
        <v>212</v>
      </c>
      <c r="B3139" s="2">
        <v>1050591</v>
      </c>
      <c r="C3139" s="2" t="s">
        <v>84</v>
      </c>
      <c r="D3139" s="3">
        <v>97750</v>
      </c>
    </row>
    <row r="3140" spans="1:4">
      <c r="A3140" s="2" t="s">
        <v>212</v>
      </c>
      <c r="B3140" s="2">
        <v>1050601</v>
      </c>
      <c r="C3140" s="2" t="s">
        <v>86</v>
      </c>
      <c r="D3140" s="3">
        <v>5900</v>
      </c>
    </row>
    <row r="3141" spans="1:4">
      <c r="A3141" s="2" t="s">
        <v>212</v>
      </c>
      <c r="B3141" s="2">
        <v>1050701</v>
      </c>
      <c r="C3141" s="2" t="s">
        <v>88</v>
      </c>
      <c r="D3141" s="3">
        <v>6300</v>
      </c>
    </row>
    <row r="3142" spans="1:4">
      <c r="A3142" s="2" t="s">
        <v>212</v>
      </c>
      <c r="B3142" s="2">
        <v>1050702</v>
      </c>
      <c r="C3142" s="2" t="s">
        <v>90</v>
      </c>
      <c r="D3142" s="3">
        <v>6000</v>
      </c>
    </row>
    <row r="3143" spans="1:4">
      <c r="A3143" s="2" t="s">
        <v>212</v>
      </c>
      <c r="B3143" s="2">
        <v>1050711</v>
      </c>
      <c r="C3143" s="2" t="s">
        <v>92</v>
      </c>
      <c r="D3143" s="3">
        <v>2900</v>
      </c>
    </row>
    <row r="3144" spans="1:4">
      <c r="A3144" s="2" t="s">
        <v>212</v>
      </c>
      <c r="B3144" s="2">
        <v>1050721</v>
      </c>
      <c r="C3144" s="2" t="s">
        <v>94</v>
      </c>
      <c r="D3144" s="3">
        <v>13549</v>
      </c>
    </row>
    <row r="3145" spans="1:4">
      <c r="A3145" s="2" t="s">
        <v>212</v>
      </c>
      <c r="B3145" s="2">
        <v>1050801</v>
      </c>
      <c r="C3145" s="2" t="s">
        <v>7</v>
      </c>
      <c r="D3145" s="3">
        <v>922</v>
      </c>
    </row>
    <row r="3146" spans="1:4">
      <c r="A3146" s="2" t="s">
        <v>212</v>
      </c>
      <c r="B3146" s="2">
        <v>1050901</v>
      </c>
      <c r="C3146" s="2" t="s">
        <v>96</v>
      </c>
      <c r="D3146" s="3">
        <v>1216</v>
      </c>
    </row>
    <row r="3147" spans="1:4">
      <c r="A3147" s="2" t="s">
        <v>212</v>
      </c>
      <c r="B3147" s="2">
        <v>1060101</v>
      </c>
      <c r="C3147" s="2" t="s">
        <v>98</v>
      </c>
      <c r="D3147" s="3">
        <v>2200</v>
      </c>
    </row>
    <row r="3148" spans="1:4">
      <c r="A3148" s="2" t="s">
        <v>212</v>
      </c>
      <c r="B3148" s="2">
        <v>1060401</v>
      </c>
      <c r="C3148" s="2" t="s">
        <v>100</v>
      </c>
      <c r="D3148" s="3">
        <v>71000</v>
      </c>
    </row>
    <row r="3149" spans="1:4">
      <c r="A3149" s="2" t="s">
        <v>212</v>
      </c>
      <c r="B3149" s="2">
        <v>1060412</v>
      </c>
      <c r="C3149" s="2" t="s">
        <v>230</v>
      </c>
      <c r="D3149" s="3">
        <v>33000</v>
      </c>
    </row>
    <row r="3150" spans="1:4">
      <c r="A3150" s="2" t="s">
        <v>212</v>
      </c>
      <c r="B3150" s="2">
        <v>1060421</v>
      </c>
      <c r="C3150" s="2" t="s">
        <v>104</v>
      </c>
      <c r="D3150" s="3">
        <v>110000</v>
      </c>
    </row>
    <row r="3151" spans="1:4">
      <c r="A3151" s="2" t="s">
        <v>212</v>
      </c>
      <c r="B3151" s="2">
        <v>1060441</v>
      </c>
      <c r="C3151" s="2" t="s">
        <v>106</v>
      </c>
      <c r="D3151" s="3">
        <v>6471</v>
      </c>
    </row>
    <row r="3152" spans="1:4">
      <c r="A3152" s="2" t="s">
        <v>212</v>
      </c>
      <c r="B3152" s="2">
        <v>1060451</v>
      </c>
      <c r="C3152" s="2" t="s">
        <v>108</v>
      </c>
      <c r="D3152" s="3">
        <v>38235</v>
      </c>
    </row>
    <row r="3153" spans="1:4">
      <c r="A3153" s="2" t="s">
        <v>212</v>
      </c>
      <c r="B3153" s="2">
        <v>1070101</v>
      </c>
      <c r="C3153" s="2" t="s">
        <v>110</v>
      </c>
      <c r="D3153" s="3">
        <v>4000</v>
      </c>
    </row>
    <row r="3154" spans="1:4">
      <c r="A3154" s="2" t="s">
        <v>212</v>
      </c>
      <c r="B3154" s="2">
        <v>1070301</v>
      </c>
      <c r="C3154" s="2" t="s">
        <v>112</v>
      </c>
      <c r="D3154" s="3">
        <v>35000</v>
      </c>
    </row>
    <row r="3155" spans="1:4">
      <c r="A3155" s="2" t="s">
        <v>212</v>
      </c>
      <c r="B3155" s="2">
        <v>1070401</v>
      </c>
      <c r="C3155" s="2" t="s">
        <v>114</v>
      </c>
      <c r="D3155" s="3">
        <v>12000</v>
      </c>
    </row>
    <row r="3156" spans="1:4">
      <c r="A3156" s="2" t="s">
        <v>212</v>
      </c>
      <c r="B3156" s="2">
        <v>1070501</v>
      </c>
      <c r="C3156" s="2" t="s">
        <v>231</v>
      </c>
      <c r="D3156" s="3">
        <v>5500</v>
      </c>
    </row>
    <row r="3157" spans="1:4">
      <c r="A3157" s="2" t="s">
        <v>212</v>
      </c>
      <c r="B3157" s="2">
        <v>1070701</v>
      </c>
      <c r="C3157" s="2" t="s">
        <v>118</v>
      </c>
      <c r="D3157" s="3">
        <v>36000</v>
      </c>
    </row>
    <row r="3158" spans="1:4">
      <c r="A3158" s="2" t="s">
        <v>212</v>
      </c>
      <c r="B3158" s="2">
        <v>1070801</v>
      </c>
      <c r="C3158" s="2" t="s">
        <v>232</v>
      </c>
      <c r="D3158" s="3">
        <v>35000</v>
      </c>
    </row>
    <row r="3159" spans="1:4">
      <c r="A3159" s="2" t="s">
        <v>212</v>
      </c>
      <c r="B3159" s="2">
        <v>1080101</v>
      </c>
      <c r="C3159" s="2" t="s">
        <v>120</v>
      </c>
      <c r="D3159" s="3">
        <v>11000</v>
      </c>
    </row>
    <row r="3160" spans="1:4">
      <c r="A3160" s="2" t="s">
        <v>212</v>
      </c>
      <c r="B3160" s="2">
        <v>1080201</v>
      </c>
      <c r="C3160" s="2" t="s">
        <v>122</v>
      </c>
      <c r="D3160" s="3">
        <v>540</v>
      </c>
    </row>
    <row r="3161" spans="1:4">
      <c r="A3161" s="2" t="s">
        <v>212</v>
      </c>
      <c r="B3161" s="2">
        <v>1080301</v>
      </c>
      <c r="C3161" s="2" t="s">
        <v>124</v>
      </c>
      <c r="D3161" s="3">
        <v>1550</v>
      </c>
    </row>
    <row r="3162" spans="1:4">
      <c r="A3162" s="2" t="s">
        <v>212</v>
      </c>
      <c r="B3162" s="2">
        <v>1080401</v>
      </c>
      <c r="C3162" s="2" t="s">
        <v>233</v>
      </c>
      <c r="D3162" s="3">
        <v>3300</v>
      </c>
    </row>
    <row r="3163" spans="1:4">
      <c r="A3163" s="2" t="s">
        <v>212</v>
      </c>
      <c r="B3163" s="2">
        <v>1080411</v>
      </c>
      <c r="C3163" s="2" t="s">
        <v>128</v>
      </c>
      <c r="D3163" s="3">
        <v>3300</v>
      </c>
    </row>
    <row r="3164" spans="1:4">
      <c r="A3164" s="2" t="s">
        <v>212</v>
      </c>
      <c r="B3164" s="2">
        <v>1080501</v>
      </c>
      <c r="C3164" s="2" t="s">
        <v>130</v>
      </c>
      <c r="D3164" s="3">
        <v>3800</v>
      </c>
    </row>
    <row r="3165" spans="1:4">
      <c r="A3165" s="2" t="s">
        <v>212</v>
      </c>
      <c r="B3165" s="2">
        <v>1080602</v>
      </c>
      <c r="C3165" s="2" t="s">
        <v>234</v>
      </c>
      <c r="D3165" s="3">
        <v>38600</v>
      </c>
    </row>
    <row r="3166" spans="1:4">
      <c r="A3166" s="2" t="s">
        <v>212</v>
      </c>
      <c r="B3166" s="2">
        <v>1080604</v>
      </c>
      <c r="C3166" s="2" t="s">
        <v>235</v>
      </c>
      <c r="D3166" s="3">
        <v>0</v>
      </c>
    </row>
    <row r="3167" spans="1:4">
      <c r="A3167" s="2" t="s">
        <v>212</v>
      </c>
      <c r="B3167" s="2">
        <v>1080702</v>
      </c>
      <c r="C3167" s="2" t="s">
        <v>236</v>
      </c>
      <c r="D3167" s="3">
        <v>43500</v>
      </c>
    </row>
    <row r="3168" spans="1:4">
      <c r="A3168" s="2" t="s">
        <v>212</v>
      </c>
      <c r="B3168" s="2">
        <v>1080704</v>
      </c>
      <c r="C3168" s="2" t="s">
        <v>237</v>
      </c>
      <c r="D3168" s="3">
        <v>0</v>
      </c>
    </row>
    <row r="3169" spans="1:4">
      <c r="A3169" s="2" t="s">
        <v>212</v>
      </c>
      <c r="B3169" s="2">
        <v>1090104</v>
      </c>
      <c r="C3169" s="2" t="s">
        <v>136</v>
      </c>
      <c r="D3169" s="3">
        <v>40000</v>
      </c>
    </row>
    <row r="3170" spans="1:4">
      <c r="A3170" s="2" t="s">
        <v>212</v>
      </c>
      <c r="B3170" s="2">
        <v>1090112</v>
      </c>
      <c r="C3170" s="2" t="s">
        <v>138</v>
      </c>
      <c r="D3170" s="3">
        <v>35000</v>
      </c>
    </row>
    <row r="3171" spans="1:4">
      <c r="A3171" s="2" t="s">
        <v>212</v>
      </c>
      <c r="B3171" s="2">
        <v>1090201</v>
      </c>
      <c r="C3171" s="2" t="s">
        <v>140</v>
      </c>
      <c r="D3171" s="3">
        <v>15800</v>
      </c>
    </row>
    <row r="3172" spans="1:4">
      <c r="A3172" s="2" t="s">
        <v>212</v>
      </c>
      <c r="B3172" s="2">
        <v>1090202</v>
      </c>
      <c r="C3172" s="2" t="s">
        <v>142</v>
      </c>
      <c r="D3172" s="3">
        <v>98000</v>
      </c>
    </row>
    <row r="3173" spans="1:4">
      <c r="A3173" s="2" t="s">
        <v>212</v>
      </c>
      <c r="B3173" s="2">
        <v>1090203</v>
      </c>
      <c r="C3173" s="2" t="s">
        <v>144</v>
      </c>
      <c r="D3173" s="3">
        <v>23000</v>
      </c>
    </row>
    <row r="3174" spans="1:4">
      <c r="A3174" s="2" t="s">
        <v>212</v>
      </c>
      <c r="B3174" s="2">
        <v>1090211</v>
      </c>
      <c r="C3174" s="2" t="s">
        <v>146</v>
      </c>
      <c r="D3174" s="3">
        <v>64706</v>
      </c>
    </row>
    <row r="3175" spans="1:4">
      <c r="A3175" s="2" t="s">
        <v>212</v>
      </c>
      <c r="B3175" s="2">
        <v>1090301</v>
      </c>
      <c r="C3175" s="2" t="s">
        <v>238</v>
      </c>
      <c r="D3175" s="3">
        <v>32000</v>
      </c>
    </row>
    <row r="3176" spans="1:4">
      <c r="A3176" s="2" t="s">
        <v>212</v>
      </c>
      <c r="B3176" s="2">
        <v>1090311</v>
      </c>
      <c r="C3176" s="2" t="s">
        <v>150</v>
      </c>
      <c r="D3176" s="3">
        <v>37000</v>
      </c>
    </row>
    <row r="3177" spans="1:4">
      <c r="A3177" s="2" t="s">
        <v>212</v>
      </c>
      <c r="B3177" s="2">
        <v>1090321</v>
      </c>
      <c r="C3177" s="2" t="s">
        <v>152</v>
      </c>
      <c r="D3177" s="3">
        <v>66000</v>
      </c>
    </row>
    <row r="3178" spans="1:4">
      <c r="A3178" s="2" t="s">
        <v>212</v>
      </c>
      <c r="B3178" s="2">
        <v>1090401</v>
      </c>
      <c r="C3178" s="2" t="s">
        <v>154</v>
      </c>
      <c r="D3178" s="3">
        <v>8800</v>
      </c>
    </row>
    <row r="3179" spans="1:4">
      <c r="A3179" s="2" t="s">
        <v>212</v>
      </c>
      <c r="B3179" s="2">
        <v>1090411</v>
      </c>
      <c r="C3179" s="2" t="s">
        <v>156</v>
      </c>
      <c r="D3179" s="3">
        <v>45000</v>
      </c>
    </row>
    <row r="3180" spans="1:4">
      <c r="A3180" s="2" t="s">
        <v>212</v>
      </c>
      <c r="B3180" s="2">
        <v>1090421</v>
      </c>
      <c r="C3180" s="2" t="s">
        <v>158</v>
      </c>
      <c r="D3180" s="3">
        <v>36000</v>
      </c>
    </row>
    <row r="3181" spans="1:4">
      <c r="A3181" s="2" t="s">
        <v>212</v>
      </c>
      <c r="B3181" s="2">
        <v>1090551</v>
      </c>
      <c r="C3181" s="2" t="s">
        <v>239</v>
      </c>
      <c r="D3181" s="3">
        <v>4900</v>
      </c>
    </row>
    <row r="3182" spans="1:4">
      <c r="A3182" s="2" t="s">
        <v>212</v>
      </c>
      <c r="B3182" s="2">
        <v>1090602</v>
      </c>
      <c r="C3182" s="2" t="s">
        <v>162</v>
      </c>
      <c r="D3182" s="3">
        <v>5130</v>
      </c>
    </row>
    <row r="3183" spans="1:4">
      <c r="A3183" s="2" t="s">
        <v>212</v>
      </c>
      <c r="B3183" s="2">
        <v>1090611</v>
      </c>
      <c r="C3183" s="2" t="s">
        <v>164</v>
      </c>
      <c r="D3183" s="3">
        <v>4300</v>
      </c>
    </row>
    <row r="3184" spans="1:4">
      <c r="A3184" s="2" t="s">
        <v>212</v>
      </c>
      <c r="B3184" s="2">
        <v>1090701</v>
      </c>
      <c r="C3184" s="2" t="s">
        <v>166</v>
      </c>
      <c r="D3184" s="3">
        <v>21000</v>
      </c>
    </row>
    <row r="3185" spans="1:4">
      <c r="A3185" s="2" t="s">
        <v>212</v>
      </c>
      <c r="B3185" s="2">
        <v>1090901</v>
      </c>
      <c r="C3185" s="2" t="s">
        <v>168</v>
      </c>
      <c r="D3185" s="3">
        <v>4300</v>
      </c>
    </row>
    <row r="3186" spans="1:4">
      <c r="A3186" s="2" t="s">
        <v>212</v>
      </c>
      <c r="B3186" s="2">
        <v>1091001</v>
      </c>
      <c r="C3186" s="2" t="s">
        <v>170</v>
      </c>
      <c r="D3186" s="3">
        <v>7000</v>
      </c>
    </row>
    <row r="3187" spans="1:4">
      <c r="A3187" s="2" t="s">
        <v>212</v>
      </c>
      <c r="B3187" s="2">
        <v>1091002</v>
      </c>
      <c r="C3187" s="2" t="s">
        <v>172</v>
      </c>
      <c r="D3187" s="3">
        <v>7030</v>
      </c>
    </row>
    <row r="3188" spans="1:4">
      <c r="A3188" s="2" t="s">
        <v>212</v>
      </c>
      <c r="B3188" s="2">
        <v>1091003</v>
      </c>
      <c r="C3188" s="2" t="s">
        <v>174</v>
      </c>
      <c r="D3188" s="3">
        <v>10695</v>
      </c>
    </row>
    <row r="3189" spans="1:4">
      <c r="A3189" s="2" t="s">
        <v>212</v>
      </c>
      <c r="B3189" s="2">
        <v>1091004</v>
      </c>
      <c r="C3189" s="2" t="s">
        <v>240</v>
      </c>
      <c r="D3189" s="3">
        <v>0</v>
      </c>
    </row>
    <row r="3190" spans="1:4">
      <c r="A3190" s="2" t="s">
        <v>212</v>
      </c>
      <c r="B3190" s="2">
        <v>1091005</v>
      </c>
      <c r="C3190" s="2" t="s">
        <v>241</v>
      </c>
      <c r="D3190" s="3">
        <v>0</v>
      </c>
    </row>
    <row r="3191" spans="1:4">
      <c r="A3191" s="2" t="s">
        <v>212</v>
      </c>
      <c r="B3191" s="2">
        <v>1091006</v>
      </c>
      <c r="C3191" s="2" t="s">
        <v>242</v>
      </c>
      <c r="D3191" s="3">
        <v>0</v>
      </c>
    </row>
    <row r="3192" spans="1:4">
      <c r="A3192" s="2" t="s">
        <v>212</v>
      </c>
      <c r="B3192" s="2">
        <v>1091007</v>
      </c>
      <c r="C3192" s="2" t="s">
        <v>243</v>
      </c>
      <c r="D3192" s="3">
        <v>2640</v>
      </c>
    </row>
    <row r="3193" spans="1:4">
      <c r="A3193" s="2" t="s">
        <v>212</v>
      </c>
      <c r="B3193" s="2">
        <v>1091008</v>
      </c>
      <c r="C3193" s="2" t="s">
        <v>176</v>
      </c>
      <c r="D3193" s="3">
        <v>450000</v>
      </c>
    </row>
    <row r="3194" spans="1:4">
      <c r="A3194" s="2" t="s">
        <v>212</v>
      </c>
      <c r="B3194" s="2">
        <v>1091009</v>
      </c>
      <c r="C3194" s="2" t="s">
        <v>178</v>
      </c>
      <c r="D3194" s="3">
        <v>190000</v>
      </c>
    </row>
    <row r="3195" spans="1:4">
      <c r="A3195" s="2" t="s">
        <v>212</v>
      </c>
      <c r="B3195" s="2">
        <v>1091010</v>
      </c>
      <c r="C3195" s="2" t="s">
        <v>180</v>
      </c>
      <c r="D3195" s="3">
        <v>27000</v>
      </c>
    </row>
    <row r="3196" spans="1:4">
      <c r="A3196" s="2" t="s">
        <v>212</v>
      </c>
      <c r="B3196" s="2">
        <v>1091011</v>
      </c>
      <c r="C3196" s="2" t="s">
        <v>182</v>
      </c>
      <c r="D3196" s="3">
        <v>33000</v>
      </c>
    </row>
    <row r="3197" spans="1:4">
      <c r="A3197" s="2" t="s">
        <v>212</v>
      </c>
      <c r="B3197" s="2">
        <v>1091012</v>
      </c>
      <c r="C3197" s="2" t="s">
        <v>184</v>
      </c>
      <c r="D3197" s="3">
        <v>47000</v>
      </c>
    </row>
    <row r="3198" spans="1:4">
      <c r="A3198" s="2" t="s">
        <v>212</v>
      </c>
      <c r="B3198" s="2">
        <v>1091013</v>
      </c>
      <c r="C3198" s="2" t="s">
        <v>186</v>
      </c>
      <c r="D3198" s="3">
        <v>33000</v>
      </c>
    </row>
    <row r="3199" spans="1:4">
      <c r="A3199" s="2" t="s">
        <v>212</v>
      </c>
      <c r="B3199" s="2">
        <v>1091014</v>
      </c>
      <c r="C3199" s="2" t="s">
        <v>244</v>
      </c>
      <c r="D3199" s="3">
        <v>6961</v>
      </c>
    </row>
    <row r="3200" spans="1:4">
      <c r="A3200" s="2" t="s">
        <v>212</v>
      </c>
      <c r="B3200" s="2">
        <v>1091015</v>
      </c>
      <c r="C3200" s="2" t="s">
        <v>245</v>
      </c>
      <c r="D3200" s="3">
        <v>25490</v>
      </c>
    </row>
    <row r="3201" spans="1:4">
      <c r="A3201" s="2" t="s">
        <v>212</v>
      </c>
      <c r="B3201" s="2">
        <v>1091016</v>
      </c>
      <c r="C3201" s="2" t="s">
        <v>246</v>
      </c>
      <c r="D3201" s="3">
        <v>50187</v>
      </c>
    </row>
    <row r="3202" spans="1:4">
      <c r="A3202" s="2" t="s">
        <v>212</v>
      </c>
      <c r="B3202" s="2">
        <v>1091017</v>
      </c>
      <c r="C3202" s="2" t="s">
        <v>247</v>
      </c>
      <c r="D3202" s="3">
        <v>74833</v>
      </c>
    </row>
    <row r="3203" spans="1:4">
      <c r="A3203" s="2" t="s">
        <v>212</v>
      </c>
      <c r="B3203" s="2">
        <v>1091018</v>
      </c>
      <c r="C3203" s="2" t="s">
        <v>248</v>
      </c>
      <c r="D3203" s="3">
        <v>33031</v>
      </c>
    </row>
    <row r="3204" spans="1:4">
      <c r="A3204" s="2" t="s">
        <v>212</v>
      </c>
      <c r="B3204" s="2">
        <v>1091019</v>
      </c>
      <c r="C3204" s="2" t="s">
        <v>249</v>
      </c>
      <c r="D3204" s="3">
        <v>53387</v>
      </c>
    </row>
    <row r="3205" spans="1:4">
      <c r="A3205" s="2" t="s">
        <v>212</v>
      </c>
      <c r="B3205" s="2">
        <v>1091020</v>
      </c>
      <c r="C3205" s="2" t="s">
        <v>250</v>
      </c>
      <c r="D3205" s="3">
        <v>100500</v>
      </c>
    </row>
    <row r="3206" spans="1:4">
      <c r="A3206" s="2" t="s">
        <v>212</v>
      </c>
      <c r="B3206" s="2">
        <v>1091021</v>
      </c>
      <c r="C3206" s="2" t="s">
        <v>251</v>
      </c>
      <c r="D3206" s="3">
        <v>50600</v>
      </c>
    </row>
    <row r="3207" spans="1:4">
      <c r="A3207" s="2" t="s">
        <v>212</v>
      </c>
      <c r="B3207" s="2">
        <v>1091022</v>
      </c>
      <c r="C3207" s="2" t="s">
        <v>252</v>
      </c>
      <c r="D3207" s="3">
        <v>3235</v>
      </c>
    </row>
    <row r="3208" spans="1:4">
      <c r="A3208" s="2" t="s">
        <v>212</v>
      </c>
      <c r="B3208" s="2">
        <v>1091023</v>
      </c>
      <c r="C3208" s="2" t="s">
        <v>253</v>
      </c>
      <c r="D3208" s="3">
        <v>4412</v>
      </c>
    </row>
    <row r="3209" spans="1:4">
      <c r="A3209" s="2" t="s">
        <v>212</v>
      </c>
      <c r="B3209" s="2">
        <v>1091024</v>
      </c>
      <c r="C3209" s="2" t="s">
        <v>254</v>
      </c>
      <c r="D3209" s="3">
        <v>3922</v>
      </c>
    </row>
    <row r="3210" spans="1:4">
      <c r="A3210" s="2" t="s">
        <v>212</v>
      </c>
      <c r="B3210" s="2">
        <v>1091025</v>
      </c>
      <c r="C3210" s="2" t="s">
        <v>255</v>
      </c>
      <c r="D3210" s="3">
        <v>6373</v>
      </c>
    </row>
    <row r="3211" spans="1:4">
      <c r="A3211" s="2" t="s">
        <v>212</v>
      </c>
      <c r="B3211" s="2">
        <v>1091026</v>
      </c>
      <c r="C3211" s="2" t="s">
        <v>256</v>
      </c>
      <c r="D3211" s="3">
        <v>30686</v>
      </c>
    </row>
    <row r="3212" spans="1:4">
      <c r="A3212" s="2" t="s">
        <v>212</v>
      </c>
      <c r="B3212" s="2">
        <v>1600101</v>
      </c>
      <c r="C3212" s="2" t="s">
        <v>188</v>
      </c>
      <c r="D3212" s="3">
        <v>2892</v>
      </c>
    </row>
    <row r="3213" spans="1:4">
      <c r="A3213" s="2" t="s">
        <v>212</v>
      </c>
      <c r="B3213" s="2">
        <v>1600102</v>
      </c>
      <c r="C3213" s="2" t="s">
        <v>257</v>
      </c>
      <c r="D3213" s="3">
        <v>36275</v>
      </c>
    </row>
    <row r="3214" spans="1:4">
      <c r="A3214" s="2" t="s">
        <v>212</v>
      </c>
      <c r="B3214" s="2">
        <v>1600103</v>
      </c>
      <c r="C3214" s="2" t="s">
        <v>258</v>
      </c>
      <c r="D3214" s="3">
        <v>19800</v>
      </c>
    </row>
    <row r="3215" spans="1:4">
      <c r="A3215" s="2" t="s">
        <v>212</v>
      </c>
      <c r="B3215" s="2">
        <v>1600104</v>
      </c>
      <c r="C3215" s="2" t="s">
        <v>259</v>
      </c>
      <c r="D3215" s="3">
        <v>73810</v>
      </c>
    </row>
    <row r="3216" spans="1:4">
      <c r="A3216" s="2" t="s">
        <v>212</v>
      </c>
      <c r="B3216" s="2">
        <v>1600105</v>
      </c>
      <c r="C3216" s="2" t="s">
        <v>260</v>
      </c>
      <c r="D3216" s="3">
        <v>83950</v>
      </c>
    </row>
    <row r="3217" spans="1:4">
      <c r="A3217" s="2" t="s">
        <v>212</v>
      </c>
      <c r="B3217" s="2">
        <v>1600106</v>
      </c>
      <c r="C3217" s="2" t="s">
        <v>261</v>
      </c>
      <c r="D3217" s="3">
        <v>108071</v>
      </c>
    </row>
    <row r="3218" spans="1:4">
      <c r="A3218" s="2" t="s">
        <v>212</v>
      </c>
      <c r="B3218" s="2">
        <v>1600107</v>
      </c>
      <c r="C3218" s="2" t="s">
        <v>262</v>
      </c>
      <c r="D3218" s="3">
        <v>86601</v>
      </c>
    </row>
    <row r="3219" spans="1:4">
      <c r="A3219" s="2" t="s">
        <v>212</v>
      </c>
      <c r="B3219" s="2">
        <v>1600108</v>
      </c>
      <c r="C3219" s="2" t="s">
        <v>263</v>
      </c>
      <c r="D3219" s="3">
        <v>73810</v>
      </c>
    </row>
    <row r="3220" spans="1:4">
      <c r="A3220" s="2" t="s">
        <v>212</v>
      </c>
      <c r="B3220" s="2">
        <v>1600109</v>
      </c>
      <c r="C3220" s="2" t="s">
        <v>264</v>
      </c>
      <c r="D3220" s="3">
        <v>5882</v>
      </c>
    </row>
    <row r="3221" spans="1:4">
      <c r="A3221" s="2" t="s">
        <v>212</v>
      </c>
      <c r="B3221" s="2">
        <v>1600110</v>
      </c>
      <c r="C3221" s="2" t="s">
        <v>265</v>
      </c>
      <c r="D3221" s="3">
        <v>7917</v>
      </c>
    </row>
    <row r="3222" spans="1:4">
      <c r="A3222" s="2" t="s">
        <v>212</v>
      </c>
      <c r="B3222" s="2">
        <v>1600111</v>
      </c>
      <c r="C3222" s="2" t="s">
        <v>266</v>
      </c>
      <c r="D3222" s="3">
        <v>2266</v>
      </c>
    </row>
    <row r="3223" spans="1:4">
      <c r="A3223" s="2" t="s">
        <v>212</v>
      </c>
      <c r="B3223" s="2">
        <v>1600112</v>
      </c>
      <c r="C3223" s="2" t="s">
        <v>190</v>
      </c>
      <c r="D3223" s="3">
        <v>4800</v>
      </c>
    </row>
    <row r="3224" spans="1:4">
      <c r="A3224" s="2" t="s">
        <v>212</v>
      </c>
      <c r="B3224" s="2">
        <v>1600113</v>
      </c>
      <c r="C3224" s="2" t="s">
        <v>267</v>
      </c>
      <c r="D3224" s="3">
        <v>0</v>
      </c>
    </row>
    <row r="3225" spans="1:4">
      <c r="A3225" s="2" t="s">
        <v>212</v>
      </c>
      <c r="B3225" s="2">
        <v>1600114</v>
      </c>
      <c r="C3225" s="2" t="s">
        <v>268</v>
      </c>
      <c r="D3225" s="3">
        <v>13333</v>
      </c>
    </row>
    <row r="3226" spans="1:4">
      <c r="A3226" s="2" t="s">
        <v>212</v>
      </c>
      <c r="B3226" s="2">
        <v>1700001</v>
      </c>
      <c r="C3226" s="2" t="s">
        <v>269</v>
      </c>
      <c r="D3226" s="3">
        <v>4282</v>
      </c>
    </row>
    <row r="3227" spans="1:4">
      <c r="A3227" s="2" t="s">
        <v>212</v>
      </c>
      <c r="B3227" s="2">
        <v>1700002</v>
      </c>
      <c r="C3227" s="2" t="s">
        <v>270</v>
      </c>
      <c r="D3227" s="3">
        <v>3726</v>
      </c>
    </row>
    <row r="3228" spans="1:4">
      <c r="A3228" s="2" t="s">
        <v>212</v>
      </c>
      <c r="B3228" s="2">
        <v>1700003</v>
      </c>
      <c r="C3228" s="2" t="s">
        <v>271</v>
      </c>
      <c r="D3228" s="3">
        <v>4902</v>
      </c>
    </row>
    <row r="3229" spans="1:4">
      <c r="A3229" s="2" t="s">
        <v>212</v>
      </c>
      <c r="B3229" s="2">
        <v>1700004</v>
      </c>
      <c r="C3229" s="2" t="s">
        <v>272</v>
      </c>
      <c r="D3229" s="3">
        <v>15784</v>
      </c>
    </row>
    <row r="3230" spans="1:4">
      <c r="A3230" s="2" t="s">
        <v>212</v>
      </c>
      <c r="B3230" s="2">
        <v>1700005</v>
      </c>
      <c r="C3230" s="2" t="s">
        <v>192</v>
      </c>
      <c r="D3230" s="3">
        <v>1765</v>
      </c>
    </row>
    <row r="3231" spans="1:4">
      <c r="A3231" s="2" t="s">
        <v>212</v>
      </c>
      <c r="B3231" s="2">
        <v>1700006</v>
      </c>
      <c r="C3231" s="2" t="s">
        <v>273</v>
      </c>
      <c r="D3231" s="3">
        <v>7176</v>
      </c>
    </row>
    <row r="3232" spans="1:4">
      <c r="A3232" s="2" t="s">
        <v>212</v>
      </c>
      <c r="B3232" s="2">
        <v>1700007</v>
      </c>
      <c r="C3232" s="2" t="s">
        <v>274</v>
      </c>
      <c r="D3232" s="3">
        <v>0</v>
      </c>
    </row>
    <row r="3233" spans="1:4">
      <c r="A3233" s="2" t="s">
        <v>212</v>
      </c>
      <c r="B3233" s="2">
        <v>1700008</v>
      </c>
      <c r="C3233" s="2" t="s">
        <v>275</v>
      </c>
      <c r="D3233" s="3">
        <v>0</v>
      </c>
    </row>
    <row r="3234" spans="1:4">
      <c r="A3234" s="2" t="s">
        <v>212</v>
      </c>
      <c r="B3234" s="2">
        <v>1700009</v>
      </c>
      <c r="C3234" s="2" t="s">
        <v>276</v>
      </c>
      <c r="D3234" s="3">
        <v>0</v>
      </c>
    </row>
    <row r="3235" spans="1:4">
      <c r="A3235" s="2" t="s">
        <v>212</v>
      </c>
      <c r="B3235" s="2">
        <v>1700010</v>
      </c>
      <c r="C3235" s="2" t="s">
        <v>277</v>
      </c>
      <c r="D3235" s="3">
        <v>3990</v>
      </c>
    </row>
    <row r="3236" spans="1:4">
      <c r="A3236" s="2" t="s">
        <v>212</v>
      </c>
      <c r="B3236" s="2">
        <v>1700011</v>
      </c>
      <c r="C3236" s="2" t="s">
        <v>278</v>
      </c>
      <c r="D3236" s="3">
        <v>12745</v>
      </c>
    </row>
    <row r="3237" spans="1:4">
      <c r="A3237" s="2" t="s">
        <v>212</v>
      </c>
      <c r="B3237" s="2">
        <v>1700012</v>
      </c>
      <c r="C3237" s="2" t="s">
        <v>279</v>
      </c>
      <c r="D3237" s="3">
        <v>15980</v>
      </c>
    </row>
    <row r="3238" spans="1:4">
      <c r="A3238" s="2" t="s">
        <v>212</v>
      </c>
      <c r="B3238" s="2">
        <v>1700013</v>
      </c>
      <c r="C3238" s="2" t="s">
        <v>280</v>
      </c>
      <c r="D3238" s="3">
        <v>18137</v>
      </c>
    </row>
    <row r="3239" spans="1:4">
      <c r="A3239" s="2" t="s">
        <v>212</v>
      </c>
      <c r="B3239" s="2">
        <v>1700014</v>
      </c>
      <c r="C3239" s="2" t="s">
        <v>194</v>
      </c>
      <c r="D3239" s="3">
        <v>2255</v>
      </c>
    </row>
    <row r="3240" spans="1:4">
      <c r="A3240" s="2" t="s">
        <v>212</v>
      </c>
      <c r="B3240" s="2">
        <v>1700015</v>
      </c>
      <c r="C3240" s="2" t="s">
        <v>281</v>
      </c>
      <c r="D3240" s="3">
        <v>5160</v>
      </c>
    </row>
    <row r="3241" spans="1:4">
      <c r="A3241" s="2" t="s">
        <v>212</v>
      </c>
      <c r="B3241" s="2">
        <v>1700016</v>
      </c>
      <c r="C3241" s="2" t="s">
        <v>282</v>
      </c>
      <c r="D3241" s="3">
        <v>4452</v>
      </c>
    </row>
    <row r="3242" spans="1:4">
      <c r="A3242" s="2" t="s">
        <v>212</v>
      </c>
      <c r="B3242" s="2">
        <v>1700017</v>
      </c>
      <c r="C3242" s="2" t="s">
        <v>283</v>
      </c>
      <c r="D3242" s="3">
        <v>10784</v>
      </c>
    </row>
    <row r="3243" spans="1:4">
      <c r="A3243" s="2" t="s">
        <v>212</v>
      </c>
      <c r="B3243" s="2">
        <v>1700018</v>
      </c>
      <c r="C3243" s="2" t="s">
        <v>284</v>
      </c>
      <c r="D3243" s="3">
        <v>4367</v>
      </c>
    </row>
    <row r="3244" spans="1:4">
      <c r="A3244" s="2" t="s">
        <v>212</v>
      </c>
      <c r="B3244" s="2">
        <v>1700019</v>
      </c>
      <c r="C3244" s="2" t="s">
        <v>285</v>
      </c>
      <c r="D3244" s="3">
        <v>0</v>
      </c>
    </row>
    <row r="3245" spans="1:4">
      <c r="A3245" s="2" t="s">
        <v>212</v>
      </c>
      <c r="B3245" s="2">
        <v>1700020</v>
      </c>
      <c r="C3245" s="2" t="s">
        <v>286</v>
      </c>
      <c r="D3245" s="3">
        <v>49412</v>
      </c>
    </row>
    <row r="3246" spans="1:4">
      <c r="A3246" s="2" t="s">
        <v>212</v>
      </c>
      <c r="B3246" s="2">
        <v>1700021</v>
      </c>
      <c r="C3246" s="2" t="s">
        <v>287</v>
      </c>
      <c r="D3246" s="3">
        <v>84167</v>
      </c>
    </row>
    <row r="3247" spans="1:4">
      <c r="A3247" s="2" t="s">
        <v>212</v>
      </c>
      <c r="B3247" s="2">
        <v>1700022</v>
      </c>
      <c r="C3247" s="2" t="s">
        <v>288</v>
      </c>
      <c r="D3247" s="3">
        <v>33706</v>
      </c>
    </row>
    <row r="3248" spans="1:4">
      <c r="A3248" s="2" t="s">
        <v>212</v>
      </c>
      <c r="B3248" s="2">
        <v>1700023</v>
      </c>
      <c r="C3248" s="2" t="s">
        <v>289</v>
      </c>
      <c r="D3248" s="3">
        <v>8818</v>
      </c>
    </row>
    <row r="3249" spans="1:4">
      <c r="A3249" s="2" t="s">
        <v>212</v>
      </c>
      <c r="B3249" s="2">
        <v>1700024</v>
      </c>
      <c r="C3249" s="2" t="s">
        <v>290</v>
      </c>
      <c r="D3249" s="3">
        <v>3080</v>
      </c>
    </row>
    <row r="3250" spans="1:4">
      <c r="A3250" s="2" t="s">
        <v>212</v>
      </c>
      <c r="B3250" s="2">
        <v>1700025</v>
      </c>
      <c r="C3250" s="2" t="s">
        <v>291</v>
      </c>
      <c r="D3250" s="3">
        <v>1961</v>
      </c>
    </row>
    <row r="3251" spans="1:4">
      <c r="A3251" s="2" t="s">
        <v>212</v>
      </c>
      <c r="B3251" s="2">
        <v>1700026</v>
      </c>
      <c r="C3251" s="2" t="s">
        <v>292</v>
      </c>
      <c r="D3251" s="3">
        <v>3725</v>
      </c>
    </row>
    <row r="3252" spans="1:4">
      <c r="A3252" s="2" t="s">
        <v>212</v>
      </c>
      <c r="B3252" s="2">
        <v>1700027</v>
      </c>
      <c r="C3252" s="2" t="s">
        <v>293</v>
      </c>
      <c r="D3252" s="3">
        <v>4412</v>
      </c>
    </row>
    <row r="3253" spans="1:4">
      <c r="A3253" s="2" t="s">
        <v>212</v>
      </c>
      <c r="B3253" s="2">
        <v>1700028</v>
      </c>
      <c r="C3253" s="2" t="s">
        <v>294</v>
      </c>
      <c r="D3253" s="3">
        <v>9500</v>
      </c>
    </row>
    <row r="3254" spans="1:4">
      <c r="A3254" s="2" t="s">
        <v>212</v>
      </c>
      <c r="B3254" s="2">
        <v>1700029</v>
      </c>
      <c r="C3254" s="2" t="s">
        <v>295</v>
      </c>
      <c r="D3254" s="3">
        <v>10670</v>
      </c>
    </row>
    <row r="3255" spans="1:4">
      <c r="A3255" s="2" t="s">
        <v>212</v>
      </c>
      <c r="B3255" s="2">
        <v>1700030</v>
      </c>
      <c r="C3255" s="2" t="s">
        <v>296</v>
      </c>
      <c r="D3255" s="3">
        <v>12720</v>
      </c>
    </row>
    <row r="3256" spans="1:4">
      <c r="A3256" s="2" t="s">
        <v>212</v>
      </c>
      <c r="B3256" s="2">
        <v>1700031</v>
      </c>
      <c r="C3256" s="2" t="s">
        <v>196</v>
      </c>
      <c r="D3256" s="3">
        <v>2069</v>
      </c>
    </row>
    <row r="3257" spans="1:4">
      <c r="A3257" s="2" t="s">
        <v>212</v>
      </c>
      <c r="B3257" s="2">
        <v>1700032</v>
      </c>
      <c r="C3257" s="2" t="s">
        <v>297</v>
      </c>
      <c r="D3257" s="3">
        <v>0</v>
      </c>
    </row>
    <row r="3258" spans="1:4">
      <c r="A3258" s="2" t="s">
        <v>212</v>
      </c>
      <c r="B3258" s="2">
        <v>1700033</v>
      </c>
      <c r="C3258" s="2" t="s">
        <v>298</v>
      </c>
      <c r="D3258" s="3">
        <v>0</v>
      </c>
    </row>
    <row r="3259" spans="1:4">
      <c r="A3259" s="2" t="s">
        <v>212</v>
      </c>
      <c r="B3259" s="2">
        <v>1700034</v>
      </c>
      <c r="C3259" s="2" t="s">
        <v>299</v>
      </c>
      <c r="D3259" s="3">
        <v>16625</v>
      </c>
    </row>
    <row r="3260" spans="1:4">
      <c r="A3260" s="2" t="s">
        <v>212</v>
      </c>
      <c r="B3260" s="2">
        <v>1700035</v>
      </c>
      <c r="C3260" s="2" t="s">
        <v>300</v>
      </c>
      <c r="D3260" s="3">
        <v>34000</v>
      </c>
    </row>
    <row r="3261" spans="1:4">
      <c r="A3261" s="2" t="s">
        <v>212</v>
      </c>
      <c r="B3261" s="2">
        <v>1700036</v>
      </c>
      <c r="C3261" s="2" t="s">
        <v>301</v>
      </c>
      <c r="D3261" s="3">
        <v>5200</v>
      </c>
    </row>
    <row r="3262" spans="1:4">
      <c r="A3262" s="2" t="s">
        <v>212</v>
      </c>
      <c r="B3262" s="2">
        <v>1700037</v>
      </c>
      <c r="C3262" s="2" t="s">
        <v>302</v>
      </c>
      <c r="D3262" s="3">
        <v>7533</v>
      </c>
    </row>
    <row r="3263" spans="1:4">
      <c r="A3263" s="2" t="s">
        <v>212</v>
      </c>
      <c r="B3263" s="2">
        <v>1700038</v>
      </c>
      <c r="C3263" s="2" t="s">
        <v>303</v>
      </c>
      <c r="D3263" s="3">
        <v>2108</v>
      </c>
    </row>
    <row r="3264" spans="1:4">
      <c r="A3264" s="2" t="s">
        <v>212</v>
      </c>
      <c r="B3264" s="2">
        <v>1700039</v>
      </c>
      <c r="C3264" s="2" t="s">
        <v>304</v>
      </c>
      <c r="D3264" s="3">
        <v>3480</v>
      </c>
    </row>
    <row r="3265" spans="1:4">
      <c r="A3265" s="2" t="s">
        <v>212</v>
      </c>
      <c r="B3265" s="2">
        <v>1700040</v>
      </c>
      <c r="C3265" s="2" t="s">
        <v>305</v>
      </c>
      <c r="D3265" s="3">
        <v>1967</v>
      </c>
    </row>
    <row r="3266" spans="1:4">
      <c r="A3266" s="2" t="s">
        <v>212</v>
      </c>
      <c r="B3266" s="2">
        <v>1700041</v>
      </c>
      <c r="C3266" s="2" t="s">
        <v>306</v>
      </c>
      <c r="D3266" s="3">
        <v>3000</v>
      </c>
    </row>
    <row r="3267" spans="1:4">
      <c r="A3267" s="2" t="s">
        <v>212</v>
      </c>
      <c r="B3267" s="2">
        <v>1700042</v>
      </c>
      <c r="C3267" s="2" t="s">
        <v>307</v>
      </c>
      <c r="D3267" s="3">
        <v>3163</v>
      </c>
    </row>
    <row r="3268" spans="1:4">
      <c r="A3268" s="2" t="s">
        <v>212</v>
      </c>
      <c r="B3268" s="2">
        <v>1700043</v>
      </c>
      <c r="C3268" s="2" t="s">
        <v>308</v>
      </c>
      <c r="D3268" s="3">
        <v>5877</v>
      </c>
    </row>
    <row r="3269" spans="1:4">
      <c r="A3269" s="2" t="s">
        <v>212</v>
      </c>
      <c r="B3269" s="2">
        <v>1700044</v>
      </c>
      <c r="C3269" s="2" t="s">
        <v>309</v>
      </c>
      <c r="D3269" s="3">
        <v>7000</v>
      </c>
    </row>
    <row r="3270" spans="1:4">
      <c r="A3270" s="2" t="s">
        <v>212</v>
      </c>
      <c r="B3270" s="2">
        <v>1700045</v>
      </c>
      <c r="C3270" s="2" t="s">
        <v>310</v>
      </c>
      <c r="D3270" s="3">
        <v>3814</v>
      </c>
    </row>
    <row r="3271" spans="1:4">
      <c r="A3271" s="2" t="s">
        <v>212</v>
      </c>
      <c r="B3271" s="2">
        <v>1700046</v>
      </c>
      <c r="C3271" s="2" t="s">
        <v>311</v>
      </c>
      <c r="D3271" s="3">
        <v>6863</v>
      </c>
    </row>
    <row r="3272" spans="1:4">
      <c r="A3272" s="2" t="s">
        <v>212</v>
      </c>
      <c r="B3272" s="2">
        <v>1700047</v>
      </c>
      <c r="C3272" s="2" t="s">
        <v>312</v>
      </c>
      <c r="D3272" s="3">
        <v>22350</v>
      </c>
    </row>
    <row r="3273" spans="1:4">
      <c r="A3273" s="2" t="s">
        <v>212</v>
      </c>
      <c r="B3273" s="2">
        <v>1700048</v>
      </c>
      <c r="C3273" s="2" t="s">
        <v>313</v>
      </c>
      <c r="D3273" s="3">
        <v>13330</v>
      </c>
    </row>
    <row r="3274" spans="1:4">
      <c r="A3274" s="2" t="s">
        <v>212</v>
      </c>
      <c r="B3274" s="2">
        <v>1700049</v>
      </c>
      <c r="C3274" s="2" t="s">
        <v>314</v>
      </c>
      <c r="D3274" s="3">
        <v>5785</v>
      </c>
    </row>
    <row r="3275" spans="1:4">
      <c r="A3275" s="2" t="s">
        <v>212</v>
      </c>
      <c r="B3275" s="2">
        <v>1700050</v>
      </c>
      <c r="C3275" s="2" t="s">
        <v>315</v>
      </c>
      <c r="D3275" s="3">
        <v>39000</v>
      </c>
    </row>
    <row r="3276" spans="1:4">
      <c r="A3276" s="2" t="s">
        <v>212</v>
      </c>
      <c r="B3276" s="2">
        <v>1700051</v>
      </c>
      <c r="C3276" s="2" t="s">
        <v>316</v>
      </c>
      <c r="D3276" s="3">
        <v>11500</v>
      </c>
    </row>
    <row r="3277" spans="1:4">
      <c r="A3277" s="2" t="s">
        <v>212</v>
      </c>
      <c r="B3277" s="2">
        <v>1700052</v>
      </c>
      <c r="C3277" s="2" t="s">
        <v>317</v>
      </c>
      <c r="D3277" s="3">
        <v>3444</v>
      </c>
    </row>
    <row r="3278" spans="1:4">
      <c r="A3278" s="2" t="s">
        <v>212</v>
      </c>
      <c r="B3278" s="2">
        <v>1700053</v>
      </c>
      <c r="C3278" s="2" t="s">
        <v>318</v>
      </c>
      <c r="D3278" s="3">
        <v>15530</v>
      </c>
    </row>
    <row r="3279" spans="1:4">
      <c r="A3279" s="2" t="s">
        <v>212</v>
      </c>
      <c r="B3279" s="2">
        <v>1700054</v>
      </c>
      <c r="C3279" s="2" t="s">
        <v>319</v>
      </c>
      <c r="D3279" s="3">
        <v>11670</v>
      </c>
    </row>
    <row r="3280" spans="1:4">
      <c r="A3280" s="2" t="s">
        <v>212</v>
      </c>
      <c r="B3280" s="2">
        <v>1700055</v>
      </c>
      <c r="C3280" s="2" t="s">
        <v>320</v>
      </c>
      <c r="D3280" s="3">
        <v>11940</v>
      </c>
    </row>
    <row r="3281" spans="1:4">
      <c r="A3281" s="2" t="s">
        <v>212</v>
      </c>
      <c r="B3281" s="2">
        <v>1700056</v>
      </c>
      <c r="C3281" s="2" t="s">
        <v>321</v>
      </c>
      <c r="D3281" s="3">
        <v>6402</v>
      </c>
    </row>
    <row r="3282" spans="1:4">
      <c r="A3282" s="2" t="s">
        <v>212</v>
      </c>
      <c r="B3282" s="2">
        <v>1700057</v>
      </c>
      <c r="C3282" s="2" t="s">
        <v>322</v>
      </c>
      <c r="D3282" s="3">
        <v>2098</v>
      </c>
    </row>
    <row r="3283" spans="1:4">
      <c r="A3283" s="2" t="s">
        <v>212</v>
      </c>
      <c r="B3283" s="2">
        <v>1700058</v>
      </c>
      <c r="C3283" s="2" t="s">
        <v>323</v>
      </c>
      <c r="D3283" s="3">
        <v>5800</v>
      </c>
    </row>
    <row r="3284" spans="1:4">
      <c r="A3284" s="2" t="s">
        <v>212</v>
      </c>
      <c r="B3284" s="2">
        <v>1700059</v>
      </c>
      <c r="C3284" s="2" t="s">
        <v>324</v>
      </c>
      <c r="D3284" s="3">
        <v>27667</v>
      </c>
    </row>
    <row r="3285" spans="1:4">
      <c r="A3285" s="2" t="s">
        <v>212</v>
      </c>
      <c r="B3285" s="2">
        <v>1700060</v>
      </c>
      <c r="C3285" s="2" t="s">
        <v>325</v>
      </c>
      <c r="D3285" s="3">
        <v>3824</v>
      </c>
    </row>
    <row r="3286" spans="1:4">
      <c r="A3286" s="2" t="s">
        <v>212</v>
      </c>
      <c r="B3286" s="2">
        <v>1700061</v>
      </c>
      <c r="C3286" s="2" t="s">
        <v>326</v>
      </c>
      <c r="D3286" s="3">
        <v>8920</v>
      </c>
    </row>
    <row r="3287" spans="1:4">
      <c r="A3287" s="2" t="s">
        <v>212</v>
      </c>
      <c r="B3287" s="2">
        <v>1700062</v>
      </c>
      <c r="C3287" s="2" t="s">
        <v>327</v>
      </c>
      <c r="D3287" s="3">
        <v>10520</v>
      </c>
    </row>
    <row r="3288" spans="1:4">
      <c r="A3288" s="2" t="s">
        <v>212</v>
      </c>
      <c r="B3288" s="2">
        <v>1700063</v>
      </c>
      <c r="C3288" s="2" t="s">
        <v>328</v>
      </c>
      <c r="D3288" s="3">
        <v>10550</v>
      </c>
    </row>
    <row r="3289" spans="1:4">
      <c r="A3289" s="2" t="s">
        <v>212</v>
      </c>
      <c r="B3289" s="2">
        <v>1700064</v>
      </c>
      <c r="C3289" s="2" t="s">
        <v>329</v>
      </c>
      <c r="D3289" s="3">
        <v>11060</v>
      </c>
    </row>
    <row r="3290" spans="1:4">
      <c r="A3290" s="2" t="s">
        <v>212</v>
      </c>
      <c r="B3290" s="2">
        <v>1700065</v>
      </c>
      <c r="C3290" s="2" t="s">
        <v>330</v>
      </c>
      <c r="D3290" s="3">
        <v>12760</v>
      </c>
    </row>
    <row r="3291" spans="1:4">
      <c r="A3291" s="2" t="s">
        <v>212</v>
      </c>
      <c r="B3291" s="2">
        <v>1700066</v>
      </c>
      <c r="C3291" s="2" t="s">
        <v>331</v>
      </c>
      <c r="D3291" s="3">
        <v>13200</v>
      </c>
    </row>
    <row r="3292" spans="1:4">
      <c r="A3292" s="2" t="s">
        <v>212</v>
      </c>
      <c r="B3292" s="2">
        <v>1700067</v>
      </c>
      <c r="C3292" s="2" t="s">
        <v>332</v>
      </c>
      <c r="D3292" s="3">
        <v>10720</v>
      </c>
    </row>
    <row r="3293" spans="1:4">
      <c r="A3293" s="2" t="s">
        <v>212</v>
      </c>
      <c r="B3293" s="2">
        <v>1700068</v>
      </c>
      <c r="C3293" s="2" t="s">
        <v>333</v>
      </c>
      <c r="D3293" s="3">
        <v>12720</v>
      </c>
    </row>
    <row r="3294" spans="1:4">
      <c r="A3294" s="2" t="s">
        <v>212</v>
      </c>
      <c r="B3294" s="2">
        <v>1700069</v>
      </c>
      <c r="C3294" s="2" t="s">
        <v>334</v>
      </c>
      <c r="D3294" s="3">
        <v>14000</v>
      </c>
    </row>
    <row r="3295" spans="1:4">
      <c r="A3295" s="2" t="s">
        <v>212</v>
      </c>
      <c r="B3295" s="2">
        <v>1700070</v>
      </c>
      <c r="C3295" s="2" t="s">
        <v>335</v>
      </c>
      <c r="D3295" s="3">
        <v>1618</v>
      </c>
    </row>
    <row r="3296" spans="1:4">
      <c r="A3296" s="2" t="s">
        <v>212</v>
      </c>
      <c r="B3296" s="2">
        <v>1700071</v>
      </c>
      <c r="C3296" s="2" t="s">
        <v>336</v>
      </c>
      <c r="D3296" s="3">
        <v>12190</v>
      </c>
    </row>
    <row r="3297" spans="1:4">
      <c r="A3297" s="2" t="s">
        <v>212</v>
      </c>
      <c r="B3297" s="2">
        <v>1700072</v>
      </c>
      <c r="C3297" s="2" t="s">
        <v>337</v>
      </c>
      <c r="D3297" s="3">
        <v>10180</v>
      </c>
    </row>
    <row r="3298" spans="1:4">
      <c r="A3298" s="2" t="s">
        <v>212</v>
      </c>
      <c r="B3298" s="2">
        <v>1700073</v>
      </c>
      <c r="C3298" s="2" t="s">
        <v>338</v>
      </c>
      <c r="D3298" s="3">
        <v>9020</v>
      </c>
    </row>
    <row r="3299" spans="1:4">
      <c r="A3299" s="2" t="s">
        <v>212</v>
      </c>
      <c r="B3299" s="2">
        <v>1700076</v>
      </c>
      <c r="C3299" s="2" t="s">
        <v>339</v>
      </c>
      <c r="D3299" s="3">
        <v>3279</v>
      </c>
    </row>
    <row r="3300" spans="1:4">
      <c r="A3300" s="2" t="s">
        <v>212</v>
      </c>
      <c r="B3300" s="2">
        <v>1700077</v>
      </c>
      <c r="C3300" s="2" t="s">
        <v>340</v>
      </c>
      <c r="D3300" s="3">
        <v>3098</v>
      </c>
    </row>
    <row r="3301" spans="1:4">
      <c r="A3301" s="2" t="s">
        <v>212</v>
      </c>
      <c r="B3301" s="2">
        <v>1700078</v>
      </c>
      <c r="C3301" s="2" t="s">
        <v>341</v>
      </c>
      <c r="D3301" s="3">
        <v>4716</v>
      </c>
    </row>
    <row r="3302" spans="1:4">
      <c r="A3302" s="2" t="s">
        <v>212</v>
      </c>
      <c r="B3302" s="2">
        <v>1700080</v>
      </c>
      <c r="C3302" s="2" t="s">
        <v>342</v>
      </c>
      <c r="D3302" s="3">
        <v>3529</v>
      </c>
    </row>
    <row r="3303" spans="1:4">
      <c r="A3303" s="2" t="s">
        <v>212</v>
      </c>
      <c r="B3303" s="2">
        <v>1700083</v>
      </c>
      <c r="C3303" s="2" t="s">
        <v>343</v>
      </c>
      <c r="D3303" s="3">
        <v>8333</v>
      </c>
    </row>
    <row r="3304" spans="1:4">
      <c r="A3304" s="2" t="s">
        <v>212</v>
      </c>
      <c r="B3304" s="2">
        <v>1700084</v>
      </c>
      <c r="C3304" s="2" t="s">
        <v>344</v>
      </c>
      <c r="D3304" s="3">
        <v>9241</v>
      </c>
    </row>
    <row r="3305" spans="1:4">
      <c r="A3305" s="2" t="s">
        <v>212</v>
      </c>
      <c r="B3305" s="2">
        <v>1700085</v>
      </c>
      <c r="C3305" s="2" t="s">
        <v>345</v>
      </c>
      <c r="D3305" s="3">
        <v>7860</v>
      </c>
    </row>
    <row r="3306" spans="1:4">
      <c r="A3306" s="2" t="s">
        <v>212</v>
      </c>
      <c r="B3306" s="2">
        <v>1700086</v>
      </c>
      <c r="C3306" s="2" t="s">
        <v>346</v>
      </c>
      <c r="D3306" s="3">
        <v>2647</v>
      </c>
    </row>
    <row r="3307" spans="1:4">
      <c r="A3307" s="2" t="s">
        <v>212</v>
      </c>
      <c r="B3307" s="2">
        <v>1700087</v>
      </c>
      <c r="C3307" s="2" t="s">
        <v>347</v>
      </c>
      <c r="D3307" s="3">
        <v>4890</v>
      </c>
    </row>
    <row r="3308" spans="1:4">
      <c r="A3308" s="2" t="s">
        <v>212</v>
      </c>
      <c r="B3308" s="2">
        <v>1700088</v>
      </c>
      <c r="C3308" s="2" t="s">
        <v>348</v>
      </c>
      <c r="D3308" s="3">
        <v>15500</v>
      </c>
    </row>
    <row r="3309" spans="1:4">
      <c r="A3309" s="2" t="s">
        <v>212</v>
      </c>
      <c r="B3309" s="2">
        <v>1700089</v>
      </c>
      <c r="C3309" s="2" t="s">
        <v>349</v>
      </c>
      <c r="D3309" s="3">
        <v>18500</v>
      </c>
    </row>
    <row r="3310" spans="1:4">
      <c r="A3310" s="2" t="s">
        <v>212</v>
      </c>
      <c r="B3310" s="2">
        <v>1700090</v>
      </c>
      <c r="C3310" s="2" t="s">
        <v>350</v>
      </c>
      <c r="D3310" s="3">
        <v>25490</v>
      </c>
    </row>
    <row r="3311" spans="1:4">
      <c r="A3311" s="2" t="s">
        <v>212</v>
      </c>
      <c r="B3311" s="2">
        <v>1700091</v>
      </c>
      <c r="C3311" s="2" t="s">
        <v>351</v>
      </c>
      <c r="D3311" s="3">
        <v>18353</v>
      </c>
    </row>
    <row r="3312" spans="1:4">
      <c r="A3312" s="2" t="s">
        <v>212</v>
      </c>
      <c r="B3312" s="2">
        <v>1700092</v>
      </c>
      <c r="C3312" s="2" t="s">
        <v>352</v>
      </c>
      <c r="D3312" s="3">
        <v>1255</v>
      </c>
    </row>
    <row r="3313" spans="1:4">
      <c r="A3313" s="2" t="s">
        <v>212</v>
      </c>
      <c r="B3313" s="2">
        <v>1700093</v>
      </c>
      <c r="C3313" s="2" t="s">
        <v>353</v>
      </c>
      <c r="D3313" s="3">
        <v>11180</v>
      </c>
    </row>
    <row r="3314" spans="1:4">
      <c r="A3314" s="2" t="s">
        <v>212</v>
      </c>
      <c r="B3314" s="2">
        <v>1700094</v>
      </c>
      <c r="C3314" s="2" t="s">
        <v>354</v>
      </c>
      <c r="D3314" s="3">
        <v>13529</v>
      </c>
    </row>
    <row r="3315" spans="1:4">
      <c r="A3315" s="2" t="s">
        <v>212</v>
      </c>
      <c r="B3315" s="2">
        <v>1700095</v>
      </c>
      <c r="C3315" s="2" t="s">
        <v>355</v>
      </c>
      <c r="D3315" s="3">
        <v>4500</v>
      </c>
    </row>
    <row r="3316" spans="1:4">
      <c r="A3316" s="2" t="s">
        <v>212</v>
      </c>
      <c r="B3316" s="2">
        <v>1700096</v>
      </c>
      <c r="C3316" s="2" t="s">
        <v>356</v>
      </c>
      <c r="D3316" s="3">
        <v>24510</v>
      </c>
    </row>
    <row r="3317" spans="1:4">
      <c r="A3317" s="2" t="s">
        <v>212</v>
      </c>
      <c r="B3317" s="2">
        <v>1700097</v>
      </c>
      <c r="C3317" s="2" t="s">
        <v>357</v>
      </c>
      <c r="D3317" s="3">
        <v>19608</v>
      </c>
    </row>
    <row r="3318" spans="1:4">
      <c r="A3318" s="2" t="s">
        <v>212</v>
      </c>
      <c r="B3318" s="2">
        <v>1700098</v>
      </c>
      <c r="C3318" s="2" t="s">
        <v>358</v>
      </c>
      <c r="D3318" s="3">
        <v>19608</v>
      </c>
    </row>
    <row r="3319" spans="1:4">
      <c r="A3319" s="2" t="s">
        <v>212</v>
      </c>
      <c r="B3319" s="2">
        <v>1700099</v>
      </c>
      <c r="C3319" s="2" t="s">
        <v>359</v>
      </c>
      <c r="D3319" s="3">
        <v>9000</v>
      </c>
    </row>
    <row r="3320" spans="1:4">
      <c r="A3320" s="2" t="s">
        <v>212</v>
      </c>
      <c r="B3320" s="2">
        <v>1700100</v>
      </c>
      <c r="C3320" s="2" t="s">
        <v>360</v>
      </c>
      <c r="D3320" s="3">
        <v>3333</v>
      </c>
    </row>
    <row r="3321" spans="1:4">
      <c r="A3321" s="2" t="s">
        <v>212</v>
      </c>
      <c r="B3321" s="2">
        <v>1700101</v>
      </c>
      <c r="C3321" s="2" t="s">
        <v>361</v>
      </c>
      <c r="D3321" s="3">
        <v>7647</v>
      </c>
    </row>
    <row r="3322" spans="1:4">
      <c r="A3322" s="2" t="s">
        <v>212</v>
      </c>
      <c r="B3322" s="2">
        <v>1700102</v>
      </c>
      <c r="C3322" s="2" t="s">
        <v>362</v>
      </c>
      <c r="D3322" s="3">
        <v>40196</v>
      </c>
    </row>
    <row r="3323" spans="1:4">
      <c r="A3323" s="2" t="s">
        <v>212</v>
      </c>
      <c r="B3323" s="2">
        <v>1700103</v>
      </c>
      <c r="C3323" s="2" t="s">
        <v>363</v>
      </c>
      <c r="D3323" s="3">
        <v>9000</v>
      </c>
    </row>
    <row r="3324" spans="1:4">
      <c r="A3324" s="2" t="s">
        <v>212</v>
      </c>
      <c r="B3324" s="2">
        <v>1700104</v>
      </c>
      <c r="C3324" s="2" t="s">
        <v>364</v>
      </c>
      <c r="D3324" s="3">
        <v>25000</v>
      </c>
    </row>
    <row r="3325" spans="1:4">
      <c r="A3325" s="2" t="s">
        <v>212</v>
      </c>
      <c r="B3325" s="2">
        <v>1700105</v>
      </c>
      <c r="C3325" s="2" t="s">
        <v>365</v>
      </c>
      <c r="D3325" s="3">
        <v>10588</v>
      </c>
    </row>
    <row r="3326" spans="1:4">
      <c r="A3326" s="2" t="s">
        <v>212</v>
      </c>
      <c r="B3326" s="2">
        <v>1700106</v>
      </c>
      <c r="C3326" s="2" t="s">
        <v>366</v>
      </c>
      <c r="D3326" s="3">
        <v>14020</v>
      </c>
    </row>
    <row r="3327" spans="1:4">
      <c r="A3327" s="2" t="s">
        <v>212</v>
      </c>
      <c r="B3327" s="2">
        <v>1700107</v>
      </c>
      <c r="C3327" s="2" t="s">
        <v>367</v>
      </c>
      <c r="D3327" s="3">
        <v>9020</v>
      </c>
    </row>
    <row r="3328" spans="1:4">
      <c r="A3328" s="2" t="s">
        <v>212</v>
      </c>
      <c r="B3328" s="2">
        <v>1800002</v>
      </c>
      <c r="C3328" s="2" t="s">
        <v>368</v>
      </c>
      <c r="D3328" s="3">
        <v>9520</v>
      </c>
    </row>
    <row r="3329" spans="1:4">
      <c r="A3329" s="2" t="s">
        <v>212</v>
      </c>
      <c r="B3329" s="2">
        <v>1800004</v>
      </c>
      <c r="C3329" s="2" t="s">
        <v>369</v>
      </c>
      <c r="D3329" s="3">
        <v>0</v>
      </c>
    </row>
    <row r="3330" spans="1:4">
      <c r="A3330" s="2" t="s">
        <v>212</v>
      </c>
      <c r="B3330" s="2">
        <v>1800005</v>
      </c>
      <c r="C3330" s="2" t="s">
        <v>370</v>
      </c>
      <c r="D3330" s="3">
        <v>0</v>
      </c>
    </row>
    <row r="3331" spans="1:4">
      <c r="A3331" s="2" t="s">
        <v>212</v>
      </c>
      <c r="B3331" s="2">
        <v>1800006</v>
      </c>
      <c r="C3331" s="2" t="s">
        <v>371</v>
      </c>
      <c r="D3331" s="3">
        <v>0</v>
      </c>
    </row>
    <row r="3332" spans="1:4">
      <c r="A3332" s="2" t="s">
        <v>212</v>
      </c>
      <c r="B3332" s="2">
        <v>1800007</v>
      </c>
      <c r="C3332" s="2" t="s">
        <v>372</v>
      </c>
      <c r="D3332" s="3">
        <v>10000</v>
      </c>
    </row>
    <row r="3333" spans="1:4">
      <c r="A3333" s="2" t="s">
        <v>212</v>
      </c>
      <c r="B3333" s="2">
        <v>1800008</v>
      </c>
      <c r="C3333" s="2" t="s">
        <v>373</v>
      </c>
      <c r="D3333" s="3">
        <v>10230</v>
      </c>
    </row>
    <row r="3334" spans="1:4">
      <c r="A3334" s="2" t="s">
        <v>212</v>
      </c>
      <c r="B3334" s="2">
        <v>1800009</v>
      </c>
      <c r="C3334" s="2" t="s">
        <v>374</v>
      </c>
      <c r="D3334" s="3">
        <v>11800</v>
      </c>
    </row>
    <row r="3335" spans="1:4">
      <c r="A3335" s="2" t="s">
        <v>212</v>
      </c>
      <c r="B3335" s="2">
        <v>1800010</v>
      </c>
      <c r="C3335" s="2" t="s">
        <v>375</v>
      </c>
      <c r="D3335" s="3">
        <v>6863</v>
      </c>
    </row>
    <row r="3336" spans="1:4">
      <c r="A3336" s="2" t="s">
        <v>212</v>
      </c>
      <c r="B3336" s="2">
        <v>1800011</v>
      </c>
      <c r="C3336" s="2" t="s">
        <v>376</v>
      </c>
      <c r="D3336" s="3">
        <v>13235</v>
      </c>
    </row>
    <row r="3337" spans="1:4">
      <c r="A3337" s="2" t="s">
        <v>212</v>
      </c>
      <c r="B3337" s="2">
        <v>1800012</v>
      </c>
      <c r="C3337" s="2" t="s">
        <v>377</v>
      </c>
      <c r="D3337" s="3">
        <v>8235</v>
      </c>
    </row>
    <row r="3338" spans="1:4">
      <c r="A3338" s="2" t="s">
        <v>212</v>
      </c>
      <c r="B3338" s="2">
        <v>1800013</v>
      </c>
      <c r="C3338" s="2" t="s">
        <v>378</v>
      </c>
      <c r="D3338" s="3">
        <v>49100</v>
      </c>
    </row>
    <row r="3339" spans="1:4">
      <c r="A3339" s="2" t="s">
        <v>212</v>
      </c>
      <c r="B3339" s="2">
        <v>1800014</v>
      </c>
      <c r="C3339" s="2" t="s">
        <v>379</v>
      </c>
      <c r="D3339" s="3">
        <v>70000</v>
      </c>
    </row>
    <row r="3340" spans="1:4">
      <c r="A3340" s="2" t="s">
        <v>212</v>
      </c>
      <c r="B3340" s="2">
        <v>1800015</v>
      </c>
      <c r="C3340" s="2" t="s">
        <v>380</v>
      </c>
      <c r="D3340" s="3">
        <v>66700</v>
      </c>
    </row>
    <row r="3341" spans="1:4">
      <c r="A3341" s="2" t="s">
        <v>212</v>
      </c>
      <c r="B3341" s="2">
        <v>1900013</v>
      </c>
      <c r="C3341" s="2" t="s">
        <v>381</v>
      </c>
      <c r="D3341" s="3">
        <v>0</v>
      </c>
    </row>
    <row r="3342" spans="1:4">
      <c r="A3342" s="2" t="s">
        <v>212</v>
      </c>
      <c r="B3342" s="2">
        <v>1900018</v>
      </c>
      <c r="C3342" s="2" t="s">
        <v>382</v>
      </c>
      <c r="D3342" s="3">
        <v>0</v>
      </c>
    </row>
    <row r="3343" spans="1:4">
      <c r="A3343" s="2" t="s">
        <v>383</v>
      </c>
      <c r="B3343" s="2">
        <v>1010101</v>
      </c>
      <c r="C3343" s="2" t="s">
        <v>5</v>
      </c>
      <c r="D3343" s="3">
        <v>703</v>
      </c>
    </row>
    <row r="3344" spans="1:4">
      <c r="A3344" s="2" t="s">
        <v>383</v>
      </c>
      <c r="B3344" s="2">
        <v>1010111</v>
      </c>
      <c r="C3344" s="2" t="s">
        <v>9</v>
      </c>
      <c r="D3344" s="3">
        <v>19100</v>
      </c>
    </row>
    <row r="3345" spans="1:4">
      <c r="A3345" s="2" t="s">
        <v>383</v>
      </c>
      <c r="B3345" s="2">
        <v>1010201</v>
      </c>
      <c r="C3345" s="2" t="s">
        <v>11</v>
      </c>
      <c r="D3345" s="3">
        <v>1373</v>
      </c>
    </row>
    <row r="3346" spans="1:4">
      <c r="A3346" s="2" t="s">
        <v>383</v>
      </c>
      <c r="B3346" s="2">
        <v>1010300</v>
      </c>
      <c r="C3346" s="2" t="s">
        <v>213</v>
      </c>
      <c r="D3346" s="3">
        <v>9020</v>
      </c>
    </row>
    <row r="3347" spans="1:4">
      <c r="A3347" s="2" t="s">
        <v>383</v>
      </c>
      <c r="B3347" s="2">
        <v>1010301</v>
      </c>
      <c r="C3347" s="2" t="s">
        <v>214</v>
      </c>
      <c r="D3347" s="3">
        <v>6373</v>
      </c>
    </row>
    <row r="3348" spans="1:4">
      <c r="A3348" s="2" t="s">
        <v>383</v>
      </c>
      <c r="B3348" s="2">
        <v>1010302</v>
      </c>
      <c r="C3348" s="2" t="s">
        <v>16</v>
      </c>
      <c r="D3348" s="3">
        <v>4314</v>
      </c>
    </row>
    <row r="3349" spans="1:4">
      <c r="A3349" s="2" t="s">
        <v>383</v>
      </c>
      <c r="B3349" s="2">
        <v>1010303</v>
      </c>
      <c r="C3349" s="2" t="s">
        <v>18</v>
      </c>
      <c r="D3349" s="3">
        <v>882</v>
      </c>
    </row>
    <row r="3350" spans="1:4">
      <c r="A3350" s="2" t="s">
        <v>383</v>
      </c>
      <c r="B3350" s="2">
        <v>1010304</v>
      </c>
      <c r="C3350" s="2" t="s">
        <v>215</v>
      </c>
      <c r="D3350" s="3">
        <v>1422</v>
      </c>
    </row>
    <row r="3351" spans="1:4">
      <c r="A3351" s="2" t="s">
        <v>383</v>
      </c>
      <c r="B3351" s="2">
        <v>1010401</v>
      </c>
      <c r="C3351" s="2" t="s">
        <v>20</v>
      </c>
      <c r="D3351" s="3">
        <v>3627</v>
      </c>
    </row>
    <row r="3352" spans="1:4">
      <c r="A3352" s="2" t="s">
        <v>383</v>
      </c>
      <c r="B3352" s="2">
        <v>1010405</v>
      </c>
      <c r="C3352" s="2" t="s">
        <v>22</v>
      </c>
      <c r="D3352" s="3">
        <v>9975</v>
      </c>
    </row>
    <row r="3353" spans="1:4">
      <c r="A3353" s="2" t="s">
        <v>383</v>
      </c>
      <c r="B3353" s="2">
        <v>1010501</v>
      </c>
      <c r="C3353" s="2" t="s">
        <v>24</v>
      </c>
      <c r="D3353" s="3">
        <v>980</v>
      </c>
    </row>
    <row r="3354" spans="1:4">
      <c r="A3354" s="2" t="s">
        <v>383</v>
      </c>
      <c r="B3354" s="2">
        <v>1010502</v>
      </c>
      <c r="C3354" s="2" t="s">
        <v>216</v>
      </c>
      <c r="D3354" s="3">
        <v>0</v>
      </c>
    </row>
    <row r="3355" spans="1:4">
      <c r="A3355" s="2" t="s">
        <v>383</v>
      </c>
      <c r="B3355" s="2">
        <v>1010601</v>
      </c>
      <c r="C3355" s="2" t="s">
        <v>26</v>
      </c>
      <c r="D3355" s="3">
        <v>4412</v>
      </c>
    </row>
    <row r="3356" spans="1:4">
      <c r="A3356" s="2" t="s">
        <v>383</v>
      </c>
      <c r="B3356" s="2">
        <v>1010701</v>
      </c>
      <c r="C3356" s="2" t="s">
        <v>28</v>
      </c>
      <c r="D3356" s="3">
        <v>686</v>
      </c>
    </row>
    <row r="3357" spans="1:4">
      <c r="A3357" s="2" t="s">
        <v>383</v>
      </c>
      <c r="B3357" s="2">
        <v>1010801</v>
      </c>
      <c r="C3357" s="2" t="s">
        <v>30</v>
      </c>
      <c r="D3357" s="3">
        <v>9118</v>
      </c>
    </row>
    <row r="3358" spans="1:4">
      <c r="A3358" s="2" t="s">
        <v>383</v>
      </c>
      <c r="B3358" s="2">
        <v>1010901</v>
      </c>
      <c r="C3358" s="2" t="s">
        <v>32</v>
      </c>
      <c r="D3358" s="3">
        <v>4804</v>
      </c>
    </row>
    <row r="3359" spans="1:4">
      <c r="A3359" s="2" t="s">
        <v>383</v>
      </c>
      <c r="B3359" s="2">
        <v>1020101</v>
      </c>
      <c r="C3359" s="2" t="s">
        <v>34</v>
      </c>
      <c r="D3359" s="3">
        <v>17451</v>
      </c>
    </row>
    <row r="3360" spans="1:4">
      <c r="A3360" s="2" t="s">
        <v>383</v>
      </c>
      <c r="B3360" s="2">
        <v>1020201</v>
      </c>
      <c r="C3360" s="2" t="s">
        <v>217</v>
      </c>
      <c r="D3360" s="3">
        <v>5600</v>
      </c>
    </row>
    <row r="3361" spans="1:4">
      <c r="A3361" s="2" t="s">
        <v>383</v>
      </c>
      <c r="B3361" s="2">
        <v>1020301</v>
      </c>
      <c r="C3361" s="2" t="s">
        <v>38</v>
      </c>
      <c r="D3361" s="3">
        <v>2098</v>
      </c>
    </row>
    <row r="3362" spans="1:4">
      <c r="A3362" s="2" t="s">
        <v>383</v>
      </c>
      <c r="B3362" s="2">
        <v>1020401</v>
      </c>
      <c r="C3362" s="2" t="s">
        <v>40</v>
      </c>
      <c r="D3362" s="3">
        <v>3400</v>
      </c>
    </row>
    <row r="3363" spans="1:4">
      <c r="A3363" s="2" t="s">
        <v>383</v>
      </c>
      <c r="B3363" s="2">
        <v>1030102</v>
      </c>
      <c r="C3363" s="2" t="s">
        <v>218</v>
      </c>
      <c r="D3363" s="3">
        <v>0</v>
      </c>
    </row>
    <row r="3364" spans="1:4">
      <c r="A3364" s="2" t="s">
        <v>383</v>
      </c>
      <c r="B3364" s="2">
        <v>1030201</v>
      </c>
      <c r="C3364" s="2" t="s">
        <v>42</v>
      </c>
      <c r="D3364" s="3">
        <v>2843</v>
      </c>
    </row>
    <row r="3365" spans="1:4">
      <c r="A3365" s="2" t="s">
        <v>383</v>
      </c>
      <c r="B3365" s="2">
        <v>1030203</v>
      </c>
      <c r="C3365" s="2" t="s">
        <v>219</v>
      </c>
      <c r="D3365" s="3">
        <v>0</v>
      </c>
    </row>
    <row r="3366" spans="1:4">
      <c r="A3366" s="2" t="s">
        <v>383</v>
      </c>
      <c r="B3366" s="2">
        <v>1030204</v>
      </c>
      <c r="C3366" s="2" t="s">
        <v>220</v>
      </c>
      <c r="D3366" s="3">
        <v>0</v>
      </c>
    </row>
    <row r="3367" spans="1:4">
      <c r="A3367" s="2" t="s">
        <v>383</v>
      </c>
      <c r="B3367" s="2">
        <v>1030205</v>
      </c>
      <c r="C3367" s="2" t="s">
        <v>44</v>
      </c>
      <c r="D3367" s="3">
        <v>5000</v>
      </c>
    </row>
    <row r="3368" spans="1:4">
      <c r="A3368" s="2" t="s">
        <v>383</v>
      </c>
      <c r="B3368" s="2">
        <v>1030206</v>
      </c>
      <c r="C3368" s="2" t="s">
        <v>46</v>
      </c>
      <c r="D3368" s="3">
        <v>6200</v>
      </c>
    </row>
    <row r="3369" spans="1:4">
      <c r="A3369" s="2" t="s">
        <v>383</v>
      </c>
      <c r="B3369" s="2">
        <v>1030207</v>
      </c>
      <c r="C3369" s="2" t="s">
        <v>48</v>
      </c>
      <c r="D3369" s="3">
        <v>4600</v>
      </c>
    </row>
    <row r="3370" spans="1:4">
      <c r="A3370" s="2" t="s">
        <v>383</v>
      </c>
      <c r="B3370" s="2">
        <v>1030501</v>
      </c>
      <c r="C3370" s="2" t="s">
        <v>50</v>
      </c>
      <c r="D3370" s="3">
        <v>1127</v>
      </c>
    </row>
    <row r="3371" spans="1:4">
      <c r="A3371" s="2" t="s">
        <v>383</v>
      </c>
      <c r="B3371" s="2">
        <v>1030601</v>
      </c>
      <c r="C3371" s="2" t="s">
        <v>52</v>
      </c>
      <c r="D3371" s="3">
        <v>3000</v>
      </c>
    </row>
    <row r="3372" spans="1:4">
      <c r="A3372" s="2" t="s">
        <v>383</v>
      </c>
      <c r="B3372" s="2">
        <v>1030701</v>
      </c>
      <c r="C3372" s="2" t="s">
        <v>221</v>
      </c>
      <c r="D3372" s="3">
        <v>3000</v>
      </c>
    </row>
    <row r="3373" spans="1:4">
      <c r="A3373" s="2" t="s">
        <v>383</v>
      </c>
      <c r="B3373" s="2">
        <v>1030705</v>
      </c>
      <c r="C3373" s="2" t="s">
        <v>222</v>
      </c>
      <c r="D3373" s="3">
        <v>0</v>
      </c>
    </row>
    <row r="3374" spans="1:4">
      <c r="A3374" s="2" t="s">
        <v>383</v>
      </c>
      <c r="B3374" s="2">
        <v>1030801</v>
      </c>
      <c r="C3374" s="2" t="s">
        <v>54</v>
      </c>
      <c r="D3374" s="3">
        <v>1176</v>
      </c>
    </row>
    <row r="3375" spans="1:4">
      <c r="A3375" s="2" t="s">
        <v>383</v>
      </c>
      <c r="B3375" s="2">
        <v>1030901</v>
      </c>
      <c r="C3375" s="2" t="s">
        <v>223</v>
      </c>
      <c r="D3375" s="3">
        <v>0</v>
      </c>
    </row>
    <row r="3376" spans="1:4">
      <c r="A3376" s="2" t="s">
        <v>383</v>
      </c>
      <c r="B3376" s="2">
        <v>1040201</v>
      </c>
      <c r="C3376" s="2" t="s">
        <v>56</v>
      </c>
      <c r="D3376" s="3">
        <v>1450</v>
      </c>
    </row>
    <row r="3377" spans="1:4">
      <c r="A3377" s="2" t="s">
        <v>383</v>
      </c>
      <c r="B3377" s="2">
        <v>1040202</v>
      </c>
      <c r="C3377" s="2" t="s">
        <v>224</v>
      </c>
      <c r="D3377" s="3">
        <v>0</v>
      </c>
    </row>
    <row r="3378" spans="1:4">
      <c r="A3378" s="2" t="s">
        <v>383</v>
      </c>
      <c r="B3378" s="2">
        <v>1040203</v>
      </c>
      <c r="C3378" s="2" t="s">
        <v>225</v>
      </c>
      <c r="D3378" s="3">
        <v>0</v>
      </c>
    </row>
    <row r="3379" spans="1:4">
      <c r="A3379" s="2" t="s">
        <v>383</v>
      </c>
      <c r="B3379" s="2">
        <v>1040204</v>
      </c>
      <c r="C3379" s="2" t="s">
        <v>226</v>
      </c>
      <c r="D3379" s="3">
        <v>8583</v>
      </c>
    </row>
    <row r="3380" spans="1:4">
      <c r="A3380" s="2" t="s">
        <v>383</v>
      </c>
      <c r="B3380" s="2">
        <v>1040301</v>
      </c>
      <c r="C3380" s="2" t="s">
        <v>58</v>
      </c>
      <c r="D3380" s="3">
        <v>1650</v>
      </c>
    </row>
    <row r="3381" spans="1:4">
      <c r="A3381" s="2" t="s">
        <v>383</v>
      </c>
      <c r="B3381" s="2">
        <v>1040401</v>
      </c>
      <c r="C3381" s="2" t="s">
        <v>227</v>
      </c>
      <c r="D3381" s="3">
        <v>0</v>
      </c>
    </row>
    <row r="3382" spans="1:4">
      <c r="A3382" s="2" t="s">
        <v>383</v>
      </c>
      <c r="B3382" s="2">
        <v>1050102</v>
      </c>
      <c r="C3382" s="2" t="s">
        <v>60</v>
      </c>
      <c r="D3382" s="3">
        <v>31000</v>
      </c>
    </row>
    <row r="3383" spans="1:4">
      <c r="A3383" s="2" t="s">
        <v>383</v>
      </c>
      <c r="B3383" s="2">
        <v>1050103</v>
      </c>
      <c r="C3383" s="2" t="s">
        <v>228</v>
      </c>
      <c r="D3383" s="3">
        <v>11275</v>
      </c>
    </row>
    <row r="3384" spans="1:4">
      <c r="A3384" s="2" t="s">
        <v>383</v>
      </c>
      <c r="B3384" s="2">
        <v>1050301</v>
      </c>
      <c r="C3384" s="2" t="s">
        <v>62</v>
      </c>
      <c r="D3384" s="3">
        <v>9804</v>
      </c>
    </row>
    <row r="3385" spans="1:4">
      <c r="A3385" s="2" t="s">
        <v>383</v>
      </c>
      <c r="B3385" s="2">
        <v>1050401</v>
      </c>
      <c r="C3385" s="2" t="s">
        <v>64</v>
      </c>
      <c r="D3385" s="3">
        <v>8824</v>
      </c>
    </row>
    <row r="3386" spans="1:4">
      <c r="A3386" s="2" t="s">
        <v>383</v>
      </c>
      <c r="B3386" s="2">
        <v>1050501</v>
      </c>
      <c r="C3386" s="2" t="s">
        <v>66</v>
      </c>
      <c r="D3386" s="3">
        <v>10784</v>
      </c>
    </row>
    <row r="3387" spans="1:4">
      <c r="A3387" s="2" t="s">
        <v>383</v>
      </c>
      <c r="B3387" s="2">
        <v>1050511</v>
      </c>
      <c r="C3387" s="2" t="s">
        <v>68</v>
      </c>
      <c r="D3387" s="3">
        <v>17647</v>
      </c>
    </row>
    <row r="3388" spans="1:4">
      <c r="A3388" s="2" t="s">
        <v>383</v>
      </c>
      <c r="B3388" s="2">
        <v>1050512</v>
      </c>
      <c r="C3388" s="2" t="s">
        <v>229</v>
      </c>
      <c r="D3388" s="3">
        <v>0</v>
      </c>
    </row>
    <row r="3389" spans="1:4">
      <c r="A3389" s="2" t="s">
        <v>383</v>
      </c>
      <c r="B3389" s="2">
        <v>1050521</v>
      </c>
      <c r="C3389" s="2" t="s">
        <v>70</v>
      </c>
      <c r="D3389" s="3">
        <v>14706</v>
      </c>
    </row>
    <row r="3390" spans="1:4">
      <c r="A3390" s="2" t="s">
        <v>383</v>
      </c>
      <c r="B3390" s="2">
        <v>1050531</v>
      </c>
      <c r="C3390" s="2" t="s">
        <v>72</v>
      </c>
      <c r="D3390" s="3">
        <v>21000</v>
      </c>
    </row>
    <row r="3391" spans="1:4">
      <c r="A3391" s="2" t="s">
        <v>383</v>
      </c>
      <c r="B3391" s="2">
        <v>1050541</v>
      </c>
      <c r="C3391" s="2" t="s">
        <v>74</v>
      </c>
      <c r="D3391" s="3">
        <v>11000</v>
      </c>
    </row>
    <row r="3392" spans="1:4">
      <c r="A3392" s="2" t="s">
        <v>383</v>
      </c>
      <c r="B3392" s="2">
        <v>1050551</v>
      </c>
      <c r="C3392" s="2" t="s">
        <v>76</v>
      </c>
      <c r="D3392" s="3">
        <v>54000</v>
      </c>
    </row>
    <row r="3393" spans="1:4">
      <c r="A3393" s="2" t="s">
        <v>383</v>
      </c>
      <c r="B3393" s="2">
        <v>1050561</v>
      </c>
      <c r="C3393" s="2" t="s">
        <v>78</v>
      </c>
      <c r="D3393" s="3">
        <v>77321</v>
      </c>
    </row>
    <row r="3394" spans="1:4">
      <c r="A3394" s="2" t="s">
        <v>383</v>
      </c>
      <c r="B3394" s="2">
        <v>1050571</v>
      </c>
      <c r="C3394" s="2" t="s">
        <v>80</v>
      </c>
      <c r="D3394" s="3">
        <v>58000</v>
      </c>
    </row>
    <row r="3395" spans="1:4">
      <c r="A3395" s="2" t="s">
        <v>383</v>
      </c>
      <c r="B3395" s="2">
        <v>1050581</v>
      </c>
      <c r="C3395" s="2" t="s">
        <v>82</v>
      </c>
      <c r="D3395" s="3">
        <v>57000</v>
      </c>
    </row>
    <row r="3396" spans="1:4">
      <c r="A3396" s="2" t="s">
        <v>383</v>
      </c>
      <c r="B3396" s="2">
        <v>1050591</v>
      </c>
      <c r="C3396" s="2" t="s">
        <v>84</v>
      </c>
      <c r="D3396" s="3">
        <v>97750</v>
      </c>
    </row>
    <row r="3397" spans="1:4">
      <c r="A3397" s="2" t="s">
        <v>383</v>
      </c>
      <c r="B3397" s="2">
        <v>1050601</v>
      </c>
      <c r="C3397" s="2" t="s">
        <v>86</v>
      </c>
      <c r="D3397" s="3">
        <v>6400</v>
      </c>
    </row>
    <row r="3398" spans="1:4">
      <c r="A3398" s="2" t="s">
        <v>383</v>
      </c>
      <c r="B3398" s="2">
        <v>1050701</v>
      </c>
      <c r="C3398" s="2" t="s">
        <v>88</v>
      </c>
      <c r="D3398" s="3">
        <v>6300</v>
      </c>
    </row>
    <row r="3399" spans="1:4">
      <c r="A3399" s="2" t="s">
        <v>383</v>
      </c>
      <c r="B3399" s="2">
        <v>1050702</v>
      </c>
      <c r="C3399" s="2" t="s">
        <v>90</v>
      </c>
      <c r="D3399" s="3">
        <v>6000</v>
      </c>
    </row>
    <row r="3400" spans="1:4">
      <c r="A3400" s="2" t="s">
        <v>383</v>
      </c>
      <c r="B3400" s="2">
        <v>1050711</v>
      </c>
      <c r="C3400" s="2" t="s">
        <v>92</v>
      </c>
      <c r="D3400" s="3">
        <v>2900</v>
      </c>
    </row>
    <row r="3401" spans="1:4">
      <c r="A3401" s="2" t="s">
        <v>383</v>
      </c>
      <c r="B3401" s="2">
        <v>1050721</v>
      </c>
      <c r="C3401" s="2" t="s">
        <v>94</v>
      </c>
      <c r="D3401" s="3">
        <v>13549</v>
      </c>
    </row>
    <row r="3402" spans="1:4">
      <c r="A3402" s="2" t="s">
        <v>383</v>
      </c>
      <c r="B3402" s="2">
        <v>1050801</v>
      </c>
      <c r="C3402" s="2" t="s">
        <v>7</v>
      </c>
      <c r="D3402" s="3">
        <v>922</v>
      </c>
    </row>
    <row r="3403" spans="1:4">
      <c r="A3403" s="2" t="s">
        <v>383</v>
      </c>
      <c r="B3403" s="2">
        <v>1050901</v>
      </c>
      <c r="C3403" s="2" t="s">
        <v>96</v>
      </c>
      <c r="D3403" s="3">
        <v>1216</v>
      </c>
    </row>
    <row r="3404" spans="1:4">
      <c r="A3404" s="2" t="s">
        <v>383</v>
      </c>
      <c r="B3404" s="2">
        <v>1060101</v>
      </c>
      <c r="C3404" s="2" t="s">
        <v>98</v>
      </c>
      <c r="D3404" s="3">
        <v>2200</v>
      </c>
    </row>
    <row r="3405" spans="1:4">
      <c r="A3405" s="2" t="s">
        <v>383</v>
      </c>
      <c r="B3405" s="2">
        <v>1060401</v>
      </c>
      <c r="C3405" s="2" t="s">
        <v>100</v>
      </c>
      <c r="D3405" s="3">
        <v>71000</v>
      </c>
    </row>
    <row r="3406" spans="1:4">
      <c r="A3406" s="2" t="s">
        <v>383</v>
      </c>
      <c r="B3406" s="2">
        <v>1060412</v>
      </c>
      <c r="C3406" s="2" t="s">
        <v>230</v>
      </c>
      <c r="D3406" s="3">
        <v>33000</v>
      </c>
    </row>
    <row r="3407" spans="1:4">
      <c r="A3407" s="2" t="s">
        <v>383</v>
      </c>
      <c r="B3407" s="2">
        <v>1060421</v>
      </c>
      <c r="C3407" s="2" t="s">
        <v>104</v>
      </c>
      <c r="D3407" s="3">
        <v>110000</v>
      </c>
    </row>
    <row r="3408" spans="1:4">
      <c r="A3408" s="2" t="s">
        <v>383</v>
      </c>
      <c r="B3408" s="2">
        <v>1060441</v>
      </c>
      <c r="C3408" s="2" t="s">
        <v>106</v>
      </c>
      <c r="D3408" s="3">
        <v>6471</v>
      </c>
    </row>
    <row r="3409" spans="1:4">
      <c r="A3409" s="2" t="s">
        <v>383</v>
      </c>
      <c r="B3409" s="2">
        <v>1060451</v>
      </c>
      <c r="C3409" s="2" t="s">
        <v>108</v>
      </c>
      <c r="D3409" s="3">
        <v>38235</v>
      </c>
    </row>
    <row r="3410" spans="1:4">
      <c r="A3410" s="2" t="s">
        <v>383</v>
      </c>
      <c r="B3410" s="2">
        <v>1070101</v>
      </c>
      <c r="C3410" s="2" t="s">
        <v>110</v>
      </c>
      <c r="D3410" s="3">
        <v>4000</v>
      </c>
    </row>
    <row r="3411" spans="1:4">
      <c r="A3411" s="2" t="s">
        <v>383</v>
      </c>
      <c r="B3411" s="2">
        <v>1070301</v>
      </c>
      <c r="C3411" s="2" t="s">
        <v>112</v>
      </c>
      <c r="D3411" s="3">
        <v>35000</v>
      </c>
    </row>
    <row r="3412" spans="1:4">
      <c r="A3412" s="2" t="s">
        <v>383</v>
      </c>
      <c r="B3412" s="2">
        <v>1070401</v>
      </c>
      <c r="C3412" s="2" t="s">
        <v>114</v>
      </c>
      <c r="D3412" s="3">
        <v>12000</v>
      </c>
    </row>
    <row r="3413" spans="1:4">
      <c r="A3413" s="2" t="s">
        <v>383</v>
      </c>
      <c r="B3413" s="2">
        <v>1070501</v>
      </c>
      <c r="C3413" s="2" t="s">
        <v>231</v>
      </c>
      <c r="D3413" s="3">
        <v>5500</v>
      </c>
    </row>
    <row r="3414" spans="1:4">
      <c r="A3414" s="2" t="s">
        <v>383</v>
      </c>
      <c r="B3414" s="2">
        <v>1070701</v>
      </c>
      <c r="C3414" s="2" t="s">
        <v>118</v>
      </c>
      <c r="D3414" s="3">
        <v>36000</v>
      </c>
    </row>
    <row r="3415" spans="1:4">
      <c r="A3415" s="2" t="s">
        <v>383</v>
      </c>
      <c r="B3415" s="2">
        <v>1070801</v>
      </c>
      <c r="C3415" s="2" t="s">
        <v>232</v>
      </c>
      <c r="D3415" s="3">
        <v>35000</v>
      </c>
    </row>
    <row r="3416" spans="1:4">
      <c r="A3416" s="2" t="s">
        <v>383</v>
      </c>
      <c r="B3416" s="2">
        <v>1080101</v>
      </c>
      <c r="C3416" s="2" t="s">
        <v>120</v>
      </c>
      <c r="D3416" s="3">
        <v>11000</v>
      </c>
    </row>
    <row r="3417" spans="1:4">
      <c r="A3417" s="2" t="s">
        <v>383</v>
      </c>
      <c r="B3417" s="2">
        <v>1080201</v>
      </c>
      <c r="C3417" s="2" t="s">
        <v>122</v>
      </c>
      <c r="D3417" s="3">
        <v>540</v>
      </c>
    </row>
    <row r="3418" spans="1:4">
      <c r="A3418" s="2" t="s">
        <v>383</v>
      </c>
      <c r="B3418" s="2">
        <v>1080301</v>
      </c>
      <c r="C3418" s="2" t="s">
        <v>124</v>
      </c>
      <c r="D3418" s="3">
        <v>1550</v>
      </c>
    </row>
    <row r="3419" spans="1:4">
      <c r="A3419" s="2" t="s">
        <v>383</v>
      </c>
      <c r="B3419" s="2">
        <v>1080401</v>
      </c>
      <c r="C3419" s="2" t="s">
        <v>233</v>
      </c>
      <c r="D3419" s="3">
        <v>3150</v>
      </c>
    </row>
    <row r="3420" spans="1:4">
      <c r="A3420" s="2" t="s">
        <v>383</v>
      </c>
      <c r="B3420" s="2">
        <v>1080411</v>
      </c>
      <c r="C3420" s="2" t="s">
        <v>128</v>
      </c>
      <c r="D3420" s="3">
        <v>3150</v>
      </c>
    </row>
    <row r="3421" spans="1:4">
      <c r="A3421" s="2" t="s">
        <v>383</v>
      </c>
      <c r="B3421" s="2">
        <v>1080501</v>
      </c>
      <c r="C3421" s="2" t="s">
        <v>130</v>
      </c>
      <c r="D3421" s="3">
        <v>3800</v>
      </c>
    </row>
    <row r="3422" spans="1:4">
      <c r="A3422" s="2" t="s">
        <v>383</v>
      </c>
      <c r="B3422" s="2">
        <v>1080602</v>
      </c>
      <c r="C3422" s="2" t="s">
        <v>234</v>
      </c>
      <c r="D3422" s="3">
        <v>38600</v>
      </c>
    </row>
    <row r="3423" spans="1:4">
      <c r="A3423" s="2" t="s">
        <v>383</v>
      </c>
      <c r="B3423" s="2">
        <v>1080604</v>
      </c>
      <c r="C3423" s="2" t="s">
        <v>235</v>
      </c>
      <c r="D3423" s="3">
        <v>0</v>
      </c>
    </row>
    <row r="3424" spans="1:4">
      <c r="A3424" s="2" t="s">
        <v>383</v>
      </c>
      <c r="B3424" s="2">
        <v>1080702</v>
      </c>
      <c r="C3424" s="2" t="s">
        <v>236</v>
      </c>
      <c r="D3424" s="3">
        <v>43500</v>
      </c>
    </row>
    <row r="3425" spans="1:4">
      <c r="A3425" s="2" t="s">
        <v>383</v>
      </c>
      <c r="B3425" s="2">
        <v>1080704</v>
      </c>
      <c r="C3425" s="2" t="s">
        <v>237</v>
      </c>
      <c r="D3425" s="3">
        <v>0</v>
      </c>
    </row>
    <row r="3426" spans="1:4">
      <c r="A3426" s="2" t="s">
        <v>383</v>
      </c>
      <c r="B3426" s="2">
        <v>1090104</v>
      </c>
      <c r="C3426" s="2" t="s">
        <v>136</v>
      </c>
      <c r="D3426" s="3">
        <v>40000</v>
      </c>
    </row>
    <row r="3427" spans="1:4">
      <c r="A3427" s="2" t="s">
        <v>383</v>
      </c>
      <c r="B3427" s="2">
        <v>1090112</v>
      </c>
      <c r="C3427" s="2" t="s">
        <v>138</v>
      </c>
      <c r="D3427" s="3">
        <v>35000</v>
      </c>
    </row>
    <row r="3428" spans="1:4">
      <c r="A3428" s="2" t="s">
        <v>383</v>
      </c>
      <c r="B3428" s="2">
        <v>1090201</v>
      </c>
      <c r="C3428" s="2" t="s">
        <v>140</v>
      </c>
      <c r="D3428" s="3">
        <v>15800</v>
      </c>
    </row>
    <row r="3429" spans="1:4">
      <c r="A3429" s="2" t="s">
        <v>383</v>
      </c>
      <c r="B3429" s="2">
        <v>1090202</v>
      </c>
      <c r="C3429" s="2" t="s">
        <v>142</v>
      </c>
      <c r="D3429" s="3">
        <v>98000</v>
      </c>
    </row>
    <row r="3430" spans="1:4">
      <c r="A3430" s="2" t="s">
        <v>383</v>
      </c>
      <c r="B3430" s="2">
        <v>1090203</v>
      </c>
      <c r="C3430" s="2" t="s">
        <v>144</v>
      </c>
      <c r="D3430" s="3">
        <v>23000</v>
      </c>
    </row>
    <row r="3431" spans="1:4">
      <c r="A3431" s="2" t="s">
        <v>383</v>
      </c>
      <c r="B3431" s="2">
        <v>1090211</v>
      </c>
      <c r="C3431" s="2" t="s">
        <v>146</v>
      </c>
      <c r="D3431" s="3">
        <v>64706</v>
      </c>
    </row>
    <row r="3432" spans="1:4">
      <c r="A3432" s="2" t="s">
        <v>383</v>
      </c>
      <c r="B3432" s="2">
        <v>1090301</v>
      </c>
      <c r="C3432" s="2" t="s">
        <v>238</v>
      </c>
      <c r="D3432" s="3">
        <v>32000</v>
      </c>
    </row>
    <row r="3433" spans="1:4">
      <c r="A3433" s="2" t="s">
        <v>383</v>
      </c>
      <c r="B3433" s="2">
        <v>1090311</v>
      </c>
      <c r="C3433" s="2" t="s">
        <v>150</v>
      </c>
      <c r="D3433" s="3">
        <v>37000</v>
      </c>
    </row>
    <row r="3434" spans="1:4">
      <c r="A3434" s="2" t="s">
        <v>383</v>
      </c>
      <c r="B3434" s="2">
        <v>1090321</v>
      </c>
      <c r="C3434" s="2" t="s">
        <v>152</v>
      </c>
      <c r="D3434" s="3">
        <v>66000</v>
      </c>
    </row>
    <row r="3435" spans="1:4">
      <c r="A3435" s="2" t="s">
        <v>383</v>
      </c>
      <c r="B3435" s="2">
        <v>1090401</v>
      </c>
      <c r="C3435" s="2" t="s">
        <v>154</v>
      </c>
      <c r="D3435" s="3">
        <v>8800</v>
      </c>
    </row>
    <row r="3436" spans="1:4">
      <c r="A3436" s="2" t="s">
        <v>383</v>
      </c>
      <c r="B3436" s="2">
        <v>1090411</v>
      </c>
      <c r="C3436" s="2" t="s">
        <v>156</v>
      </c>
      <c r="D3436" s="3">
        <v>45000</v>
      </c>
    </row>
    <row r="3437" spans="1:4">
      <c r="A3437" s="2" t="s">
        <v>383</v>
      </c>
      <c r="B3437" s="2">
        <v>1090421</v>
      </c>
      <c r="C3437" s="2" t="s">
        <v>158</v>
      </c>
      <c r="D3437" s="3">
        <v>36000</v>
      </c>
    </row>
    <row r="3438" spans="1:4">
      <c r="A3438" s="2" t="s">
        <v>383</v>
      </c>
      <c r="B3438" s="2">
        <v>1090551</v>
      </c>
      <c r="C3438" s="2" t="s">
        <v>239</v>
      </c>
      <c r="D3438" s="3">
        <v>4900</v>
      </c>
    </row>
    <row r="3439" spans="1:4">
      <c r="A3439" s="2" t="s">
        <v>383</v>
      </c>
      <c r="B3439" s="2">
        <v>1090602</v>
      </c>
      <c r="C3439" s="2" t="s">
        <v>162</v>
      </c>
      <c r="D3439" s="3">
        <v>5290</v>
      </c>
    </row>
    <row r="3440" spans="1:4">
      <c r="A3440" s="2" t="s">
        <v>383</v>
      </c>
      <c r="B3440" s="2">
        <v>1090611</v>
      </c>
      <c r="C3440" s="2" t="s">
        <v>164</v>
      </c>
      <c r="D3440" s="3">
        <v>4300</v>
      </c>
    </row>
    <row r="3441" spans="1:4">
      <c r="A3441" s="2" t="s">
        <v>383</v>
      </c>
      <c r="B3441" s="2">
        <v>1090701</v>
      </c>
      <c r="C3441" s="2" t="s">
        <v>166</v>
      </c>
      <c r="D3441" s="3">
        <v>21000</v>
      </c>
    </row>
    <row r="3442" spans="1:4">
      <c r="A3442" s="2" t="s">
        <v>383</v>
      </c>
      <c r="B3442" s="2">
        <v>1090901</v>
      </c>
      <c r="C3442" s="2" t="s">
        <v>168</v>
      </c>
      <c r="D3442" s="3">
        <v>4300</v>
      </c>
    </row>
    <row r="3443" spans="1:4">
      <c r="A3443" s="2" t="s">
        <v>383</v>
      </c>
      <c r="B3443" s="2">
        <v>1091001</v>
      </c>
      <c r="C3443" s="2" t="s">
        <v>170</v>
      </c>
      <c r="D3443" s="3">
        <v>7000</v>
      </c>
    </row>
    <row r="3444" spans="1:4">
      <c r="A3444" s="2" t="s">
        <v>383</v>
      </c>
      <c r="B3444" s="2">
        <v>1091002</v>
      </c>
      <c r="C3444" s="2" t="s">
        <v>172</v>
      </c>
      <c r="D3444" s="3">
        <v>7030</v>
      </c>
    </row>
    <row r="3445" spans="1:4">
      <c r="A3445" s="2" t="s">
        <v>383</v>
      </c>
      <c r="B3445" s="2">
        <v>1091003</v>
      </c>
      <c r="C3445" s="2" t="s">
        <v>174</v>
      </c>
      <c r="D3445" s="3">
        <v>10910</v>
      </c>
    </row>
    <row r="3446" spans="1:4">
      <c r="A3446" s="2" t="s">
        <v>383</v>
      </c>
      <c r="B3446" s="2">
        <v>1091004</v>
      </c>
      <c r="C3446" s="2" t="s">
        <v>240</v>
      </c>
      <c r="D3446" s="3">
        <v>0</v>
      </c>
    </row>
    <row r="3447" spans="1:4">
      <c r="A3447" s="2" t="s">
        <v>383</v>
      </c>
      <c r="B3447" s="2">
        <v>1091005</v>
      </c>
      <c r="C3447" s="2" t="s">
        <v>241</v>
      </c>
      <c r="D3447" s="3">
        <v>0</v>
      </c>
    </row>
    <row r="3448" spans="1:4">
      <c r="A3448" s="2" t="s">
        <v>383</v>
      </c>
      <c r="B3448" s="2">
        <v>1091006</v>
      </c>
      <c r="C3448" s="2" t="s">
        <v>242</v>
      </c>
      <c r="D3448" s="3">
        <v>0</v>
      </c>
    </row>
    <row r="3449" spans="1:4">
      <c r="A3449" s="2" t="s">
        <v>383</v>
      </c>
      <c r="B3449" s="2">
        <v>1091007</v>
      </c>
      <c r="C3449" s="2" t="s">
        <v>243</v>
      </c>
      <c r="D3449" s="3">
        <v>2640</v>
      </c>
    </row>
    <row r="3450" spans="1:4">
      <c r="A3450" s="2" t="s">
        <v>383</v>
      </c>
      <c r="B3450" s="2">
        <v>1091008</v>
      </c>
      <c r="C3450" s="2" t="s">
        <v>176</v>
      </c>
      <c r="D3450" s="3">
        <v>450000</v>
      </c>
    </row>
    <row r="3451" spans="1:4">
      <c r="A3451" s="2" t="s">
        <v>383</v>
      </c>
      <c r="B3451" s="2">
        <v>1091009</v>
      </c>
      <c r="C3451" s="2" t="s">
        <v>178</v>
      </c>
      <c r="D3451" s="3">
        <v>190000</v>
      </c>
    </row>
    <row r="3452" spans="1:4">
      <c r="A3452" s="2" t="s">
        <v>383</v>
      </c>
      <c r="B3452" s="2">
        <v>1091010</v>
      </c>
      <c r="C3452" s="2" t="s">
        <v>180</v>
      </c>
      <c r="D3452" s="3">
        <v>27000</v>
      </c>
    </row>
    <row r="3453" spans="1:4">
      <c r="A3453" s="2" t="s">
        <v>383</v>
      </c>
      <c r="B3453" s="2">
        <v>1091011</v>
      </c>
      <c r="C3453" s="2" t="s">
        <v>182</v>
      </c>
      <c r="D3453" s="3">
        <v>33000</v>
      </c>
    </row>
    <row r="3454" spans="1:4">
      <c r="A3454" s="2" t="s">
        <v>383</v>
      </c>
      <c r="B3454" s="2">
        <v>1091012</v>
      </c>
      <c r="C3454" s="2" t="s">
        <v>184</v>
      </c>
      <c r="D3454" s="3">
        <v>47000</v>
      </c>
    </row>
    <row r="3455" spans="1:4">
      <c r="A3455" s="2" t="s">
        <v>383</v>
      </c>
      <c r="B3455" s="2">
        <v>1091013</v>
      </c>
      <c r="C3455" s="2" t="s">
        <v>186</v>
      </c>
      <c r="D3455" s="3">
        <v>33000</v>
      </c>
    </row>
    <row r="3456" spans="1:4">
      <c r="A3456" s="2" t="s">
        <v>383</v>
      </c>
      <c r="B3456" s="2">
        <v>1091014</v>
      </c>
      <c r="C3456" s="2" t="s">
        <v>244</v>
      </c>
      <c r="D3456" s="3">
        <v>6961</v>
      </c>
    </row>
    <row r="3457" spans="1:4">
      <c r="A3457" s="2" t="s">
        <v>383</v>
      </c>
      <c r="B3457" s="2">
        <v>1091015</v>
      </c>
      <c r="C3457" s="2" t="s">
        <v>245</v>
      </c>
      <c r="D3457" s="3">
        <v>25490</v>
      </c>
    </row>
    <row r="3458" spans="1:4">
      <c r="A3458" s="2" t="s">
        <v>383</v>
      </c>
      <c r="B3458" s="2">
        <v>1091016</v>
      </c>
      <c r="C3458" s="2" t="s">
        <v>246</v>
      </c>
      <c r="D3458" s="3">
        <v>50187</v>
      </c>
    </row>
    <row r="3459" spans="1:4">
      <c r="A3459" s="2" t="s">
        <v>383</v>
      </c>
      <c r="B3459" s="2">
        <v>1091017</v>
      </c>
      <c r="C3459" s="2" t="s">
        <v>247</v>
      </c>
      <c r="D3459" s="3">
        <v>74833</v>
      </c>
    </row>
    <row r="3460" spans="1:4">
      <c r="A3460" s="2" t="s">
        <v>383</v>
      </c>
      <c r="B3460" s="2">
        <v>1091018</v>
      </c>
      <c r="C3460" s="2" t="s">
        <v>248</v>
      </c>
      <c r="D3460" s="3">
        <v>33031</v>
      </c>
    </row>
    <row r="3461" spans="1:4">
      <c r="A3461" s="2" t="s">
        <v>383</v>
      </c>
      <c r="B3461" s="2">
        <v>1091019</v>
      </c>
      <c r="C3461" s="2" t="s">
        <v>249</v>
      </c>
      <c r="D3461" s="3">
        <v>53387</v>
      </c>
    </row>
    <row r="3462" spans="1:4">
      <c r="A3462" s="2" t="s">
        <v>383</v>
      </c>
      <c r="B3462" s="2">
        <v>1091020</v>
      </c>
      <c r="C3462" s="2" t="s">
        <v>250</v>
      </c>
      <c r="D3462" s="3">
        <v>100500</v>
      </c>
    </row>
    <row r="3463" spans="1:4">
      <c r="A3463" s="2" t="s">
        <v>383</v>
      </c>
      <c r="B3463" s="2">
        <v>1091021</v>
      </c>
      <c r="C3463" s="2" t="s">
        <v>251</v>
      </c>
      <c r="D3463" s="3">
        <v>50600</v>
      </c>
    </row>
    <row r="3464" spans="1:4">
      <c r="A3464" s="2" t="s">
        <v>383</v>
      </c>
      <c r="B3464" s="2">
        <v>1091022</v>
      </c>
      <c r="C3464" s="2" t="s">
        <v>252</v>
      </c>
      <c r="D3464" s="3">
        <v>3235</v>
      </c>
    </row>
    <row r="3465" spans="1:4">
      <c r="A3465" s="2" t="s">
        <v>383</v>
      </c>
      <c r="B3465" s="2">
        <v>1091023</v>
      </c>
      <c r="C3465" s="2" t="s">
        <v>253</v>
      </c>
      <c r="D3465" s="3">
        <v>4412</v>
      </c>
    </row>
    <row r="3466" spans="1:4">
      <c r="A3466" s="2" t="s">
        <v>383</v>
      </c>
      <c r="B3466" s="2">
        <v>1091024</v>
      </c>
      <c r="C3466" s="2" t="s">
        <v>254</v>
      </c>
      <c r="D3466" s="3">
        <v>3922</v>
      </c>
    </row>
    <row r="3467" spans="1:4">
      <c r="A3467" s="2" t="s">
        <v>383</v>
      </c>
      <c r="B3467" s="2">
        <v>1091025</v>
      </c>
      <c r="C3467" s="2" t="s">
        <v>255</v>
      </c>
      <c r="D3467" s="3">
        <v>9804</v>
      </c>
    </row>
    <row r="3468" spans="1:4">
      <c r="A3468" s="2" t="s">
        <v>383</v>
      </c>
      <c r="B3468" s="2">
        <v>1091026</v>
      </c>
      <c r="C3468" s="2" t="s">
        <v>256</v>
      </c>
      <c r="D3468" s="3">
        <v>30686</v>
      </c>
    </row>
    <row r="3469" spans="1:4">
      <c r="A3469" s="2" t="s">
        <v>383</v>
      </c>
      <c r="B3469" s="2">
        <v>1600101</v>
      </c>
      <c r="C3469" s="2" t="s">
        <v>188</v>
      </c>
      <c r="D3469" s="3">
        <v>2904</v>
      </c>
    </row>
    <row r="3470" spans="1:4">
      <c r="A3470" s="2" t="s">
        <v>383</v>
      </c>
      <c r="B3470" s="2">
        <v>1600102</v>
      </c>
      <c r="C3470" s="2" t="s">
        <v>257</v>
      </c>
      <c r="D3470" s="3">
        <v>36275</v>
      </c>
    </row>
    <row r="3471" spans="1:4">
      <c r="A3471" s="2" t="s">
        <v>383</v>
      </c>
      <c r="B3471" s="2">
        <v>1600103</v>
      </c>
      <c r="C3471" s="2" t="s">
        <v>258</v>
      </c>
      <c r="D3471" s="3">
        <v>19800</v>
      </c>
    </row>
    <row r="3472" spans="1:4">
      <c r="A3472" s="2" t="s">
        <v>383</v>
      </c>
      <c r="B3472" s="2">
        <v>1600104</v>
      </c>
      <c r="C3472" s="2" t="s">
        <v>259</v>
      </c>
      <c r="D3472" s="3">
        <v>73810</v>
      </c>
    </row>
    <row r="3473" spans="1:4">
      <c r="A3473" s="2" t="s">
        <v>383</v>
      </c>
      <c r="B3473" s="2">
        <v>1600105</v>
      </c>
      <c r="C3473" s="2" t="s">
        <v>260</v>
      </c>
      <c r="D3473" s="3">
        <v>83950</v>
      </c>
    </row>
    <row r="3474" spans="1:4">
      <c r="A3474" s="2" t="s">
        <v>383</v>
      </c>
      <c r="B3474" s="2">
        <v>1600106</v>
      </c>
      <c r="C3474" s="2" t="s">
        <v>261</v>
      </c>
      <c r="D3474" s="3">
        <v>108071</v>
      </c>
    </row>
    <row r="3475" spans="1:4">
      <c r="A3475" s="2" t="s">
        <v>383</v>
      </c>
      <c r="B3475" s="2">
        <v>1600107</v>
      </c>
      <c r="C3475" s="2" t="s">
        <v>262</v>
      </c>
      <c r="D3475" s="3">
        <v>86601</v>
      </c>
    </row>
    <row r="3476" spans="1:4">
      <c r="A3476" s="2" t="s">
        <v>383</v>
      </c>
      <c r="B3476" s="2">
        <v>1600108</v>
      </c>
      <c r="C3476" s="2" t="s">
        <v>263</v>
      </c>
      <c r="D3476" s="3">
        <v>73810</v>
      </c>
    </row>
    <row r="3477" spans="1:4">
      <c r="A3477" s="2" t="s">
        <v>383</v>
      </c>
      <c r="B3477" s="2">
        <v>1600109</v>
      </c>
      <c r="C3477" s="2" t="s">
        <v>264</v>
      </c>
      <c r="D3477" s="3">
        <v>5882</v>
      </c>
    </row>
    <row r="3478" spans="1:4">
      <c r="A3478" s="2" t="s">
        <v>383</v>
      </c>
      <c r="B3478" s="2">
        <v>1600110</v>
      </c>
      <c r="C3478" s="2" t="s">
        <v>265</v>
      </c>
      <c r="D3478" s="3">
        <v>7917</v>
      </c>
    </row>
    <row r="3479" spans="1:4">
      <c r="A3479" s="2" t="s">
        <v>383</v>
      </c>
      <c r="B3479" s="2">
        <v>1600111</v>
      </c>
      <c r="C3479" s="2" t="s">
        <v>266</v>
      </c>
      <c r="D3479" s="3">
        <v>4360</v>
      </c>
    </row>
    <row r="3480" spans="1:4">
      <c r="A3480" s="2" t="s">
        <v>383</v>
      </c>
      <c r="B3480" s="2">
        <v>1600112</v>
      </c>
      <c r="C3480" s="2" t="s">
        <v>190</v>
      </c>
      <c r="D3480" s="3">
        <v>4800</v>
      </c>
    </row>
    <row r="3481" spans="1:4">
      <c r="A3481" s="2" t="s">
        <v>383</v>
      </c>
      <c r="B3481" s="2">
        <v>1600113</v>
      </c>
      <c r="C3481" s="2" t="s">
        <v>267</v>
      </c>
      <c r="D3481" s="3">
        <v>0</v>
      </c>
    </row>
    <row r="3482" spans="1:4">
      <c r="A3482" s="2" t="s">
        <v>383</v>
      </c>
      <c r="B3482" s="2">
        <v>1600114</v>
      </c>
      <c r="C3482" s="2" t="s">
        <v>268</v>
      </c>
      <c r="D3482" s="3">
        <v>13333</v>
      </c>
    </row>
    <row r="3483" spans="1:4">
      <c r="A3483" s="2" t="s">
        <v>383</v>
      </c>
      <c r="B3483" s="2">
        <v>1700001</v>
      </c>
      <c r="C3483" s="2" t="s">
        <v>269</v>
      </c>
      <c r="D3483" s="3">
        <v>4145</v>
      </c>
    </row>
    <row r="3484" spans="1:4">
      <c r="A3484" s="2" t="s">
        <v>383</v>
      </c>
      <c r="B3484" s="2">
        <v>1700002</v>
      </c>
      <c r="C3484" s="2" t="s">
        <v>270</v>
      </c>
      <c r="D3484" s="3">
        <v>3726</v>
      </c>
    </row>
    <row r="3485" spans="1:4">
      <c r="A3485" s="2" t="s">
        <v>383</v>
      </c>
      <c r="B3485" s="2">
        <v>1700003</v>
      </c>
      <c r="C3485" s="2" t="s">
        <v>271</v>
      </c>
      <c r="D3485" s="3">
        <v>4902</v>
      </c>
    </row>
    <row r="3486" spans="1:4">
      <c r="A3486" s="2" t="s">
        <v>383</v>
      </c>
      <c r="B3486" s="2">
        <v>1700004</v>
      </c>
      <c r="C3486" s="2" t="s">
        <v>272</v>
      </c>
      <c r="D3486" s="3">
        <v>15784</v>
      </c>
    </row>
    <row r="3487" spans="1:4">
      <c r="A3487" s="2" t="s">
        <v>383</v>
      </c>
      <c r="B3487" s="2">
        <v>1700005</v>
      </c>
      <c r="C3487" s="2" t="s">
        <v>192</v>
      </c>
      <c r="D3487" s="3">
        <v>1765</v>
      </c>
    </row>
    <row r="3488" spans="1:4">
      <c r="A3488" s="2" t="s">
        <v>383</v>
      </c>
      <c r="B3488" s="2">
        <v>1700006</v>
      </c>
      <c r="C3488" s="2" t="s">
        <v>273</v>
      </c>
      <c r="D3488" s="3">
        <v>7176</v>
      </c>
    </row>
    <row r="3489" spans="1:4">
      <c r="A3489" s="2" t="s">
        <v>383</v>
      </c>
      <c r="B3489" s="2">
        <v>1700007</v>
      </c>
      <c r="C3489" s="2" t="s">
        <v>274</v>
      </c>
      <c r="D3489" s="3">
        <v>0</v>
      </c>
    </row>
    <row r="3490" spans="1:4">
      <c r="A3490" s="2" t="s">
        <v>383</v>
      </c>
      <c r="B3490" s="2">
        <v>1700008</v>
      </c>
      <c r="C3490" s="2" t="s">
        <v>275</v>
      </c>
      <c r="D3490" s="3">
        <v>0</v>
      </c>
    </row>
    <row r="3491" spans="1:4">
      <c r="A3491" s="2" t="s">
        <v>383</v>
      </c>
      <c r="B3491" s="2">
        <v>1700009</v>
      </c>
      <c r="C3491" s="2" t="s">
        <v>276</v>
      </c>
      <c r="D3491" s="3">
        <v>0</v>
      </c>
    </row>
    <row r="3492" spans="1:4">
      <c r="A3492" s="2" t="s">
        <v>383</v>
      </c>
      <c r="B3492" s="2">
        <v>1700010</v>
      </c>
      <c r="C3492" s="2" t="s">
        <v>277</v>
      </c>
      <c r="D3492" s="3">
        <v>3990</v>
      </c>
    </row>
    <row r="3493" spans="1:4">
      <c r="A3493" s="2" t="s">
        <v>383</v>
      </c>
      <c r="B3493" s="2">
        <v>1700011</v>
      </c>
      <c r="C3493" s="2" t="s">
        <v>278</v>
      </c>
      <c r="D3493" s="3">
        <v>12745</v>
      </c>
    </row>
    <row r="3494" spans="1:4">
      <c r="A3494" s="2" t="s">
        <v>383</v>
      </c>
      <c r="B3494" s="2">
        <v>1700012</v>
      </c>
      <c r="C3494" s="2" t="s">
        <v>279</v>
      </c>
      <c r="D3494" s="3">
        <v>15980</v>
      </c>
    </row>
    <row r="3495" spans="1:4">
      <c r="A3495" s="2" t="s">
        <v>383</v>
      </c>
      <c r="B3495" s="2">
        <v>1700013</v>
      </c>
      <c r="C3495" s="2" t="s">
        <v>280</v>
      </c>
      <c r="D3495" s="3">
        <v>18137</v>
      </c>
    </row>
    <row r="3496" spans="1:4">
      <c r="A3496" s="2" t="s">
        <v>383</v>
      </c>
      <c r="B3496" s="2">
        <v>1700014</v>
      </c>
      <c r="C3496" s="2" t="s">
        <v>194</v>
      </c>
      <c r="D3496" s="3">
        <v>2300</v>
      </c>
    </row>
    <row r="3497" spans="1:4">
      <c r="A3497" s="2" t="s">
        <v>383</v>
      </c>
      <c r="B3497" s="2">
        <v>1700015</v>
      </c>
      <c r="C3497" s="2" t="s">
        <v>281</v>
      </c>
      <c r="D3497" s="3">
        <v>3403</v>
      </c>
    </row>
    <row r="3498" spans="1:4">
      <c r="A3498" s="2" t="s">
        <v>383</v>
      </c>
      <c r="B3498" s="2">
        <v>1700016</v>
      </c>
      <c r="C3498" s="2" t="s">
        <v>282</v>
      </c>
      <c r="D3498" s="3">
        <v>3037</v>
      </c>
    </row>
    <row r="3499" spans="1:4">
      <c r="A3499" s="2" t="s">
        <v>383</v>
      </c>
      <c r="B3499" s="2">
        <v>1700017</v>
      </c>
      <c r="C3499" s="2" t="s">
        <v>283</v>
      </c>
      <c r="D3499" s="3">
        <v>10784</v>
      </c>
    </row>
    <row r="3500" spans="1:4">
      <c r="A3500" s="2" t="s">
        <v>383</v>
      </c>
      <c r="B3500" s="2">
        <v>1700018</v>
      </c>
      <c r="C3500" s="2" t="s">
        <v>284</v>
      </c>
      <c r="D3500" s="3">
        <v>4212</v>
      </c>
    </row>
    <row r="3501" spans="1:4">
      <c r="A3501" s="2" t="s">
        <v>383</v>
      </c>
      <c r="B3501" s="2">
        <v>1700019</v>
      </c>
      <c r="C3501" s="2" t="s">
        <v>285</v>
      </c>
      <c r="D3501" s="3">
        <v>0</v>
      </c>
    </row>
    <row r="3502" spans="1:4">
      <c r="A3502" s="2" t="s">
        <v>383</v>
      </c>
      <c r="B3502" s="2">
        <v>1700020</v>
      </c>
      <c r="C3502" s="2" t="s">
        <v>286</v>
      </c>
      <c r="D3502" s="3">
        <v>49412</v>
      </c>
    </row>
    <row r="3503" spans="1:4">
      <c r="A3503" s="2" t="s">
        <v>383</v>
      </c>
      <c r="B3503" s="2">
        <v>1700021</v>
      </c>
      <c r="C3503" s="2" t="s">
        <v>287</v>
      </c>
      <c r="D3503" s="3">
        <v>84167</v>
      </c>
    </row>
    <row r="3504" spans="1:4">
      <c r="A3504" s="2" t="s">
        <v>383</v>
      </c>
      <c r="B3504" s="2">
        <v>1700022</v>
      </c>
      <c r="C3504" s="2" t="s">
        <v>288</v>
      </c>
      <c r="D3504" s="3">
        <v>33706</v>
      </c>
    </row>
    <row r="3505" spans="1:4">
      <c r="A3505" s="2" t="s">
        <v>383</v>
      </c>
      <c r="B3505" s="2">
        <v>1700023</v>
      </c>
      <c r="C3505" s="2" t="s">
        <v>289</v>
      </c>
      <c r="D3505" s="3">
        <v>8056</v>
      </c>
    </row>
    <row r="3506" spans="1:4">
      <c r="A3506" s="2" t="s">
        <v>383</v>
      </c>
      <c r="B3506" s="2">
        <v>1700024</v>
      </c>
      <c r="C3506" s="2" t="s">
        <v>290</v>
      </c>
      <c r="D3506" s="3">
        <v>3080</v>
      </c>
    </row>
    <row r="3507" spans="1:4">
      <c r="A3507" s="2" t="s">
        <v>383</v>
      </c>
      <c r="B3507" s="2">
        <v>1700025</v>
      </c>
      <c r="C3507" s="2" t="s">
        <v>291</v>
      </c>
      <c r="D3507" s="3">
        <v>1961</v>
      </c>
    </row>
    <row r="3508" spans="1:4">
      <c r="A3508" s="2" t="s">
        <v>383</v>
      </c>
      <c r="B3508" s="2">
        <v>1700026</v>
      </c>
      <c r="C3508" s="2" t="s">
        <v>292</v>
      </c>
      <c r="D3508" s="3">
        <v>3725</v>
      </c>
    </row>
    <row r="3509" spans="1:4">
      <c r="A3509" s="2" t="s">
        <v>383</v>
      </c>
      <c r="B3509" s="2">
        <v>1700027</v>
      </c>
      <c r="C3509" s="2" t="s">
        <v>293</v>
      </c>
      <c r="D3509" s="3">
        <v>4412</v>
      </c>
    </row>
    <row r="3510" spans="1:4">
      <c r="A3510" s="2" t="s">
        <v>383</v>
      </c>
      <c r="B3510" s="2">
        <v>1700028</v>
      </c>
      <c r="C3510" s="2" t="s">
        <v>294</v>
      </c>
      <c r="D3510" s="3">
        <v>9500</v>
      </c>
    </row>
    <row r="3511" spans="1:4">
      <c r="A3511" s="2" t="s">
        <v>383</v>
      </c>
      <c r="B3511" s="2">
        <v>1700029</v>
      </c>
      <c r="C3511" s="2" t="s">
        <v>295</v>
      </c>
      <c r="D3511" s="3">
        <v>10670</v>
      </c>
    </row>
    <row r="3512" spans="1:4">
      <c r="A3512" s="2" t="s">
        <v>383</v>
      </c>
      <c r="B3512" s="2">
        <v>1700030</v>
      </c>
      <c r="C3512" s="2" t="s">
        <v>296</v>
      </c>
      <c r="D3512" s="3">
        <v>12720</v>
      </c>
    </row>
    <row r="3513" spans="1:4">
      <c r="A3513" s="2" t="s">
        <v>383</v>
      </c>
      <c r="B3513" s="2">
        <v>1700031</v>
      </c>
      <c r="C3513" s="2" t="s">
        <v>196</v>
      </c>
      <c r="D3513" s="3">
        <v>2069</v>
      </c>
    </row>
    <row r="3514" spans="1:4">
      <c r="A3514" s="2" t="s">
        <v>383</v>
      </c>
      <c r="B3514" s="2">
        <v>1700032</v>
      </c>
      <c r="C3514" s="2" t="s">
        <v>297</v>
      </c>
      <c r="D3514" s="3">
        <v>0</v>
      </c>
    </row>
    <row r="3515" spans="1:4">
      <c r="A3515" s="2" t="s">
        <v>383</v>
      </c>
      <c r="B3515" s="2">
        <v>1700033</v>
      </c>
      <c r="C3515" s="2" t="s">
        <v>298</v>
      </c>
      <c r="D3515" s="3">
        <v>0</v>
      </c>
    </row>
    <row r="3516" spans="1:4">
      <c r="A3516" s="2" t="s">
        <v>383</v>
      </c>
      <c r="B3516" s="2">
        <v>1700034</v>
      </c>
      <c r="C3516" s="2" t="s">
        <v>299</v>
      </c>
      <c r="D3516" s="3">
        <v>16625</v>
      </c>
    </row>
    <row r="3517" spans="1:4">
      <c r="A3517" s="2" t="s">
        <v>383</v>
      </c>
      <c r="B3517" s="2">
        <v>1700035</v>
      </c>
      <c r="C3517" s="2" t="s">
        <v>300</v>
      </c>
      <c r="D3517" s="3">
        <v>34000</v>
      </c>
    </row>
    <row r="3518" spans="1:4">
      <c r="A3518" s="2" t="s">
        <v>383</v>
      </c>
      <c r="B3518" s="2">
        <v>1700036</v>
      </c>
      <c r="C3518" s="2" t="s">
        <v>301</v>
      </c>
      <c r="D3518" s="3">
        <v>5200</v>
      </c>
    </row>
    <row r="3519" spans="1:4">
      <c r="A3519" s="2" t="s">
        <v>383</v>
      </c>
      <c r="B3519" s="2">
        <v>1700037</v>
      </c>
      <c r="C3519" s="2" t="s">
        <v>302</v>
      </c>
      <c r="D3519" s="3">
        <v>7533</v>
      </c>
    </row>
    <row r="3520" spans="1:4">
      <c r="A3520" s="2" t="s">
        <v>383</v>
      </c>
      <c r="B3520" s="2">
        <v>1700038</v>
      </c>
      <c r="C3520" s="2" t="s">
        <v>303</v>
      </c>
      <c r="D3520" s="3">
        <v>2088</v>
      </c>
    </row>
    <row r="3521" spans="1:4">
      <c r="A3521" s="2" t="s">
        <v>383</v>
      </c>
      <c r="B3521" s="2">
        <v>1700039</v>
      </c>
      <c r="C3521" s="2" t="s">
        <v>304</v>
      </c>
      <c r="D3521" s="3">
        <v>3480</v>
      </c>
    </row>
    <row r="3522" spans="1:4">
      <c r="A3522" s="2" t="s">
        <v>383</v>
      </c>
      <c r="B3522" s="2">
        <v>1700040</v>
      </c>
      <c r="C3522" s="2" t="s">
        <v>305</v>
      </c>
      <c r="D3522" s="3">
        <v>1967</v>
      </c>
    </row>
    <row r="3523" spans="1:4">
      <c r="A3523" s="2" t="s">
        <v>383</v>
      </c>
      <c r="B3523" s="2">
        <v>1700041</v>
      </c>
      <c r="C3523" s="2" t="s">
        <v>306</v>
      </c>
      <c r="D3523" s="3">
        <v>3000</v>
      </c>
    </row>
    <row r="3524" spans="1:4">
      <c r="A3524" s="2" t="s">
        <v>383</v>
      </c>
      <c r="B3524" s="2">
        <v>1700042</v>
      </c>
      <c r="C3524" s="2" t="s">
        <v>307</v>
      </c>
      <c r="D3524" s="3">
        <v>3163</v>
      </c>
    </row>
    <row r="3525" spans="1:4">
      <c r="A3525" s="2" t="s">
        <v>383</v>
      </c>
      <c r="B3525" s="2">
        <v>1700043</v>
      </c>
      <c r="C3525" s="2" t="s">
        <v>308</v>
      </c>
      <c r="D3525" s="3">
        <v>5877</v>
      </c>
    </row>
    <row r="3526" spans="1:4">
      <c r="A3526" s="2" t="s">
        <v>383</v>
      </c>
      <c r="B3526" s="2">
        <v>1700044</v>
      </c>
      <c r="C3526" s="2" t="s">
        <v>309</v>
      </c>
      <c r="D3526" s="3">
        <v>7000</v>
      </c>
    </row>
    <row r="3527" spans="1:4">
      <c r="A3527" s="2" t="s">
        <v>383</v>
      </c>
      <c r="B3527" s="2">
        <v>1700045</v>
      </c>
      <c r="C3527" s="2" t="s">
        <v>310</v>
      </c>
      <c r="D3527" s="3">
        <v>3882</v>
      </c>
    </row>
    <row r="3528" spans="1:4">
      <c r="A3528" s="2" t="s">
        <v>383</v>
      </c>
      <c r="B3528" s="2">
        <v>1700046</v>
      </c>
      <c r="C3528" s="2" t="s">
        <v>311</v>
      </c>
      <c r="D3528" s="3">
        <v>6863</v>
      </c>
    </row>
    <row r="3529" spans="1:4">
      <c r="A3529" s="2" t="s">
        <v>383</v>
      </c>
      <c r="B3529" s="2">
        <v>1700047</v>
      </c>
      <c r="C3529" s="2" t="s">
        <v>312</v>
      </c>
      <c r="D3529" s="3">
        <v>22350</v>
      </c>
    </row>
    <row r="3530" spans="1:4">
      <c r="A3530" s="2" t="s">
        <v>383</v>
      </c>
      <c r="B3530" s="2">
        <v>1700048</v>
      </c>
      <c r="C3530" s="2" t="s">
        <v>313</v>
      </c>
      <c r="D3530" s="3">
        <v>13330</v>
      </c>
    </row>
    <row r="3531" spans="1:4">
      <c r="A3531" s="2" t="s">
        <v>383</v>
      </c>
      <c r="B3531" s="2">
        <v>1700049</v>
      </c>
      <c r="C3531" s="2" t="s">
        <v>314</v>
      </c>
      <c r="D3531" s="3">
        <v>4062</v>
      </c>
    </row>
    <row r="3532" spans="1:4">
      <c r="A3532" s="2" t="s">
        <v>383</v>
      </c>
      <c r="B3532" s="2">
        <v>1700050</v>
      </c>
      <c r="C3532" s="2" t="s">
        <v>315</v>
      </c>
      <c r="D3532" s="3">
        <v>39000</v>
      </c>
    </row>
    <row r="3533" spans="1:4">
      <c r="A3533" s="2" t="s">
        <v>383</v>
      </c>
      <c r="B3533" s="2">
        <v>1700051</v>
      </c>
      <c r="C3533" s="2" t="s">
        <v>316</v>
      </c>
      <c r="D3533" s="3">
        <v>11500</v>
      </c>
    </row>
    <row r="3534" spans="1:4">
      <c r="A3534" s="2" t="s">
        <v>383</v>
      </c>
      <c r="B3534" s="2">
        <v>1700052</v>
      </c>
      <c r="C3534" s="2" t="s">
        <v>317</v>
      </c>
      <c r="D3534" s="3">
        <v>3444</v>
      </c>
    </row>
    <row r="3535" spans="1:4">
      <c r="A3535" s="2" t="s">
        <v>383</v>
      </c>
      <c r="B3535" s="2">
        <v>1700053</v>
      </c>
      <c r="C3535" s="2" t="s">
        <v>318</v>
      </c>
      <c r="D3535" s="3">
        <v>15530</v>
      </c>
    </row>
    <row r="3536" spans="1:4">
      <c r="A3536" s="2" t="s">
        <v>383</v>
      </c>
      <c r="B3536" s="2">
        <v>1700054</v>
      </c>
      <c r="C3536" s="2" t="s">
        <v>319</v>
      </c>
      <c r="D3536" s="3">
        <v>11670</v>
      </c>
    </row>
    <row r="3537" spans="1:4">
      <c r="A3537" s="2" t="s">
        <v>383</v>
      </c>
      <c r="B3537" s="2">
        <v>1700055</v>
      </c>
      <c r="C3537" s="2" t="s">
        <v>320</v>
      </c>
      <c r="D3537" s="3">
        <v>11940</v>
      </c>
    </row>
    <row r="3538" spans="1:4">
      <c r="A3538" s="2" t="s">
        <v>383</v>
      </c>
      <c r="B3538" s="2">
        <v>1700056</v>
      </c>
      <c r="C3538" s="2" t="s">
        <v>321</v>
      </c>
      <c r="D3538" s="3">
        <v>6973</v>
      </c>
    </row>
    <row r="3539" spans="1:4">
      <c r="A3539" s="2" t="s">
        <v>383</v>
      </c>
      <c r="B3539" s="2">
        <v>1700057</v>
      </c>
      <c r="C3539" s="2" t="s">
        <v>322</v>
      </c>
      <c r="D3539" s="3">
        <v>2098</v>
      </c>
    </row>
    <row r="3540" spans="1:4">
      <c r="A3540" s="2" t="s">
        <v>383</v>
      </c>
      <c r="B3540" s="2">
        <v>1700058</v>
      </c>
      <c r="C3540" s="2" t="s">
        <v>323</v>
      </c>
      <c r="D3540" s="3">
        <v>5800</v>
      </c>
    </row>
    <row r="3541" spans="1:4">
      <c r="A3541" s="2" t="s">
        <v>383</v>
      </c>
      <c r="B3541" s="2">
        <v>1700059</v>
      </c>
      <c r="C3541" s="2" t="s">
        <v>324</v>
      </c>
      <c r="D3541" s="3">
        <v>27667</v>
      </c>
    </row>
    <row r="3542" spans="1:4">
      <c r="A3542" s="2" t="s">
        <v>383</v>
      </c>
      <c r="B3542" s="2">
        <v>1700060</v>
      </c>
      <c r="C3542" s="2" t="s">
        <v>325</v>
      </c>
      <c r="D3542" s="3">
        <v>3824</v>
      </c>
    </row>
    <row r="3543" spans="1:4">
      <c r="A3543" s="2" t="s">
        <v>383</v>
      </c>
      <c r="B3543" s="2">
        <v>1700061</v>
      </c>
      <c r="C3543" s="2" t="s">
        <v>326</v>
      </c>
      <c r="D3543" s="3">
        <v>8920</v>
      </c>
    </row>
    <row r="3544" spans="1:4">
      <c r="A3544" s="2" t="s">
        <v>383</v>
      </c>
      <c r="B3544" s="2">
        <v>1700062</v>
      </c>
      <c r="C3544" s="2" t="s">
        <v>327</v>
      </c>
      <c r="D3544" s="3">
        <v>10520</v>
      </c>
    </row>
    <row r="3545" spans="1:4">
      <c r="A3545" s="2" t="s">
        <v>383</v>
      </c>
      <c r="B3545" s="2">
        <v>1700063</v>
      </c>
      <c r="C3545" s="2" t="s">
        <v>328</v>
      </c>
      <c r="D3545" s="3">
        <v>10550</v>
      </c>
    </row>
    <row r="3546" spans="1:4">
      <c r="A3546" s="2" t="s">
        <v>383</v>
      </c>
      <c r="B3546" s="2">
        <v>1700064</v>
      </c>
      <c r="C3546" s="2" t="s">
        <v>329</v>
      </c>
      <c r="D3546" s="3">
        <v>11060</v>
      </c>
    </row>
    <row r="3547" spans="1:4">
      <c r="A3547" s="2" t="s">
        <v>383</v>
      </c>
      <c r="B3547" s="2">
        <v>1700065</v>
      </c>
      <c r="C3547" s="2" t="s">
        <v>330</v>
      </c>
      <c r="D3547" s="3">
        <v>12760</v>
      </c>
    </row>
    <row r="3548" spans="1:4">
      <c r="A3548" s="2" t="s">
        <v>383</v>
      </c>
      <c r="B3548" s="2">
        <v>1700066</v>
      </c>
      <c r="C3548" s="2" t="s">
        <v>331</v>
      </c>
      <c r="D3548" s="3">
        <v>13200</v>
      </c>
    </row>
    <row r="3549" spans="1:4">
      <c r="A3549" s="2" t="s">
        <v>383</v>
      </c>
      <c r="B3549" s="2">
        <v>1700067</v>
      </c>
      <c r="C3549" s="2" t="s">
        <v>332</v>
      </c>
      <c r="D3549" s="3">
        <v>10720</v>
      </c>
    </row>
    <row r="3550" spans="1:4">
      <c r="A3550" s="2" t="s">
        <v>383</v>
      </c>
      <c r="B3550" s="2">
        <v>1700068</v>
      </c>
      <c r="C3550" s="2" t="s">
        <v>333</v>
      </c>
      <c r="D3550" s="3">
        <v>12720</v>
      </c>
    </row>
    <row r="3551" spans="1:4">
      <c r="A3551" s="2" t="s">
        <v>383</v>
      </c>
      <c r="B3551" s="2">
        <v>1700069</v>
      </c>
      <c r="C3551" s="2" t="s">
        <v>334</v>
      </c>
      <c r="D3551" s="3">
        <v>14000</v>
      </c>
    </row>
    <row r="3552" spans="1:4">
      <c r="A3552" s="2" t="s">
        <v>383</v>
      </c>
      <c r="B3552" s="2">
        <v>1700070</v>
      </c>
      <c r="C3552" s="2" t="s">
        <v>335</v>
      </c>
      <c r="D3552" s="3">
        <v>1618</v>
      </c>
    </row>
    <row r="3553" spans="1:4">
      <c r="A3553" s="2" t="s">
        <v>383</v>
      </c>
      <c r="B3553" s="2">
        <v>1700071</v>
      </c>
      <c r="C3553" s="2" t="s">
        <v>336</v>
      </c>
      <c r="D3553" s="3">
        <v>12190</v>
      </c>
    </row>
    <row r="3554" spans="1:4">
      <c r="A3554" s="2" t="s">
        <v>383</v>
      </c>
      <c r="B3554" s="2">
        <v>1700072</v>
      </c>
      <c r="C3554" s="2" t="s">
        <v>337</v>
      </c>
      <c r="D3554" s="3">
        <v>10180</v>
      </c>
    </row>
    <row r="3555" spans="1:4">
      <c r="A3555" s="2" t="s">
        <v>383</v>
      </c>
      <c r="B3555" s="2">
        <v>1700073</v>
      </c>
      <c r="C3555" s="2" t="s">
        <v>338</v>
      </c>
      <c r="D3555" s="3">
        <v>9020</v>
      </c>
    </row>
    <row r="3556" spans="1:4">
      <c r="A3556" s="2" t="s">
        <v>383</v>
      </c>
      <c r="B3556" s="2">
        <v>1700076</v>
      </c>
      <c r="C3556" s="2" t="s">
        <v>339</v>
      </c>
      <c r="D3556" s="3">
        <v>3222</v>
      </c>
    </row>
    <row r="3557" spans="1:4">
      <c r="A3557" s="2" t="s">
        <v>383</v>
      </c>
      <c r="B3557" s="2">
        <v>1700077</v>
      </c>
      <c r="C3557" s="2" t="s">
        <v>340</v>
      </c>
      <c r="D3557" s="3">
        <v>3039</v>
      </c>
    </row>
    <row r="3558" spans="1:4">
      <c r="A3558" s="2" t="s">
        <v>383</v>
      </c>
      <c r="B3558" s="2">
        <v>1700078</v>
      </c>
      <c r="C3558" s="2" t="s">
        <v>341</v>
      </c>
      <c r="D3558" s="3">
        <v>4716</v>
      </c>
    </row>
    <row r="3559" spans="1:4">
      <c r="A3559" s="2" t="s">
        <v>383</v>
      </c>
      <c r="B3559" s="2">
        <v>1700080</v>
      </c>
      <c r="C3559" s="2" t="s">
        <v>342</v>
      </c>
      <c r="D3559" s="3">
        <v>3529</v>
      </c>
    </row>
    <row r="3560" spans="1:4">
      <c r="A3560" s="2" t="s">
        <v>383</v>
      </c>
      <c r="B3560" s="2">
        <v>1700083</v>
      </c>
      <c r="C3560" s="2" t="s">
        <v>343</v>
      </c>
      <c r="D3560" s="3">
        <v>8333</v>
      </c>
    </row>
    <row r="3561" spans="1:4">
      <c r="A3561" s="2" t="s">
        <v>383</v>
      </c>
      <c r="B3561" s="2">
        <v>1700084</v>
      </c>
      <c r="C3561" s="2" t="s">
        <v>344</v>
      </c>
      <c r="D3561" s="3">
        <v>9241</v>
      </c>
    </row>
    <row r="3562" spans="1:4">
      <c r="A3562" s="2" t="s">
        <v>383</v>
      </c>
      <c r="B3562" s="2">
        <v>1700085</v>
      </c>
      <c r="C3562" s="2" t="s">
        <v>345</v>
      </c>
      <c r="D3562" s="3">
        <v>7860</v>
      </c>
    </row>
    <row r="3563" spans="1:4">
      <c r="A3563" s="2" t="s">
        <v>383</v>
      </c>
      <c r="B3563" s="2">
        <v>1700086</v>
      </c>
      <c r="C3563" s="2" t="s">
        <v>346</v>
      </c>
      <c r="D3563" s="3">
        <v>2647</v>
      </c>
    </row>
    <row r="3564" spans="1:4">
      <c r="A3564" s="2" t="s">
        <v>383</v>
      </c>
      <c r="B3564" s="2">
        <v>1700087</v>
      </c>
      <c r="C3564" s="2" t="s">
        <v>347</v>
      </c>
      <c r="D3564" s="3">
        <v>4890</v>
      </c>
    </row>
    <row r="3565" spans="1:4">
      <c r="A3565" s="2" t="s">
        <v>383</v>
      </c>
      <c r="B3565" s="2">
        <v>1700088</v>
      </c>
      <c r="C3565" s="2" t="s">
        <v>348</v>
      </c>
      <c r="D3565" s="3">
        <v>15500</v>
      </c>
    </row>
    <row r="3566" spans="1:4">
      <c r="A3566" s="2" t="s">
        <v>383</v>
      </c>
      <c r="B3566" s="2">
        <v>1700089</v>
      </c>
      <c r="C3566" s="2" t="s">
        <v>349</v>
      </c>
      <c r="D3566" s="3">
        <v>18500</v>
      </c>
    </row>
    <row r="3567" spans="1:4">
      <c r="A3567" s="2" t="s">
        <v>383</v>
      </c>
      <c r="B3567" s="2">
        <v>1700090</v>
      </c>
      <c r="C3567" s="2" t="s">
        <v>350</v>
      </c>
      <c r="D3567" s="3">
        <v>27451</v>
      </c>
    </row>
    <row r="3568" spans="1:4">
      <c r="A3568" s="2" t="s">
        <v>383</v>
      </c>
      <c r="B3568" s="2">
        <v>1700091</v>
      </c>
      <c r="C3568" s="2" t="s">
        <v>351</v>
      </c>
      <c r="D3568" s="3">
        <v>18353</v>
      </c>
    </row>
    <row r="3569" spans="1:4">
      <c r="A3569" s="2" t="s">
        <v>383</v>
      </c>
      <c r="B3569" s="2">
        <v>1700092</v>
      </c>
      <c r="C3569" s="2" t="s">
        <v>352</v>
      </c>
      <c r="D3569" s="3">
        <v>1255</v>
      </c>
    </row>
    <row r="3570" spans="1:4">
      <c r="A3570" s="2" t="s">
        <v>383</v>
      </c>
      <c r="B3570" s="2">
        <v>1700093</v>
      </c>
      <c r="C3570" s="2" t="s">
        <v>353</v>
      </c>
      <c r="D3570" s="3">
        <v>11180</v>
      </c>
    </row>
    <row r="3571" spans="1:4">
      <c r="A3571" s="2" t="s">
        <v>383</v>
      </c>
      <c r="B3571" s="2">
        <v>1700094</v>
      </c>
      <c r="C3571" s="2" t="s">
        <v>354</v>
      </c>
      <c r="D3571" s="3">
        <v>13529</v>
      </c>
    </row>
    <row r="3572" spans="1:4">
      <c r="A3572" s="2" t="s">
        <v>383</v>
      </c>
      <c r="B3572" s="2">
        <v>1700095</v>
      </c>
      <c r="C3572" s="2" t="s">
        <v>355</v>
      </c>
      <c r="D3572" s="3">
        <v>4500</v>
      </c>
    </row>
    <row r="3573" spans="1:4">
      <c r="A3573" s="2" t="s">
        <v>383</v>
      </c>
      <c r="B3573" s="2">
        <v>1700096</v>
      </c>
      <c r="C3573" s="2" t="s">
        <v>356</v>
      </c>
      <c r="D3573" s="3">
        <v>24510</v>
      </c>
    </row>
    <row r="3574" spans="1:4">
      <c r="A3574" s="2" t="s">
        <v>383</v>
      </c>
      <c r="B3574" s="2">
        <v>1700097</v>
      </c>
      <c r="C3574" s="2" t="s">
        <v>357</v>
      </c>
      <c r="D3574" s="3">
        <v>19608</v>
      </c>
    </row>
    <row r="3575" spans="1:4">
      <c r="A3575" s="2" t="s">
        <v>383</v>
      </c>
      <c r="B3575" s="2">
        <v>1700098</v>
      </c>
      <c r="C3575" s="2" t="s">
        <v>358</v>
      </c>
      <c r="D3575" s="3">
        <v>19608</v>
      </c>
    </row>
    <row r="3576" spans="1:4">
      <c r="A3576" s="2" t="s">
        <v>383</v>
      </c>
      <c r="B3576" s="2">
        <v>1700099</v>
      </c>
      <c r="C3576" s="2" t="s">
        <v>359</v>
      </c>
      <c r="D3576" s="3">
        <v>9740</v>
      </c>
    </row>
    <row r="3577" spans="1:4">
      <c r="A3577" s="2" t="s">
        <v>383</v>
      </c>
      <c r="B3577" s="2">
        <v>1700100</v>
      </c>
      <c r="C3577" s="2" t="s">
        <v>360</v>
      </c>
      <c r="D3577" s="3">
        <v>4160</v>
      </c>
    </row>
    <row r="3578" spans="1:4">
      <c r="A3578" s="2" t="s">
        <v>383</v>
      </c>
      <c r="B3578" s="2">
        <v>1700101</v>
      </c>
      <c r="C3578" s="2" t="s">
        <v>361</v>
      </c>
      <c r="D3578" s="3">
        <v>7647</v>
      </c>
    </row>
    <row r="3579" spans="1:4">
      <c r="A3579" s="2" t="s">
        <v>383</v>
      </c>
      <c r="B3579" s="2">
        <v>1700102</v>
      </c>
      <c r="C3579" s="2" t="s">
        <v>362</v>
      </c>
      <c r="D3579" s="3">
        <v>40196</v>
      </c>
    </row>
    <row r="3580" spans="1:4">
      <c r="A3580" s="2" t="s">
        <v>383</v>
      </c>
      <c r="B3580" s="2">
        <v>1700103</v>
      </c>
      <c r="C3580" s="2" t="s">
        <v>363</v>
      </c>
      <c r="D3580" s="3">
        <v>9000</v>
      </c>
    </row>
    <row r="3581" spans="1:4">
      <c r="A3581" s="2" t="s">
        <v>383</v>
      </c>
      <c r="B3581" s="2">
        <v>1700104</v>
      </c>
      <c r="C3581" s="2" t="s">
        <v>364</v>
      </c>
      <c r="D3581" s="3">
        <v>25000</v>
      </c>
    </row>
    <row r="3582" spans="1:4">
      <c r="A3582" s="2" t="s">
        <v>383</v>
      </c>
      <c r="B3582" s="2">
        <v>1700105</v>
      </c>
      <c r="C3582" s="2" t="s">
        <v>365</v>
      </c>
      <c r="D3582" s="3">
        <v>10588</v>
      </c>
    </row>
    <row r="3583" spans="1:4">
      <c r="A3583" s="2" t="s">
        <v>383</v>
      </c>
      <c r="B3583" s="2">
        <v>1700106</v>
      </c>
      <c r="C3583" s="2" t="s">
        <v>366</v>
      </c>
      <c r="D3583" s="3">
        <v>14020</v>
      </c>
    </row>
    <row r="3584" spans="1:4">
      <c r="A3584" s="2" t="s">
        <v>383</v>
      </c>
      <c r="B3584" s="2">
        <v>1700107</v>
      </c>
      <c r="C3584" s="2" t="s">
        <v>367</v>
      </c>
      <c r="D3584" s="3">
        <v>9020</v>
      </c>
    </row>
    <row r="3585" spans="1:4">
      <c r="A3585" s="2" t="s">
        <v>383</v>
      </c>
      <c r="B3585" s="2">
        <v>1800002</v>
      </c>
      <c r="C3585" s="2" t="s">
        <v>368</v>
      </c>
      <c r="D3585" s="3">
        <v>9520</v>
      </c>
    </row>
    <row r="3586" spans="1:4">
      <c r="A3586" s="2" t="s">
        <v>383</v>
      </c>
      <c r="B3586" s="2">
        <v>1800004</v>
      </c>
      <c r="C3586" s="2" t="s">
        <v>369</v>
      </c>
      <c r="D3586" s="3">
        <v>0</v>
      </c>
    </row>
    <row r="3587" spans="1:4">
      <c r="A3587" s="2" t="s">
        <v>383</v>
      </c>
      <c r="B3587" s="2">
        <v>1800005</v>
      </c>
      <c r="C3587" s="2" t="s">
        <v>370</v>
      </c>
      <c r="D3587" s="3">
        <v>0</v>
      </c>
    </row>
    <row r="3588" spans="1:4">
      <c r="A3588" s="2" t="s">
        <v>383</v>
      </c>
      <c r="B3588" s="2">
        <v>1800006</v>
      </c>
      <c r="C3588" s="2" t="s">
        <v>371</v>
      </c>
      <c r="D3588" s="3">
        <v>0</v>
      </c>
    </row>
    <row r="3589" spans="1:4">
      <c r="A3589" s="2" t="s">
        <v>383</v>
      </c>
      <c r="B3589" s="2">
        <v>1800007</v>
      </c>
      <c r="C3589" s="2" t="s">
        <v>372</v>
      </c>
      <c r="D3589" s="3">
        <v>10000</v>
      </c>
    </row>
    <row r="3590" spans="1:4">
      <c r="A3590" s="2" t="s">
        <v>383</v>
      </c>
      <c r="B3590" s="2">
        <v>1800008</v>
      </c>
      <c r="C3590" s="2" t="s">
        <v>373</v>
      </c>
      <c r="D3590" s="3">
        <v>10230</v>
      </c>
    </row>
    <row r="3591" spans="1:4">
      <c r="A3591" s="2" t="s">
        <v>383</v>
      </c>
      <c r="B3591" s="2">
        <v>1800009</v>
      </c>
      <c r="C3591" s="2" t="s">
        <v>374</v>
      </c>
      <c r="D3591" s="3">
        <v>11800</v>
      </c>
    </row>
    <row r="3592" spans="1:4">
      <c r="A3592" s="2" t="s">
        <v>383</v>
      </c>
      <c r="B3592" s="2">
        <v>1800010</v>
      </c>
      <c r="C3592" s="2" t="s">
        <v>375</v>
      </c>
      <c r="D3592" s="3">
        <v>6863</v>
      </c>
    </row>
    <row r="3593" spans="1:4">
      <c r="A3593" s="2" t="s">
        <v>383</v>
      </c>
      <c r="B3593" s="2">
        <v>1800011</v>
      </c>
      <c r="C3593" s="2" t="s">
        <v>376</v>
      </c>
      <c r="D3593" s="3">
        <v>13235</v>
      </c>
    </row>
    <row r="3594" spans="1:4">
      <c r="A3594" s="2" t="s">
        <v>383</v>
      </c>
      <c r="B3594" s="2">
        <v>1800012</v>
      </c>
      <c r="C3594" s="2" t="s">
        <v>377</v>
      </c>
      <c r="D3594" s="3">
        <v>8235</v>
      </c>
    </row>
    <row r="3595" spans="1:4">
      <c r="A3595" s="2" t="s">
        <v>383</v>
      </c>
      <c r="B3595" s="2">
        <v>1800013</v>
      </c>
      <c r="C3595" s="2" t="s">
        <v>378</v>
      </c>
      <c r="D3595" s="3">
        <v>49100</v>
      </c>
    </row>
    <row r="3596" spans="1:4">
      <c r="A3596" s="2" t="s">
        <v>383</v>
      </c>
      <c r="B3596" s="2">
        <v>1800014</v>
      </c>
      <c r="C3596" s="2" t="s">
        <v>379</v>
      </c>
      <c r="D3596" s="3">
        <v>70000</v>
      </c>
    </row>
    <row r="3597" spans="1:4">
      <c r="A3597" s="2" t="s">
        <v>383</v>
      </c>
      <c r="B3597" s="2">
        <v>1800015</v>
      </c>
      <c r="C3597" s="2" t="s">
        <v>380</v>
      </c>
      <c r="D3597" s="3">
        <v>66700</v>
      </c>
    </row>
    <row r="3598" spans="1:4">
      <c r="A3598" s="2" t="s">
        <v>383</v>
      </c>
      <c r="B3598" s="2">
        <v>1900013</v>
      </c>
      <c r="C3598" s="2" t="s">
        <v>381</v>
      </c>
      <c r="D3598" s="3">
        <v>0</v>
      </c>
    </row>
    <row r="3599" spans="1:4">
      <c r="A3599" s="2" t="s">
        <v>383</v>
      </c>
      <c r="B3599" s="2">
        <v>1900018</v>
      </c>
      <c r="C3599" s="2" t="s">
        <v>382</v>
      </c>
      <c r="D3599" s="3">
        <v>0</v>
      </c>
    </row>
    <row r="3600" spans="1:4">
      <c r="A3600" s="2" t="s">
        <v>384</v>
      </c>
      <c r="B3600" s="2">
        <v>1010101</v>
      </c>
      <c r="C3600" s="2" t="s">
        <v>5</v>
      </c>
      <c r="D3600" s="3">
        <v>700</v>
      </c>
    </row>
    <row r="3601" spans="1:4">
      <c r="A3601" s="2" t="s">
        <v>384</v>
      </c>
      <c r="B3601" s="2">
        <v>1010111</v>
      </c>
      <c r="C3601" s="2" t="s">
        <v>9</v>
      </c>
      <c r="D3601" s="3">
        <v>19100</v>
      </c>
    </row>
    <row r="3602" spans="1:4">
      <c r="A3602" s="2" t="s">
        <v>384</v>
      </c>
      <c r="B3602" s="2">
        <v>1010201</v>
      </c>
      <c r="C3602" s="2" t="s">
        <v>11</v>
      </c>
      <c r="D3602" s="3">
        <v>1373</v>
      </c>
    </row>
    <row r="3603" spans="1:4">
      <c r="A3603" s="2" t="s">
        <v>384</v>
      </c>
      <c r="B3603" s="2">
        <v>1010300</v>
      </c>
      <c r="C3603" s="2" t="s">
        <v>213</v>
      </c>
      <c r="D3603" s="3">
        <v>8824</v>
      </c>
    </row>
    <row r="3604" spans="1:4">
      <c r="A3604" s="2" t="s">
        <v>384</v>
      </c>
      <c r="B3604" s="2">
        <v>1010301</v>
      </c>
      <c r="C3604" s="2" t="s">
        <v>214</v>
      </c>
      <c r="D3604" s="3">
        <v>6373</v>
      </c>
    </row>
    <row r="3605" spans="1:4">
      <c r="A3605" s="2" t="s">
        <v>384</v>
      </c>
      <c r="B3605" s="2">
        <v>1010302</v>
      </c>
      <c r="C3605" s="2" t="s">
        <v>16</v>
      </c>
      <c r="D3605" s="3">
        <v>4314</v>
      </c>
    </row>
    <row r="3606" spans="1:4">
      <c r="A3606" s="2" t="s">
        <v>384</v>
      </c>
      <c r="B3606" s="2">
        <v>1010303</v>
      </c>
      <c r="C3606" s="2" t="s">
        <v>18</v>
      </c>
      <c r="D3606" s="3">
        <v>882</v>
      </c>
    </row>
    <row r="3607" spans="1:4">
      <c r="A3607" s="2" t="s">
        <v>384</v>
      </c>
      <c r="B3607" s="2">
        <v>1010304</v>
      </c>
      <c r="C3607" s="2" t="s">
        <v>215</v>
      </c>
      <c r="D3607" s="3">
        <v>1422</v>
      </c>
    </row>
    <row r="3608" spans="1:4">
      <c r="A3608" s="2" t="s">
        <v>384</v>
      </c>
      <c r="B3608" s="2">
        <v>1010401</v>
      </c>
      <c r="C3608" s="2" t="s">
        <v>20</v>
      </c>
      <c r="D3608" s="3">
        <v>3627</v>
      </c>
    </row>
    <row r="3609" spans="1:4">
      <c r="A3609" s="2" t="s">
        <v>384</v>
      </c>
      <c r="B3609" s="2">
        <v>1010405</v>
      </c>
      <c r="C3609" s="2" t="s">
        <v>22</v>
      </c>
      <c r="D3609" s="3">
        <v>9975</v>
      </c>
    </row>
    <row r="3610" spans="1:4">
      <c r="A3610" s="2" t="s">
        <v>384</v>
      </c>
      <c r="B3610" s="2">
        <v>1010501</v>
      </c>
      <c r="C3610" s="2" t="s">
        <v>24</v>
      </c>
      <c r="D3610" s="3">
        <v>980</v>
      </c>
    </row>
    <row r="3611" spans="1:4">
      <c r="A3611" s="2" t="s">
        <v>384</v>
      </c>
      <c r="B3611" s="2">
        <v>1010502</v>
      </c>
      <c r="C3611" s="2" t="s">
        <v>216</v>
      </c>
      <c r="D3611" s="3">
        <v>0</v>
      </c>
    </row>
    <row r="3612" spans="1:4">
      <c r="A3612" s="2" t="s">
        <v>384</v>
      </c>
      <c r="B3612" s="2">
        <v>1010601</v>
      </c>
      <c r="C3612" s="2" t="s">
        <v>26</v>
      </c>
      <c r="D3612" s="3">
        <v>4412</v>
      </c>
    </row>
    <row r="3613" spans="1:4">
      <c r="A3613" s="2" t="s">
        <v>384</v>
      </c>
      <c r="B3613" s="2">
        <v>1010701</v>
      </c>
      <c r="C3613" s="2" t="s">
        <v>28</v>
      </c>
      <c r="D3613" s="3">
        <v>686</v>
      </c>
    </row>
    <row r="3614" spans="1:4">
      <c r="A3614" s="2" t="s">
        <v>384</v>
      </c>
      <c r="B3614" s="2">
        <v>1010801</v>
      </c>
      <c r="C3614" s="2" t="s">
        <v>30</v>
      </c>
      <c r="D3614" s="3">
        <v>9118</v>
      </c>
    </row>
    <row r="3615" spans="1:4">
      <c r="A3615" s="2" t="s">
        <v>384</v>
      </c>
      <c r="B3615" s="2">
        <v>1010901</v>
      </c>
      <c r="C3615" s="2" t="s">
        <v>32</v>
      </c>
      <c r="D3615" s="3">
        <v>4804</v>
      </c>
    </row>
    <row r="3616" spans="1:4">
      <c r="A3616" s="2" t="s">
        <v>384</v>
      </c>
      <c r="B3616" s="2">
        <v>1020101</v>
      </c>
      <c r="C3616" s="2" t="s">
        <v>34</v>
      </c>
      <c r="D3616" s="3">
        <v>17451</v>
      </c>
    </row>
    <row r="3617" spans="1:4">
      <c r="A3617" s="2" t="s">
        <v>384</v>
      </c>
      <c r="B3617" s="2">
        <v>1020201</v>
      </c>
      <c r="C3617" s="2" t="s">
        <v>217</v>
      </c>
      <c r="D3617" s="3">
        <v>5600</v>
      </c>
    </row>
    <row r="3618" spans="1:4">
      <c r="A3618" s="2" t="s">
        <v>384</v>
      </c>
      <c r="B3618" s="2">
        <v>1020301</v>
      </c>
      <c r="C3618" s="2" t="s">
        <v>38</v>
      </c>
      <c r="D3618" s="3">
        <v>2098</v>
      </c>
    </row>
    <row r="3619" spans="1:4">
      <c r="A3619" s="2" t="s">
        <v>384</v>
      </c>
      <c r="B3619" s="2">
        <v>1020401</v>
      </c>
      <c r="C3619" s="2" t="s">
        <v>40</v>
      </c>
      <c r="D3619" s="3">
        <v>3400</v>
      </c>
    </row>
    <row r="3620" spans="1:4">
      <c r="A3620" s="2" t="s">
        <v>384</v>
      </c>
      <c r="B3620" s="2">
        <v>1030102</v>
      </c>
      <c r="C3620" s="2" t="s">
        <v>218</v>
      </c>
      <c r="D3620" s="3">
        <v>0</v>
      </c>
    </row>
    <row r="3621" spans="1:4">
      <c r="A3621" s="2" t="s">
        <v>384</v>
      </c>
      <c r="B3621" s="2">
        <v>1030201</v>
      </c>
      <c r="C3621" s="2" t="s">
        <v>42</v>
      </c>
      <c r="D3621" s="3">
        <v>2843</v>
      </c>
    </row>
    <row r="3622" spans="1:4">
      <c r="A3622" s="2" t="s">
        <v>384</v>
      </c>
      <c r="B3622" s="2">
        <v>1030203</v>
      </c>
      <c r="C3622" s="2" t="s">
        <v>219</v>
      </c>
      <c r="D3622" s="3">
        <v>0</v>
      </c>
    </row>
    <row r="3623" spans="1:4">
      <c r="A3623" s="2" t="s">
        <v>384</v>
      </c>
      <c r="B3623" s="2">
        <v>1030204</v>
      </c>
      <c r="C3623" s="2" t="s">
        <v>220</v>
      </c>
      <c r="D3623" s="3">
        <v>0</v>
      </c>
    </row>
    <row r="3624" spans="1:4">
      <c r="A3624" s="2" t="s">
        <v>384</v>
      </c>
      <c r="B3624" s="2">
        <v>1030205</v>
      </c>
      <c r="C3624" s="2" t="s">
        <v>44</v>
      </c>
      <c r="D3624" s="3">
        <v>5000</v>
      </c>
    </row>
    <row r="3625" spans="1:4">
      <c r="A3625" s="2" t="s">
        <v>384</v>
      </c>
      <c r="B3625" s="2">
        <v>1030206</v>
      </c>
      <c r="C3625" s="2" t="s">
        <v>46</v>
      </c>
      <c r="D3625" s="3">
        <v>6200</v>
      </c>
    </row>
    <row r="3626" spans="1:4">
      <c r="A3626" s="2" t="s">
        <v>384</v>
      </c>
      <c r="B3626" s="2">
        <v>1030207</v>
      </c>
      <c r="C3626" s="2" t="s">
        <v>48</v>
      </c>
      <c r="D3626" s="3">
        <v>4600</v>
      </c>
    </row>
    <row r="3627" spans="1:4">
      <c r="A3627" s="2" t="s">
        <v>384</v>
      </c>
      <c r="B3627" s="2">
        <v>1030501</v>
      </c>
      <c r="C3627" s="2" t="s">
        <v>50</v>
      </c>
      <c r="D3627" s="3">
        <v>1127</v>
      </c>
    </row>
    <row r="3628" spans="1:4">
      <c r="A3628" s="2" t="s">
        <v>384</v>
      </c>
      <c r="B3628" s="2">
        <v>1030601</v>
      </c>
      <c r="C3628" s="2" t="s">
        <v>52</v>
      </c>
      <c r="D3628" s="3">
        <v>3000</v>
      </c>
    </row>
    <row r="3629" spans="1:4">
      <c r="A3629" s="2" t="s">
        <v>384</v>
      </c>
      <c r="B3629" s="2">
        <v>1030701</v>
      </c>
      <c r="C3629" s="2" t="s">
        <v>221</v>
      </c>
      <c r="D3629" s="3">
        <v>3000</v>
      </c>
    </row>
    <row r="3630" spans="1:4">
      <c r="A3630" s="2" t="s">
        <v>384</v>
      </c>
      <c r="B3630" s="2">
        <v>1030705</v>
      </c>
      <c r="C3630" s="2" t="s">
        <v>222</v>
      </c>
      <c r="D3630" s="3">
        <v>0</v>
      </c>
    </row>
    <row r="3631" spans="1:4">
      <c r="A3631" s="2" t="s">
        <v>384</v>
      </c>
      <c r="B3631" s="2">
        <v>1030801</v>
      </c>
      <c r="C3631" s="2" t="s">
        <v>54</v>
      </c>
      <c r="D3631" s="3">
        <v>1176</v>
      </c>
    </row>
    <row r="3632" spans="1:4">
      <c r="A3632" s="2" t="s">
        <v>384</v>
      </c>
      <c r="B3632" s="2">
        <v>1030901</v>
      </c>
      <c r="C3632" s="2" t="s">
        <v>223</v>
      </c>
      <c r="D3632" s="3">
        <v>0</v>
      </c>
    </row>
    <row r="3633" spans="1:4">
      <c r="A3633" s="2" t="s">
        <v>384</v>
      </c>
      <c r="B3633" s="2">
        <v>1040201</v>
      </c>
      <c r="C3633" s="2" t="s">
        <v>56</v>
      </c>
      <c r="D3633" s="3">
        <v>1400</v>
      </c>
    </row>
    <row r="3634" spans="1:4">
      <c r="A3634" s="2" t="s">
        <v>384</v>
      </c>
      <c r="B3634" s="2">
        <v>1040202</v>
      </c>
      <c r="C3634" s="2" t="s">
        <v>224</v>
      </c>
      <c r="D3634" s="3">
        <v>0</v>
      </c>
    </row>
    <row r="3635" spans="1:4">
      <c r="A3635" s="2" t="s">
        <v>384</v>
      </c>
      <c r="B3635" s="2">
        <v>1040203</v>
      </c>
      <c r="C3635" s="2" t="s">
        <v>225</v>
      </c>
      <c r="D3635" s="3">
        <v>0</v>
      </c>
    </row>
    <row r="3636" spans="1:4">
      <c r="A3636" s="2" t="s">
        <v>384</v>
      </c>
      <c r="B3636" s="2">
        <v>1040204</v>
      </c>
      <c r="C3636" s="2" t="s">
        <v>226</v>
      </c>
      <c r="D3636" s="3">
        <v>8583</v>
      </c>
    </row>
    <row r="3637" spans="1:4">
      <c r="A3637" s="2" t="s">
        <v>384</v>
      </c>
      <c r="B3637" s="2">
        <v>1040301</v>
      </c>
      <c r="C3637" s="2" t="s">
        <v>58</v>
      </c>
      <c r="D3637" s="3">
        <v>1625</v>
      </c>
    </row>
    <row r="3638" spans="1:4">
      <c r="A3638" s="2" t="s">
        <v>384</v>
      </c>
      <c r="B3638" s="2">
        <v>1040401</v>
      </c>
      <c r="C3638" s="2" t="s">
        <v>227</v>
      </c>
      <c r="D3638" s="3">
        <v>0</v>
      </c>
    </row>
    <row r="3639" spans="1:4">
      <c r="A3639" s="2" t="s">
        <v>384</v>
      </c>
      <c r="B3639" s="2">
        <v>1050102</v>
      </c>
      <c r="C3639" s="2" t="s">
        <v>60</v>
      </c>
      <c r="D3639" s="3">
        <v>31000</v>
      </c>
    </row>
    <row r="3640" spans="1:4">
      <c r="A3640" s="2" t="s">
        <v>384</v>
      </c>
      <c r="B3640" s="2">
        <v>1050103</v>
      </c>
      <c r="C3640" s="2" t="s">
        <v>228</v>
      </c>
      <c r="D3640" s="3">
        <v>11275</v>
      </c>
    </row>
    <row r="3641" spans="1:4">
      <c r="A3641" s="2" t="s">
        <v>384</v>
      </c>
      <c r="B3641" s="2">
        <v>1050301</v>
      </c>
      <c r="C3641" s="2" t="s">
        <v>62</v>
      </c>
      <c r="D3641" s="3">
        <v>9804</v>
      </c>
    </row>
    <row r="3642" spans="1:4">
      <c r="A3642" s="2" t="s">
        <v>384</v>
      </c>
      <c r="B3642" s="2">
        <v>1050401</v>
      </c>
      <c r="C3642" s="2" t="s">
        <v>64</v>
      </c>
      <c r="D3642" s="3">
        <v>8824</v>
      </c>
    </row>
    <row r="3643" spans="1:4">
      <c r="A3643" s="2" t="s">
        <v>384</v>
      </c>
      <c r="B3643" s="2">
        <v>1050501</v>
      </c>
      <c r="C3643" s="2" t="s">
        <v>66</v>
      </c>
      <c r="D3643" s="3">
        <v>10784</v>
      </c>
    </row>
    <row r="3644" spans="1:4">
      <c r="A3644" s="2" t="s">
        <v>384</v>
      </c>
      <c r="B3644" s="2">
        <v>1050511</v>
      </c>
      <c r="C3644" s="2" t="s">
        <v>68</v>
      </c>
      <c r="D3644" s="3">
        <v>17647</v>
      </c>
    </row>
    <row r="3645" spans="1:4">
      <c r="A3645" s="2" t="s">
        <v>384</v>
      </c>
      <c r="B3645" s="2">
        <v>1050512</v>
      </c>
      <c r="C3645" s="2" t="s">
        <v>229</v>
      </c>
      <c r="D3645" s="3">
        <v>0</v>
      </c>
    </row>
    <row r="3646" spans="1:4">
      <c r="A3646" s="2" t="s">
        <v>384</v>
      </c>
      <c r="B3646" s="2">
        <v>1050521</v>
      </c>
      <c r="C3646" s="2" t="s">
        <v>70</v>
      </c>
      <c r="D3646" s="3">
        <v>14706</v>
      </c>
    </row>
    <row r="3647" spans="1:4">
      <c r="A3647" s="2" t="s">
        <v>384</v>
      </c>
      <c r="B3647" s="2">
        <v>1050531</v>
      </c>
      <c r="C3647" s="2" t="s">
        <v>72</v>
      </c>
      <c r="D3647" s="3">
        <v>21000</v>
      </c>
    </row>
    <row r="3648" spans="1:4">
      <c r="A3648" s="2" t="s">
        <v>384</v>
      </c>
      <c r="B3648" s="2">
        <v>1050541</v>
      </c>
      <c r="C3648" s="2" t="s">
        <v>74</v>
      </c>
      <c r="D3648" s="3">
        <v>11000</v>
      </c>
    </row>
    <row r="3649" spans="1:4">
      <c r="A3649" s="2" t="s">
        <v>384</v>
      </c>
      <c r="B3649" s="2">
        <v>1050551</v>
      </c>
      <c r="C3649" s="2" t="s">
        <v>76</v>
      </c>
      <c r="D3649" s="3">
        <v>54000</v>
      </c>
    </row>
    <row r="3650" spans="1:4">
      <c r="A3650" s="2" t="s">
        <v>384</v>
      </c>
      <c r="B3650" s="2">
        <v>1050561</v>
      </c>
      <c r="C3650" s="2" t="s">
        <v>78</v>
      </c>
      <c r="D3650" s="3">
        <v>77321</v>
      </c>
    </row>
    <row r="3651" spans="1:4">
      <c r="A3651" s="2" t="s">
        <v>384</v>
      </c>
      <c r="B3651" s="2">
        <v>1050571</v>
      </c>
      <c r="C3651" s="2" t="s">
        <v>80</v>
      </c>
      <c r="D3651" s="3">
        <v>58000</v>
      </c>
    </row>
    <row r="3652" spans="1:4">
      <c r="A3652" s="2" t="s">
        <v>384</v>
      </c>
      <c r="B3652" s="2">
        <v>1050581</v>
      </c>
      <c r="C3652" s="2" t="s">
        <v>82</v>
      </c>
      <c r="D3652" s="3">
        <v>57000</v>
      </c>
    </row>
    <row r="3653" spans="1:4">
      <c r="A3653" s="2" t="s">
        <v>384</v>
      </c>
      <c r="B3653" s="2">
        <v>1050591</v>
      </c>
      <c r="C3653" s="2" t="s">
        <v>84</v>
      </c>
      <c r="D3653" s="3">
        <v>97750</v>
      </c>
    </row>
    <row r="3654" spans="1:4">
      <c r="A3654" s="2" t="s">
        <v>384</v>
      </c>
      <c r="B3654" s="2">
        <v>1050601</v>
      </c>
      <c r="C3654" s="2" t="s">
        <v>86</v>
      </c>
      <c r="D3654" s="3">
        <v>6400</v>
      </c>
    </row>
    <row r="3655" spans="1:4">
      <c r="A3655" s="2" t="s">
        <v>384</v>
      </c>
      <c r="B3655" s="2">
        <v>1050701</v>
      </c>
      <c r="C3655" s="2" t="s">
        <v>88</v>
      </c>
      <c r="D3655" s="3">
        <v>6300</v>
      </c>
    </row>
    <row r="3656" spans="1:4">
      <c r="A3656" s="2" t="s">
        <v>384</v>
      </c>
      <c r="B3656" s="2">
        <v>1050702</v>
      </c>
      <c r="C3656" s="2" t="s">
        <v>90</v>
      </c>
      <c r="D3656" s="3">
        <v>6000</v>
      </c>
    </row>
    <row r="3657" spans="1:4">
      <c r="A3657" s="2" t="s">
        <v>384</v>
      </c>
      <c r="B3657" s="2">
        <v>1050711</v>
      </c>
      <c r="C3657" s="2" t="s">
        <v>92</v>
      </c>
      <c r="D3657" s="3">
        <v>2900</v>
      </c>
    </row>
    <row r="3658" spans="1:4">
      <c r="A3658" s="2" t="s">
        <v>384</v>
      </c>
      <c r="B3658" s="2">
        <v>1050721</v>
      </c>
      <c r="C3658" s="2" t="s">
        <v>94</v>
      </c>
      <c r="D3658" s="3">
        <v>14290</v>
      </c>
    </row>
    <row r="3659" spans="1:4">
      <c r="A3659" s="2" t="s">
        <v>384</v>
      </c>
      <c r="B3659" s="2">
        <v>1050801</v>
      </c>
      <c r="C3659" s="2" t="s">
        <v>7</v>
      </c>
      <c r="D3659" s="3">
        <v>882</v>
      </c>
    </row>
    <row r="3660" spans="1:4">
      <c r="A3660" s="2" t="s">
        <v>384</v>
      </c>
      <c r="B3660" s="2">
        <v>1050901</v>
      </c>
      <c r="C3660" s="2" t="s">
        <v>96</v>
      </c>
      <c r="D3660" s="3">
        <v>1290</v>
      </c>
    </row>
    <row r="3661" spans="1:4">
      <c r="A3661" s="2" t="s">
        <v>384</v>
      </c>
      <c r="B3661" s="2">
        <v>1060101</v>
      </c>
      <c r="C3661" s="2" t="s">
        <v>98</v>
      </c>
      <c r="D3661" s="3">
        <v>2200</v>
      </c>
    </row>
    <row r="3662" spans="1:4">
      <c r="A3662" s="2" t="s">
        <v>384</v>
      </c>
      <c r="B3662" s="2">
        <v>1060401</v>
      </c>
      <c r="C3662" s="2" t="s">
        <v>100</v>
      </c>
      <c r="D3662" s="3">
        <v>71000</v>
      </c>
    </row>
    <row r="3663" spans="1:4">
      <c r="A3663" s="2" t="s">
        <v>384</v>
      </c>
      <c r="B3663" s="2">
        <v>1060412</v>
      </c>
      <c r="C3663" s="2" t="s">
        <v>230</v>
      </c>
      <c r="D3663" s="3">
        <v>33000</v>
      </c>
    </row>
    <row r="3664" spans="1:4">
      <c r="A3664" s="2" t="s">
        <v>384</v>
      </c>
      <c r="B3664" s="2">
        <v>1060421</v>
      </c>
      <c r="C3664" s="2" t="s">
        <v>104</v>
      </c>
      <c r="D3664" s="3">
        <v>110000</v>
      </c>
    </row>
    <row r="3665" spans="1:4">
      <c r="A3665" s="2" t="s">
        <v>384</v>
      </c>
      <c r="B3665" s="2">
        <v>1060441</v>
      </c>
      <c r="C3665" s="2" t="s">
        <v>106</v>
      </c>
      <c r="D3665" s="3">
        <v>6471</v>
      </c>
    </row>
    <row r="3666" spans="1:4">
      <c r="A3666" s="2" t="s">
        <v>384</v>
      </c>
      <c r="B3666" s="2">
        <v>1060451</v>
      </c>
      <c r="C3666" s="2" t="s">
        <v>108</v>
      </c>
      <c r="D3666" s="3">
        <v>38235</v>
      </c>
    </row>
    <row r="3667" spans="1:4">
      <c r="A3667" s="2" t="s">
        <v>384</v>
      </c>
      <c r="B3667" s="2">
        <v>1070101</v>
      </c>
      <c r="C3667" s="2" t="s">
        <v>110</v>
      </c>
      <c r="D3667" s="3">
        <v>4000</v>
      </c>
    </row>
    <row r="3668" spans="1:4">
      <c r="A3668" s="2" t="s">
        <v>384</v>
      </c>
      <c r="B3668" s="2">
        <v>1070301</v>
      </c>
      <c r="C3668" s="2" t="s">
        <v>112</v>
      </c>
      <c r="D3668" s="3">
        <v>37000</v>
      </c>
    </row>
    <row r="3669" spans="1:4">
      <c r="A3669" s="2" t="s">
        <v>384</v>
      </c>
      <c r="B3669" s="2">
        <v>1070401</v>
      </c>
      <c r="C3669" s="2" t="s">
        <v>114</v>
      </c>
      <c r="D3669" s="3">
        <v>12000</v>
      </c>
    </row>
    <row r="3670" spans="1:4">
      <c r="A3670" s="2" t="s">
        <v>384</v>
      </c>
      <c r="B3670" s="2">
        <v>1070501</v>
      </c>
      <c r="C3670" s="2" t="s">
        <v>231</v>
      </c>
      <c r="D3670" s="3">
        <v>5500</v>
      </c>
    </row>
    <row r="3671" spans="1:4">
      <c r="A3671" s="2" t="s">
        <v>384</v>
      </c>
      <c r="B3671" s="2">
        <v>1070701</v>
      </c>
      <c r="C3671" s="2" t="s">
        <v>118</v>
      </c>
      <c r="D3671" s="3">
        <v>36000</v>
      </c>
    </row>
    <row r="3672" spans="1:4">
      <c r="A3672" s="2" t="s">
        <v>384</v>
      </c>
      <c r="B3672" s="2">
        <v>1070801</v>
      </c>
      <c r="C3672" s="2" t="s">
        <v>232</v>
      </c>
      <c r="D3672" s="3">
        <v>35000</v>
      </c>
    </row>
    <row r="3673" spans="1:4">
      <c r="A3673" s="2" t="s">
        <v>384</v>
      </c>
      <c r="B3673" s="2">
        <v>1080101</v>
      </c>
      <c r="C3673" s="2" t="s">
        <v>120</v>
      </c>
      <c r="D3673" s="3">
        <v>11000</v>
      </c>
    </row>
    <row r="3674" spans="1:4">
      <c r="A3674" s="2" t="s">
        <v>384</v>
      </c>
      <c r="B3674" s="2">
        <v>1080201</v>
      </c>
      <c r="C3674" s="2" t="s">
        <v>122</v>
      </c>
      <c r="D3674" s="3">
        <v>540</v>
      </c>
    </row>
    <row r="3675" spans="1:4">
      <c r="A3675" s="2" t="s">
        <v>384</v>
      </c>
      <c r="B3675" s="2">
        <v>1080301</v>
      </c>
      <c r="C3675" s="2" t="s">
        <v>124</v>
      </c>
      <c r="D3675" s="3">
        <v>1550</v>
      </c>
    </row>
    <row r="3676" spans="1:4">
      <c r="A3676" s="2" t="s">
        <v>384</v>
      </c>
      <c r="B3676" s="2">
        <v>1080401</v>
      </c>
      <c r="C3676" s="2" t="s">
        <v>233</v>
      </c>
      <c r="D3676" s="3">
        <v>3150</v>
      </c>
    </row>
    <row r="3677" spans="1:4">
      <c r="A3677" s="2" t="s">
        <v>384</v>
      </c>
      <c r="B3677" s="2">
        <v>1080411</v>
      </c>
      <c r="C3677" s="2" t="s">
        <v>128</v>
      </c>
      <c r="D3677" s="3">
        <v>3150</v>
      </c>
    </row>
    <row r="3678" spans="1:4">
      <c r="A3678" s="2" t="s">
        <v>384</v>
      </c>
      <c r="B3678" s="2">
        <v>1080501</v>
      </c>
      <c r="C3678" s="2" t="s">
        <v>130</v>
      </c>
      <c r="D3678" s="3">
        <v>3800</v>
      </c>
    </row>
    <row r="3679" spans="1:4">
      <c r="A3679" s="2" t="s">
        <v>384</v>
      </c>
      <c r="B3679" s="2">
        <v>1080602</v>
      </c>
      <c r="C3679" s="2" t="s">
        <v>234</v>
      </c>
      <c r="D3679" s="3">
        <v>38600</v>
      </c>
    </row>
    <row r="3680" spans="1:4">
      <c r="A3680" s="2" t="s">
        <v>384</v>
      </c>
      <c r="B3680" s="2">
        <v>1080604</v>
      </c>
      <c r="C3680" s="2" t="s">
        <v>235</v>
      </c>
      <c r="D3680" s="3">
        <v>0</v>
      </c>
    </row>
    <row r="3681" spans="1:4">
      <c r="A3681" s="2" t="s">
        <v>384</v>
      </c>
      <c r="B3681" s="2">
        <v>1080702</v>
      </c>
      <c r="C3681" s="2" t="s">
        <v>236</v>
      </c>
      <c r="D3681" s="3">
        <v>43500</v>
      </c>
    </row>
    <row r="3682" spans="1:4">
      <c r="A3682" s="2" t="s">
        <v>384</v>
      </c>
      <c r="B3682" s="2">
        <v>1080704</v>
      </c>
      <c r="C3682" s="2" t="s">
        <v>237</v>
      </c>
      <c r="D3682" s="3">
        <v>0</v>
      </c>
    </row>
    <row r="3683" spans="1:4">
      <c r="A3683" s="2" t="s">
        <v>384</v>
      </c>
      <c r="B3683" s="2">
        <v>1090104</v>
      </c>
      <c r="C3683" s="2" t="s">
        <v>136</v>
      </c>
      <c r="D3683" s="3">
        <v>40000</v>
      </c>
    </row>
    <row r="3684" spans="1:4">
      <c r="A3684" s="2" t="s">
        <v>384</v>
      </c>
      <c r="B3684" s="2">
        <v>1090112</v>
      </c>
      <c r="C3684" s="2" t="s">
        <v>138</v>
      </c>
      <c r="D3684" s="3">
        <v>35000</v>
      </c>
    </row>
    <row r="3685" spans="1:4">
      <c r="A3685" s="2" t="s">
        <v>384</v>
      </c>
      <c r="B3685" s="2">
        <v>1090201</v>
      </c>
      <c r="C3685" s="2" t="s">
        <v>140</v>
      </c>
      <c r="D3685" s="3">
        <v>15800</v>
      </c>
    </row>
    <row r="3686" spans="1:4">
      <c r="A3686" s="2" t="s">
        <v>384</v>
      </c>
      <c r="B3686" s="2">
        <v>1090202</v>
      </c>
      <c r="C3686" s="2" t="s">
        <v>142</v>
      </c>
      <c r="D3686" s="3">
        <v>98000</v>
      </c>
    </row>
    <row r="3687" spans="1:4">
      <c r="A3687" s="2" t="s">
        <v>384</v>
      </c>
      <c r="B3687" s="2">
        <v>1090203</v>
      </c>
      <c r="C3687" s="2" t="s">
        <v>144</v>
      </c>
      <c r="D3687" s="3">
        <v>23000</v>
      </c>
    </row>
    <row r="3688" spans="1:4">
      <c r="A3688" s="2" t="s">
        <v>384</v>
      </c>
      <c r="B3688" s="2">
        <v>1090211</v>
      </c>
      <c r="C3688" s="2" t="s">
        <v>146</v>
      </c>
      <c r="D3688" s="3">
        <v>64706</v>
      </c>
    </row>
    <row r="3689" spans="1:4">
      <c r="A3689" s="2" t="s">
        <v>384</v>
      </c>
      <c r="B3689" s="2">
        <v>1090301</v>
      </c>
      <c r="C3689" s="2" t="s">
        <v>238</v>
      </c>
      <c r="D3689" s="3">
        <v>32000</v>
      </c>
    </row>
    <row r="3690" spans="1:4">
      <c r="A3690" s="2" t="s">
        <v>384</v>
      </c>
      <c r="B3690" s="2">
        <v>1090311</v>
      </c>
      <c r="C3690" s="2" t="s">
        <v>150</v>
      </c>
      <c r="D3690" s="3">
        <v>37000</v>
      </c>
    </row>
    <row r="3691" spans="1:4">
      <c r="A3691" s="2" t="s">
        <v>384</v>
      </c>
      <c r="B3691" s="2">
        <v>1090321</v>
      </c>
      <c r="C3691" s="2" t="s">
        <v>152</v>
      </c>
      <c r="D3691" s="3">
        <v>66000</v>
      </c>
    </row>
    <row r="3692" spans="1:4">
      <c r="A3692" s="2" t="s">
        <v>384</v>
      </c>
      <c r="B3692" s="2">
        <v>1090401</v>
      </c>
      <c r="C3692" s="2" t="s">
        <v>154</v>
      </c>
      <c r="D3692" s="3">
        <v>9300</v>
      </c>
    </row>
    <row r="3693" spans="1:4">
      <c r="A3693" s="2" t="s">
        <v>384</v>
      </c>
      <c r="B3693" s="2">
        <v>1090411</v>
      </c>
      <c r="C3693" s="2" t="s">
        <v>156</v>
      </c>
      <c r="D3693" s="3">
        <v>45000</v>
      </c>
    </row>
    <row r="3694" spans="1:4">
      <c r="A3694" s="2" t="s">
        <v>384</v>
      </c>
      <c r="B3694" s="2">
        <v>1090421</v>
      </c>
      <c r="C3694" s="2" t="s">
        <v>158</v>
      </c>
      <c r="D3694" s="3">
        <v>36000</v>
      </c>
    </row>
    <row r="3695" spans="1:4">
      <c r="A3695" s="2" t="s">
        <v>384</v>
      </c>
      <c r="B3695" s="2">
        <v>1090551</v>
      </c>
      <c r="C3695" s="2" t="s">
        <v>239</v>
      </c>
      <c r="D3695" s="3">
        <v>4900</v>
      </c>
    </row>
    <row r="3696" spans="1:4">
      <c r="A3696" s="2" t="s">
        <v>384</v>
      </c>
      <c r="B3696" s="2">
        <v>1090602</v>
      </c>
      <c r="C3696" s="2" t="s">
        <v>162</v>
      </c>
      <c r="D3696" s="3">
        <v>5290</v>
      </c>
    </row>
    <row r="3697" spans="1:4">
      <c r="A3697" s="2" t="s">
        <v>384</v>
      </c>
      <c r="B3697" s="2">
        <v>1090611</v>
      </c>
      <c r="C3697" s="2" t="s">
        <v>164</v>
      </c>
      <c r="D3697" s="3">
        <v>4300</v>
      </c>
    </row>
    <row r="3698" spans="1:4">
      <c r="A3698" s="2" t="s">
        <v>384</v>
      </c>
      <c r="B3698" s="2">
        <v>1090701</v>
      </c>
      <c r="C3698" s="2" t="s">
        <v>166</v>
      </c>
      <c r="D3698" s="3">
        <v>21000</v>
      </c>
    </row>
    <row r="3699" spans="1:4">
      <c r="A3699" s="2" t="s">
        <v>384</v>
      </c>
      <c r="B3699" s="2">
        <v>1090901</v>
      </c>
      <c r="C3699" s="2" t="s">
        <v>168</v>
      </c>
      <c r="D3699" s="3">
        <v>4300</v>
      </c>
    </row>
    <row r="3700" spans="1:4">
      <c r="A3700" s="2" t="s">
        <v>384</v>
      </c>
      <c r="B3700" s="2">
        <v>1091001</v>
      </c>
      <c r="C3700" s="2" t="s">
        <v>170</v>
      </c>
      <c r="D3700" s="3">
        <v>7000</v>
      </c>
    </row>
    <row r="3701" spans="1:4">
      <c r="A3701" s="2" t="s">
        <v>384</v>
      </c>
      <c r="B3701" s="2">
        <v>1091002</v>
      </c>
      <c r="C3701" s="2" t="s">
        <v>172</v>
      </c>
      <c r="D3701" s="3">
        <v>7030</v>
      </c>
    </row>
    <row r="3702" spans="1:4">
      <c r="A3702" s="2" t="s">
        <v>384</v>
      </c>
      <c r="B3702" s="2">
        <v>1091003</v>
      </c>
      <c r="C3702" s="2" t="s">
        <v>174</v>
      </c>
      <c r="D3702" s="3">
        <v>10863</v>
      </c>
    </row>
    <row r="3703" spans="1:4">
      <c r="A3703" s="2" t="s">
        <v>384</v>
      </c>
      <c r="B3703" s="2">
        <v>1091004</v>
      </c>
      <c r="C3703" s="2" t="s">
        <v>240</v>
      </c>
      <c r="D3703" s="3">
        <v>0</v>
      </c>
    </row>
    <row r="3704" spans="1:4">
      <c r="A3704" s="2" t="s">
        <v>384</v>
      </c>
      <c r="B3704" s="2">
        <v>1091005</v>
      </c>
      <c r="C3704" s="2" t="s">
        <v>241</v>
      </c>
      <c r="D3704" s="3">
        <v>0</v>
      </c>
    </row>
    <row r="3705" spans="1:4">
      <c r="A3705" s="2" t="s">
        <v>384</v>
      </c>
      <c r="B3705" s="2">
        <v>1091006</v>
      </c>
      <c r="C3705" s="2" t="s">
        <v>242</v>
      </c>
      <c r="D3705" s="3">
        <v>0</v>
      </c>
    </row>
    <row r="3706" spans="1:4">
      <c r="A3706" s="2" t="s">
        <v>384</v>
      </c>
      <c r="B3706" s="2">
        <v>1091007</v>
      </c>
      <c r="C3706" s="2" t="s">
        <v>243</v>
      </c>
      <c r="D3706" s="3">
        <v>2640</v>
      </c>
    </row>
    <row r="3707" spans="1:4">
      <c r="A3707" s="2" t="s">
        <v>384</v>
      </c>
      <c r="B3707" s="2">
        <v>1091008</v>
      </c>
      <c r="C3707" s="2" t="s">
        <v>176</v>
      </c>
      <c r="D3707" s="3">
        <v>450000</v>
      </c>
    </row>
    <row r="3708" spans="1:4">
      <c r="A3708" s="2" t="s">
        <v>384</v>
      </c>
      <c r="B3708" s="2">
        <v>1091009</v>
      </c>
      <c r="C3708" s="2" t="s">
        <v>178</v>
      </c>
      <c r="D3708" s="3">
        <v>190000</v>
      </c>
    </row>
    <row r="3709" spans="1:4">
      <c r="A3709" s="2" t="s">
        <v>384</v>
      </c>
      <c r="B3709" s="2">
        <v>1091010</v>
      </c>
      <c r="C3709" s="2" t="s">
        <v>180</v>
      </c>
      <c r="D3709" s="3">
        <v>27000</v>
      </c>
    </row>
    <row r="3710" spans="1:4">
      <c r="A3710" s="2" t="s">
        <v>384</v>
      </c>
      <c r="B3710" s="2">
        <v>1091011</v>
      </c>
      <c r="C3710" s="2" t="s">
        <v>182</v>
      </c>
      <c r="D3710" s="3">
        <v>33000</v>
      </c>
    </row>
    <row r="3711" spans="1:4">
      <c r="A3711" s="2" t="s">
        <v>384</v>
      </c>
      <c r="B3711" s="2">
        <v>1091012</v>
      </c>
      <c r="C3711" s="2" t="s">
        <v>184</v>
      </c>
      <c r="D3711" s="3">
        <v>47000</v>
      </c>
    </row>
    <row r="3712" spans="1:4">
      <c r="A3712" s="2" t="s">
        <v>384</v>
      </c>
      <c r="B3712" s="2">
        <v>1091013</v>
      </c>
      <c r="C3712" s="2" t="s">
        <v>186</v>
      </c>
      <c r="D3712" s="3">
        <v>33000</v>
      </c>
    </row>
    <row r="3713" spans="1:4">
      <c r="A3713" s="2" t="s">
        <v>384</v>
      </c>
      <c r="B3713" s="2">
        <v>1091014</v>
      </c>
      <c r="C3713" s="2" t="s">
        <v>244</v>
      </c>
      <c r="D3713" s="3">
        <v>6961</v>
      </c>
    </row>
    <row r="3714" spans="1:4">
      <c r="A3714" s="2" t="s">
        <v>384</v>
      </c>
      <c r="B3714" s="2">
        <v>1091015</v>
      </c>
      <c r="C3714" s="2" t="s">
        <v>245</v>
      </c>
      <c r="D3714" s="3">
        <v>25490</v>
      </c>
    </row>
    <row r="3715" spans="1:4">
      <c r="A3715" s="2" t="s">
        <v>384</v>
      </c>
      <c r="B3715" s="2">
        <v>1091016</v>
      </c>
      <c r="C3715" s="2" t="s">
        <v>246</v>
      </c>
      <c r="D3715" s="3">
        <v>50187</v>
      </c>
    </row>
    <row r="3716" spans="1:4">
      <c r="A3716" s="2" t="s">
        <v>384</v>
      </c>
      <c r="B3716" s="2">
        <v>1091017</v>
      </c>
      <c r="C3716" s="2" t="s">
        <v>247</v>
      </c>
      <c r="D3716" s="3">
        <v>74833</v>
      </c>
    </row>
    <row r="3717" spans="1:4">
      <c r="A3717" s="2" t="s">
        <v>384</v>
      </c>
      <c r="B3717" s="2">
        <v>1091018</v>
      </c>
      <c r="C3717" s="2" t="s">
        <v>248</v>
      </c>
      <c r="D3717" s="3">
        <v>33031</v>
      </c>
    </row>
    <row r="3718" spans="1:4">
      <c r="A3718" s="2" t="s">
        <v>384</v>
      </c>
      <c r="B3718" s="2">
        <v>1091019</v>
      </c>
      <c r="C3718" s="2" t="s">
        <v>249</v>
      </c>
      <c r="D3718" s="3">
        <v>53387</v>
      </c>
    </row>
    <row r="3719" spans="1:4">
      <c r="A3719" s="2" t="s">
        <v>384</v>
      </c>
      <c r="B3719" s="2">
        <v>1091020</v>
      </c>
      <c r="C3719" s="2" t="s">
        <v>250</v>
      </c>
      <c r="D3719" s="3">
        <v>100500</v>
      </c>
    </row>
    <row r="3720" spans="1:4">
      <c r="A3720" s="2" t="s">
        <v>384</v>
      </c>
      <c r="B3720" s="2">
        <v>1091021</v>
      </c>
      <c r="C3720" s="2" t="s">
        <v>251</v>
      </c>
      <c r="D3720" s="3">
        <v>50600</v>
      </c>
    </row>
    <row r="3721" spans="1:4">
      <c r="A3721" s="2" t="s">
        <v>384</v>
      </c>
      <c r="B3721" s="2">
        <v>1091022</v>
      </c>
      <c r="C3721" s="2" t="s">
        <v>252</v>
      </c>
      <c r="D3721" s="3">
        <v>3235</v>
      </c>
    </row>
    <row r="3722" spans="1:4">
      <c r="A3722" s="2" t="s">
        <v>384</v>
      </c>
      <c r="B3722" s="2">
        <v>1091023</v>
      </c>
      <c r="C3722" s="2" t="s">
        <v>253</v>
      </c>
      <c r="D3722" s="3">
        <v>4412</v>
      </c>
    </row>
    <row r="3723" spans="1:4">
      <c r="A3723" s="2" t="s">
        <v>384</v>
      </c>
      <c r="B3723" s="2">
        <v>1091024</v>
      </c>
      <c r="C3723" s="2" t="s">
        <v>254</v>
      </c>
      <c r="D3723" s="3">
        <v>3922</v>
      </c>
    </row>
    <row r="3724" spans="1:4">
      <c r="A3724" s="2" t="s">
        <v>384</v>
      </c>
      <c r="B3724" s="2">
        <v>1091025</v>
      </c>
      <c r="C3724" s="2" t="s">
        <v>255</v>
      </c>
      <c r="D3724" s="3">
        <v>9804</v>
      </c>
    </row>
    <row r="3725" spans="1:4">
      <c r="A3725" s="2" t="s">
        <v>384</v>
      </c>
      <c r="B3725" s="2">
        <v>1091026</v>
      </c>
      <c r="C3725" s="2" t="s">
        <v>256</v>
      </c>
      <c r="D3725" s="3">
        <v>30686</v>
      </c>
    </row>
    <row r="3726" spans="1:4">
      <c r="A3726" s="2" t="s">
        <v>384</v>
      </c>
      <c r="B3726" s="2">
        <v>1600101</v>
      </c>
      <c r="C3726" s="2" t="s">
        <v>188</v>
      </c>
      <c r="D3726" s="3">
        <v>2917</v>
      </c>
    </row>
    <row r="3727" spans="1:4">
      <c r="A3727" s="2" t="s">
        <v>384</v>
      </c>
      <c r="B3727" s="2">
        <v>1600102</v>
      </c>
      <c r="C3727" s="2" t="s">
        <v>257</v>
      </c>
      <c r="D3727" s="3">
        <v>36275</v>
      </c>
    </row>
    <row r="3728" spans="1:4">
      <c r="A3728" s="2" t="s">
        <v>384</v>
      </c>
      <c r="B3728" s="2">
        <v>1600103</v>
      </c>
      <c r="C3728" s="2" t="s">
        <v>258</v>
      </c>
      <c r="D3728" s="3">
        <v>19800</v>
      </c>
    </row>
    <row r="3729" spans="1:4">
      <c r="A3729" s="2" t="s">
        <v>384</v>
      </c>
      <c r="B3729" s="2">
        <v>1600104</v>
      </c>
      <c r="C3729" s="2" t="s">
        <v>259</v>
      </c>
      <c r="D3729" s="3">
        <v>73810</v>
      </c>
    </row>
    <row r="3730" spans="1:4">
      <c r="A3730" s="2" t="s">
        <v>384</v>
      </c>
      <c r="B3730" s="2">
        <v>1600105</v>
      </c>
      <c r="C3730" s="2" t="s">
        <v>260</v>
      </c>
      <c r="D3730" s="3">
        <v>83950</v>
      </c>
    </row>
    <row r="3731" spans="1:4">
      <c r="A3731" s="2" t="s">
        <v>384</v>
      </c>
      <c r="B3731" s="2">
        <v>1600106</v>
      </c>
      <c r="C3731" s="2" t="s">
        <v>261</v>
      </c>
      <c r="D3731" s="3">
        <v>108071</v>
      </c>
    </row>
    <row r="3732" spans="1:4">
      <c r="A3732" s="2" t="s">
        <v>384</v>
      </c>
      <c r="B3732" s="2">
        <v>1600107</v>
      </c>
      <c r="C3732" s="2" t="s">
        <v>262</v>
      </c>
      <c r="D3732" s="3">
        <v>86601</v>
      </c>
    </row>
    <row r="3733" spans="1:4">
      <c r="A3733" s="2" t="s">
        <v>384</v>
      </c>
      <c r="B3733" s="2">
        <v>1600108</v>
      </c>
      <c r="C3733" s="2" t="s">
        <v>263</v>
      </c>
      <c r="D3733" s="3">
        <v>73810</v>
      </c>
    </row>
    <row r="3734" spans="1:4">
      <c r="A3734" s="2" t="s">
        <v>384</v>
      </c>
      <c r="B3734" s="2">
        <v>1600109</v>
      </c>
      <c r="C3734" s="2" t="s">
        <v>264</v>
      </c>
      <c r="D3734" s="3">
        <v>5882</v>
      </c>
    </row>
    <row r="3735" spans="1:4">
      <c r="A3735" s="2" t="s">
        <v>384</v>
      </c>
      <c r="B3735" s="2">
        <v>1600110</v>
      </c>
      <c r="C3735" s="2" t="s">
        <v>265</v>
      </c>
      <c r="D3735" s="3">
        <v>7917</v>
      </c>
    </row>
    <row r="3736" spans="1:4">
      <c r="A3736" s="2" t="s">
        <v>384</v>
      </c>
      <c r="B3736" s="2">
        <v>1600111</v>
      </c>
      <c r="C3736" s="2" t="s">
        <v>266</v>
      </c>
      <c r="D3736" s="3">
        <v>4360</v>
      </c>
    </row>
    <row r="3737" spans="1:4">
      <c r="A3737" s="2" t="s">
        <v>384</v>
      </c>
      <c r="B3737" s="2">
        <v>1600112</v>
      </c>
      <c r="C3737" s="2" t="s">
        <v>190</v>
      </c>
      <c r="D3737" s="3">
        <v>4800</v>
      </c>
    </row>
    <row r="3738" spans="1:4">
      <c r="A3738" s="2" t="s">
        <v>384</v>
      </c>
      <c r="B3738" s="2">
        <v>1600113</v>
      </c>
      <c r="C3738" s="2" t="s">
        <v>267</v>
      </c>
      <c r="D3738" s="3">
        <v>0</v>
      </c>
    </row>
    <row r="3739" spans="1:4">
      <c r="A3739" s="2" t="s">
        <v>384</v>
      </c>
      <c r="B3739" s="2">
        <v>1600114</v>
      </c>
      <c r="C3739" s="2" t="s">
        <v>268</v>
      </c>
      <c r="D3739" s="3">
        <v>13333</v>
      </c>
    </row>
    <row r="3740" spans="1:4">
      <c r="A3740" s="2" t="s">
        <v>384</v>
      </c>
      <c r="B3740" s="2">
        <v>1700001</v>
      </c>
      <c r="C3740" s="2" t="s">
        <v>269</v>
      </c>
      <c r="D3740" s="3">
        <v>4061</v>
      </c>
    </row>
    <row r="3741" spans="1:4">
      <c r="A3741" s="2" t="s">
        <v>384</v>
      </c>
      <c r="B3741" s="2">
        <v>1700002</v>
      </c>
      <c r="C3741" s="2" t="s">
        <v>270</v>
      </c>
      <c r="D3741" s="3">
        <v>3726</v>
      </c>
    </row>
    <row r="3742" spans="1:4">
      <c r="A3742" s="2" t="s">
        <v>384</v>
      </c>
      <c r="B3742" s="2">
        <v>1700003</v>
      </c>
      <c r="C3742" s="2" t="s">
        <v>271</v>
      </c>
      <c r="D3742" s="3">
        <v>4902</v>
      </c>
    </row>
    <row r="3743" spans="1:4">
      <c r="A3743" s="2" t="s">
        <v>384</v>
      </c>
      <c r="B3743" s="2">
        <v>1700004</v>
      </c>
      <c r="C3743" s="2" t="s">
        <v>272</v>
      </c>
      <c r="D3743" s="3">
        <v>15784</v>
      </c>
    </row>
    <row r="3744" spans="1:4">
      <c r="A3744" s="2" t="s">
        <v>384</v>
      </c>
      <c r="B3744" s="2">
        <v>1700005</v>
      </c>
      <c r="C3744" s="2" t="s">
        <v>192</v>
      </c>
      <c r="D3744" s="3">
        <v>1765</v>
      </c>
    </row>
    <row r="3745" spans="1:4">
      <c r="A3745" s="2" t="s">
        <v>384</v>
      </c>
      <c r="B3745" s="2">
        <v>1700006</v>
      </c>
      <c r="C3745" s="2" t="s">
        <v>273</v>
      </c>
      <c r="D3745" s="3">
        <v>7176</v>
      </c>
    </row>
    <row r="3746" spans="1:4">
      <c r="A3746" s="2" t="s">
        <v>384</v>
      </c>
      <c r="B3746" s="2">
        <v>1700007</v>
      </c>
      <c r="C3746" s="2" t="s">
        <v>274</v>
      </c>
      <c r="D3746" s="3">
        <v>0</v>
      </c>
    </row>
    <row r="3747" spans="1:4">
      <c r="A3747" s="2" t="s">
        <v>384</v>
      </c>
      <c r="B3747" s="2">
        <v>1700008</v>
      </c>
      <c r="C3747" s="2" t="s">
        <v>275</v>
      </c>
      <c r="D3747" s="3">
        <v>0</v>
      </c>
    </row>
    <row r="3748" spans="1:4">
      <c r="A3748" s="2" t="s">
        <v>384</v>
      </c>
      <c r="B3748" s="2">
        <v>1700009</v>
      </c>
      <c r="C3748" s="2" t="s">
        <v>276</v>
      </c>
      <c r="D3748" s="3">
        <v>0</v>
      </c>
    </row>
    <row r="3749" spans="1:4">
      <c r="A3749" s="2" t="s">
        <v>384</v>
      </c>
      <c r="B3749" s="2">
        <v>1700010</v>
      </c>
      <c r="C3749" s="2" t="s">
        <v>277</v>
      </c>
      <c r="D3749" s="3">
        <v>3990</v>
      </c>
    </row>
    <row r="3750" spans="1:4">
      <c r="A3750" s="2" t="s">
        <v>384</v>
      </c>
      <c r="B3750" s="2">
        <v>1700011</v>
      </c>
      <c r="C3750" s="2" t="s">
        <v>278</v>
      </c>
      <c r="D3750" s="3">
        <v>13235</v>
      </c>
    </row>
    <row r="3751" spans="1:4">
      <c r="A3751" s="2" t="s">
        <v>384</v>
      </c>
      <c r="B3751" s="2">
        <v>1700012</v>
      </c>
      <c r="C3751" s="2" t="s">
        <v>279</v>
      </c>
      <c r="D3751" s="3">
        <v>15980</v>
      </c>
    </row>
    <row r="3752" spans="1:4">
      <c r="A3752" s="2" t="s">
        <v>384</v>
      </c>
      <c r="B3752" s="2">
        <v>1700013</v>
      </c>
      <c r="C3752" s="2" t="s">
        <v>280</v>
      </c>
      <c r="D3752" s="3">
        <v>18137</v>
      </c>
    </row>
    <row r="3753" spans="1:4">
      <c r="A3753" s="2" t="s">
        <v>384</v>
      </c>
      <c r="B3753" s="2">
        <v>1700014</v>
      </c>
      <c r="C3753" s="2" t="s">
        <v>194</v>
      </c>
      <c r="D3753" s="3">
        <v>2300</v>
      </c>
    </row>
    <row r="3754" spans="1:4">
      <c r="A3754" s="2" t="s">
        <v>384</v>
      </c>
      <c r="B3754" s="2">
        <v>1700015</v>
      </c>
      <c r="C3754" s="2" t="s">
        <v>281</v>
      </c>
      <c r="D3754" s="3">
        <v>5190</v>
      </c>
    </row>
    <row r="3755" spans="1:4">
      <c r="A3755" s="2" t="s">
        <v>384</v>
      </c>
      <c r="B3755" s="2">
        <v>1700016</v>
      </c>
      <c r="C3755" s="2" t="s">
        <v>282</v>
      </c>
      <c r="D3755" s="3">
        <v>2549</v>
      </c>
    </row>
    <row r="3756" spans="1:4">
      <c r="A3756" s="2" t="s">
        <v>384</v>
      </c>
      <c r="B3756" s="2">
        <v>1700017</v>
      </c>
      <c r="C3756" s="2" t="s">
        <v>283</v>
      </c>
      <c r="D3756" s="3">
        <v>12198</v>
      </c>
    </row>
    <row r="3757" spans="1:4">
      <c r="A3757" s="2" t="s">
        <v>384</v>
      </c>
      <c r="B3757" s="2">
        <v>1700018</v>
      </c>
      <c r="C3757" s="2" t="s">
        <v>284</v>
      </c>
      <c r="D3757" s="3">
        <v>3734</v>
      </c>
    </row>
    <row r="3758" spans="1:4">
      <c r="A3758" s="2" t="s">
        <v>384</v>
      </c>
      <c r="B3758" s="2">
        <v>1700019</v>
      </c>
      <c r="C3758" s="2" t="s">
        <v>285</v>
      </c>
      <c r="D3758" s="3">
        <v>0</v>
      </c>
    </row>
    <row r="3759" spans="1:4">
      <c r="A3759" s="2" t="s">
        <v>384</v>
      </c>
      <c r="B3759" s="2">
        <v>1700020</v>
      </c>
      <c r="C3759" s="2" t="s">
        <v>286</v>
      </c>
      <c r="D3759" s="3">
        <v>49903</v>
      </c>
    </row>
    <row r="3760" spans="1:4">
      <c r="A3760" s="2" t="s">
        <v>384</v>
      </c>
      <c r="B3760" s="2">
        <v>1700021</v>
      </c>
      <c r="C3760" s="2" t="s">
        <v>287</v>
      </c>
      <c r="D3760" s="3">
        <v>75321</v>
      </c>
    </row>
    <row r="3761" spans="1:4">
      <c r="A3761" s="2" t="s">
        <v>384</v>
      </c>
      <c r="B3761" s="2">
        <v>1700022</v>
      </c>
      <c r="C3761" s="2" t="s">
        <v>288</v>
      </c>
      <c r="D3761" s="3">
        <v>33706</v>
      </c>
    </row>
    <row r="3762" spans="1:4">
      <c r="A3762" s="2" t="s">
        <v>384</v>
      </c>
      <c r="B3762" s="2">
        <v>1700023</v>
      </c>
      <c r="C3762" s="2" t="s">
        <v>289</v>
      </c>
      <c r="D3762" s="3">
        <v>8059</v>
      </c>
    </row>
    <row r="3763" spans="1:4">
      <c r="A3763" s="2" t="s">
        <v>384</v>
      </c>
      <c r="B3763" s="2">
        <v>1700024</v>
      </c>
      <c r="C3763" s="2" t="s">
        <v>290</v>
      </c>
      <c r="D3763" s="3">
        <v>3080</v>
      </c>
    </row>
    <row r="3764" spans="1:4">
      <c r="A3764" s="2" t="s">
        <v>384</v>
      </c>
      <c r="B3764" s="2">
        <v>1700025</v>
      </c>
      <c r="C3764" s="2" t="s">
        <v>291</v>
      </c>
      <c r="D3764" s="3">
        <v>1961</v>
      </c>
    </row>
    <row r="3765" spans="1:4">
      <c r="A3765" s="2" t="s">
        <v>384</v>
      </c>
      <c r="B3765" s="2">
        <v>1700026</v>
      </c>
      <c r="C3765" s="2" t="s">
        <v>292</v>
      </c>
      <c r="D3765" s="3">
        <v>3725</v>
      </c>
    </row>
    <row r="3766" spans="1:4">
      <c r="A3766" s="2" t="s">
        <v>384</v>
      </c>
      <c r="B3766" s="2">
        <v>1700027</v>
      </c>
      <c r="C3766" s="2" t="s">
        <v>293</v>
      </c>
      <c r="D3766" s="3">
        <v>4412</v>
      </c>
    </row>
    <row r="3767" spans="1:4">
      <c r="A3767" s="2" t="s">
        <v>384</v>
      </c>
      <c r="B3767" s="2">
        <v>1700028</v>
      </c>
      <c r="C3767" s="2" t="s">
        <v>294</v>
      </c>
      <c r="D3767" s="3">
        <v>9500</v>
      </c>
    </row>
    <row r="3768" spans="1:4">
      <c r="A3768" s="2" t="s">
        <v>384</v>
      </c>
      <c r="B3768" s="2">
        <v>1700029</v>
      </c>
      <c r="C3768" s="2" t="s">
        <v>295</v>
      </c>
      <c r="D3768" s="3">
        <v>10670</v>
      </c>
    </row>
    <row r="3769" spans="1:4">
      <c r="A3769" s="2" t="s">
        <v>384</v>
      </c>
      <c r="B3769" s="2">
        <v>1700030</v>
      </c>
      <c r="C3769" s="2" t="s">
        <v>296</v>
      </c>
      <c r="D3769" s="3">
        <v>12720</v>
      </c>
    </row>
    <row r="3770" spans="1:4">
      <c r="A3770" s="2" t="s">
        <v>384</v>
      </c>
      <c r="B3770" s="2">
        <v>1700031</v>
      </c>
      <c r="C3770" s="2" t="s">
        <v>196</v>
      </c>
      <c r="D3770" s="3">
        <v>2069</v>
      </c>
    </row>
    <row r="3771" spans="1:4">
      <c r="A3771" s="2" t="s">
        <v>384</v>
      </c>
      <c r="B3771" s="2">
        <v>1700032</v>
      </c>
      <c r="C3771" s="2" t="s">
        <v>297</v>
      </c>
      <c r="D3771" s="3">
        <v>0</v>
      </c>
    </row>
    <row r="3772" spans="1:4">
      <c r="A3772" s="2" t="s">
        <v>384</v>
      </c>
      <c r="B3772" s="2">
        <v>1700033</v>
      </c>
      <c r="C3772" s="2" t="s">
        <v>298</v>
      </c>
      <c r="D3772" s="3">
        <v>0</v>
      </c>
    </row>
    <row r="3773" spans="1:4">
      <c r="A3773" s="2" t="s">
        <v>384</v>
      </c>
      <c r="B3773" s="2">
        <v>1700034</v>
      </c>
      <c r="C3773" s="2" t="s">
        <v>299</v>
      </c>
      <c r="D3773" s="3">
        <v>18700</v>
      </c>
    </row>
    <row r="3774" spans="1:4">
      <c r="A3774" s="2" t="s">
        <v>384</v>
      </c>
      <c r="B3774" s="2">
        <v>1700035</v>
      </c>
      <c r="C3774" s="2" t="s">
        <v>300</v>
      </c>
      <c r="D3774" s="3">
        <v>34000</v>
      </c>
    </row>
    <row r="3775" spans="1:4">
      <c r="A3775" s="2" t="s">
        <v>384</v>
      </c>
      <c r="B3775" s="2">
        <v>1700036</v>
      </c>
      <c r="C3775" s="2" t="s">
        <v>301</v>
      </c>
      <c r="D3775" s="3">
        <v>5200</v>
      </c>
    </row>
    <row r="3776" spans="1:4">
      <c r="A3776" s="2" t="s">
        <v>384</v>
      </c>
      <c r="B3776" s="2">
        <v>1700037</v>
      </c>
      <c r="C3776" s="2" t="s">
        <v>302</v>
      </c>
      <c r="D3776" s="3">
        <v>7533</v>
      </c>
    </row>
    <row r="3777" spans="1:4">
      <c r="A3777" s="2" t="s">
        <v>384</v>
      </c>
      <c r="B3777" s="2">
        <v>1700038</v>
      </c>
      <c r="C3777" s="2" t="s">
        <v>303</v>
      </c>
      <c r="D3777" s="3">
        <v>2088</v>
      </c>
    </row>
    <row r="3778" spans="1:4">
      <c r="A3778" s="2" t="s">
        <v>384</v>
      </c>
      <c r="B3778" s="2">
        <v>1700039</v>
      </c>
      <c r="C3778" s="2" t="s">
        <v>304</v>
      </c>
      <c r="D3778" s="3">
        <v>3480</v>
      </c>
    </row>
    <row r="3779" spans="1:4">
      <c r="A3779" s="2" t="s">
        <v>384</v>
      </c>
      <c r="B3779" s="2">
        <v>1700040</v>
      </c>
      <c r="C3779" s="2" t="s">
        <v>305</v>
      </c>
      <c r="D3779" s="3">
        <v>1967</v>
      </c>
    </row>
    <row r="3780" spans="1:4">
      <c r="A3780" s="2" t="s">
        <v>384</v>
      </c>
      <c r="B3780" s="2">
        <v>1700041</v>
      </c>
      <c r="C3780" s="2" t="s">
        <v>306</v>
      </c>
      <c r="D3780" s="3">
        <v>3000</v>
      </c>
    </row>
    <row r="3781" spans="1:4">
      <c r="A3781" s="2" t="s">
        <v>384</v>
      </c>
      <c r="B3781" s="2">
        <v>1700042</v>
      </c>
      <c r="C3781" s="2" t="s">
        <v>307</v>
      </c>
      <c r="D3781" s="3">
        <v>3163</v>
      </c>
    </row>
    <row r="3782" spans="1:4">
      <c r="A3782" s="2" t="s">
        <v>384</v>
      </c>
      <c r="B3782" s="2">
        <v>1700043</v>
      </c>
      <c r="C3782" s="2" t="s">
        <v>308</v>
      </c>
      <c r="D3782" s="3">
        <v>5877</v>
      </c>
    </row>
    <row r="3783" spans="1:4">
      <c r="A3783" s="2" t="s">
        <v>384</v>
      </c>
      <c r="B3783" s="2">
        <v>1700044</v>
      </c>
      <c r="C3783" s="2" t="s">
        <v>309</v>
      </c>
      <c r="D3783" s="3">
        <v>7000</v>
      </c>
    </row>
    <row r="3784" spans="1:4">
      <c r="A3784" s="2" t="s">
        <v>384</v>
      </c>
      <c r="B3784" s="2">
        <v>1700045</v>
      </c>
      <c r="C3784" s="2" t="s">
        <v>310</v>
      </c>
      <c r="D3784" s="3">
        <v>3882</v>
      </c>
    </row>
    <row r="3785" spans="1:4">
      <c r="A3785" s="2" t="s">
        <v>384</v>
      </c>
      <c r="B3785" s="2">
        <v>1700046</v>
      </c>
      <c r="C3785" s="2" t="s">
        <v>311</v>
      </c>
      <c r="D3785" s="3">
        <v>6863</v>
      </c>
    </row>
    <row r="3786" spans="1:4">
      <c r="A3786" s="2" t="s">
        <v>384</v>
      </c>
      <c r="B3786" s="2">
        <v>1700047</v>
      </c>
      <c r="C3786" s="2" t="s">
        <v>312</v>
      </c>
      <c r="D3786" s="3">
        <v>22350</v>
      </c>
    </row>
    <row r="3787" spans="1:4">
      <c r="A3787" s="2" t="s">
        <v>384</v>
      </c>
      <c r="B3787" s="2">
        <v>1700048</v>
      </c>
      <c r="C3787" s="2" t="s">
        <v>313</v>
      </c>
      <c r="D3787" s="3">
        <v>13330</v>
      </c>
    </row>
    <row r="3788" spans="1:4">
      <c r="A3788" s="2" t="s">
        <v>384</v>
      </c>
      <c r="B3788" s="2">
        <v>1700049</v>
      </c>
      <c r="C3788" s="2" t="s">
        <v>314</v>
      </c>
      <c r="D3788" s="3">
        <v>4062</v>
      </c>
    </row>
    <row r="3789" spans="1:4">
      <c r="A3789" s="2" t="s">
        <v>384</v>
      </c>
      <c r="B3789" s="2">
        <v>1700050</v>
      </c>
      <c r="C3789" s="2" t="s">
        <v>315</v>
      </c>
      <c r="D3789" s="3">
        <v>39000</v>
      </c>
    </row>
    <row r="3790" spans="1:4">
      <c r="A3790" s="2" t="s">
        <v>384</v>
      </c>
      <c r="B3790" s="2">
        <v>1700051</v>
      </c>
      <c r="C3790" s="2" t="s">
        <v>316</v>
      </c>
      <c r="D3790" s="3">
        <v>11500</v>
      </c>
    </row>
    <row r="3791" spans="1:4">
      <c r="A3791" s="2" t="s">
        <v>384</v>
      </c>
      <c r="B3791" s="2">
        <v>1700052</v>
      </c>
      <c r="C3791" s="2" t="s">
        <v>317</v>
      </c>
      <c r="D3791" s="3">
        <v>3444</v>
      </c>
    </row>
    <row r="3792" spans="1:4">
      <c r="A3792" s="2" t="s">
        <v>384</v>
      </c>
      <c r="B3792" s="2">
        <v>1700053</v>
      </c>
      <c r="C3792" s="2" t="s">
        <v>318</v>
      </c>
      <c r="D3792" s="3">
        <v>15530</v>
      </c>
    </row>
    <row r="3793" spans="1:4">
      <c r="A3793" s="2" t="s">
        <v>384</v>
      </c>
      <c r="B3793" s="2">
        <v>1700054</v>
      </c>
      <c r="C3793" s="2" t="s">
        <v>319</v>
      </c>
      <c r="D3793" s="3">
        <v>11670</v>
      </c>
    </row>
    <row r="3794" spans="1:4">
      <c r="A3794" s="2" t="s">
        <v>384</v>
      </c>
      <c r="B3794" s="2">
        <v>1700055</v>
      </c>
      <c r="C3794" s="2" t="s">
        <v>320</v>
      </c>
      <c r="D3794" s="3">
        <v>11940</v>
      </c>
    </row>
    <row r="3795" spans="1:4">
      <c r="A3795" s="2" t="s">
        <v>384</v>
      </c>
      <c r="B3795" s="2">
        <v>1700056</v>
      </c>
      <c r="C3795" s="2" t="s">
        <v>321</v>
      </c>
      <c r="D3795" s="3">
        <v>6226</v>
      </c>
    </row>
    <row r="3796" spans="1:4">
      <c r="A3796" s="2" t="s">
        <v>384</v>
      </c>
      <c r="B3796" s="2">
        <v>1700057</v>
      </c>
      <c r="C3796" s="2" t="s">
        <v>322</v>
      </c>
      <c r="D3796" s="3">
        <v>2098</v>
      </c>
    </row>
    <row r="3797" spans="1:4">
      <c r="A3797" s="2" t="s">
        <v>384</v>
      </c>
      <c r="B3797" s="2">
        <v>1700058</v>
      </c>
      <c r="C3797" s="2" t="s">
        <v>323</v>
      </c>
      <c r="D3797" s="3">
        <v>5800</v>
      </c>
    </row>
    <row r="3798" spans="1:4">
      <c r="A3798" s="2" t="s">
        <v>384</v>
      </c>
      <c r="B3798" s="2">
        <v>1700059</v>
      </c>
      <c r="C3798" s="2" t="s">
        <v>324</v>
      </c>
      <c r="D3798" s="3">
        <v>27667</v>
      </c>
    </row>
    <row r="3799" spans="1:4">
      <c r="A3799" s="2" t="s">
        <v>384</v>
      </c>
      <c r="B3799" s="2">
        <v>1700060</v>
      </c>
      <c r="C3799" s="2" t="s">
        <v>325</v>
      </c>
      <c r="D3799" s="3">
        <v>3108</v>
      </c>
    </row>
    <row r="3800" spans="1:4">
      <c r="A3800" s="2" t="s">
        <v>384</v>
      </c>
      <c r="B3800" s="2">
        <v>1700061</v>
      </c>
      <c r="C3800" s="2" t="s">
        <v>326</v>
      </c>
      <c r="D3800" s="3">
        <v>8920</v>
      </c>
    </row>
    <row r="3801" spans="1:4">
      <c r="A3801" s="2" t="s">
        <v>384</v>
      </c>
      <c r="B3801" s="2">
        <v>1700062</v>
      </c>
      <c r="C3801" s="2" t="s">
        <v>327</v>
      </c>
      <c r="D3801" s="3">
        <v>10520</v>
      </c>
    </row>
    <row r="3802" spans="1:4">
      <c r="A3802" s="2" t="s">
        <v>384</v>
      </c>
      <c r="B3802" s="2">
        <v>1700063</v>
      </c>
      <c r="C3802" s="2" t="s">
        <v>328</v>
      </c>
      <c r="D3802" s="3">
        <v>10550</v>
      </c>
    </row>
    <row r="3803" spans="1:4">
      <c r="A3803" s="2" t="s">
        <v>384</v>
      </c>
      <c r="B3803" s="2">
        <v>1700064</v>
      </c>
      <c r="C3803" s="2" t="s">
        <v>329</v>
      </c>
      <c r="D3803" s="3">
        <v>11060</v>
      </c>
    </row>
    <row r="3804" spans="1:4">
      <c r="A3804" s="2" t="s">
        <v>384</v>
      </c>
      <c r="B3804" s="2">
        <v>1700065</v>
      </c>
      <c r="C3804" s="2" t="s">
        <v>330</v>
      </c>
      <c r="D3804" s="3">
        <v>12760</v>
      </c>
    </row>
    <row r="3805" spans="1:4">
      <c r="A3805" s="2" t="s">
        <v>384</v>
      </c>
      <c r="B3805" s="2">
        <v>1700066</v>
      </c>
      <c r="C3805" s="2" t="s">
        <v>331</v>
      </c>
      <c r="D3805" s="3">
        <v>13200</v>
      </c>
    </row>
    <row r="3806" spans="1:4">
      <c r="A3806" s="2" t="s">
        <v>384</v>
      </c>
      <c r="B3806" s="2">
        <v>1700067</v>
      </c>
      <c r="C3806" s="2" t="s">
        <v>332</v>
      </c>
      <c r="D3806" s="3">
        <v>10720</v>
      </c>
    </row>
    <row r="3807" spans="1:4">
      <c r="A3807" s="2" t="s">
        <v>384</v>
      </c>
      <c r="B3807" s="2">
        <v>1700068</v>
      </c>
      <c r="C3807" s="2" t="s">
        <v>333</v>
      </c>
      <c r="D3807" s="3">
        <v>12720</v>
      </c>
    </row>
    <row r="3808" spans="1:4">
      <c r="A3808" s="2" t="s">
        <v>384</v>
      </c>
      <c r="B3808" s="2">
        <v>1700069</v>
      </c>
      <c r="C3808" s="2" t="s">
        <v>334</v>
      </c>
      <c r="D3808" s="3">
        <v>14000</v>
      </c>
    </row>
    <row r="3809" spans="1:4">
      <c r="A3809" s="2" t="s">
        <v>384</v>
      </c>
      <c r="B3809" s="2">
        <v>1700070</v>
      </c>
      <c r="C3809" s="2" t="s">
        <v>335</v>
      </c>
      <c r="D3809" s="3">
        <v>1618</v>
      </c>
    </row>
    <row r="3810" spans="1:4">
      <c r="A3810" s="2" t="s">
        <v>384</v>
      </c>
      <c r="B3810" s="2">
        <v>1700071</v>
      </c>
      <c r="C3810" s="2" t="s">
        <v>336</v>
      </c>
      <c r="D3810" s="3">
        <v>12190</v>
      </c>
    </row>
    <row r="3811" spans="1:4">
      <c r="A3811" s="2" t="s">
        <v>384</v>
      </c>
      <c r="B3811" s="2">
        <v>1700072</v>
      </c>
      <c r="C3811" s="2" t="s">
        <v>337</v>
      </c>
      <c r="D3811" s="3">
        <v>10180</v>
      </c>
    </row>
    <row r="3812" spans="1:4">
      <c r="A3812" s="2" t="s">
        <v>384</v>
      </c>
      <c r="B3812" s="2">
        <v>1700073</v>
      </c>
      <c r="C3812" s="2" t="s">
        <v>338</v>
      </c>
      <c r="D3812" s="3">
        <v>9020</v>
      </c>
    </row>
    <row r="3813" spans="1:4">
      <c r="A3813" s="2" t="s">
        <v>384</v>
      </c>
      <c r="B3813" s="2">
        <v>1700076</v>
      </c>
      <c r="C3813" s="2" t="s">
        <v>339</v>
      </c>
      <c r="D3813" s="3">
        <v>2451</v>
      </c>
    </row>
    <row r="3814" spans="1:4">
      <c r="A3814" s="2" t="s">
        <v>384</v>
      </c>
      <c r="B3814" s="2">
        <v>1700077</v>
      </c>
      <c r="C3814" s="2" t="s">
        <v>340</v>
      </c>
      <c r="D3814" s="3">
        <v>2353</v>
      </c>
    </row>
    <row r="3815" spans="1:4">
      <c r="A3815" s="2" t="s">
        <v>384</v>
      </c>
      <c r="B3815" s="2">
        <v>1700078</v>
      </c>
      <c r="C3815" s="2" t="s">
        <v>341</v>
      </c>
      <c r="D3815" s="3">
        <v>4706</v>
      </c>
    </row>
    <row r="3816" spans="1:4">
      <c r="A3816" s="2" t="s">
        <v>384</v>
      </c>
      <c r="B3816" s="2">
        <v>1700080</v>
      </c>
      <c r="C3816" s="2" t="s">
        <v>342</v>
      </c>
      <c r="D3816" s="3">
        <v>3922</v>
      </c>
    </row>
    <row r="3817" spans="1:4">
      <c r="A3817" s="2" t="s">
        <v>384</v>
      </c>
      <c r="B3817" s="2">
        <v>1700083</v>
      </c>
      <c r="C3817" s="2" t="s">
        <v>343</v>
      </c>
      <c r="D3817" s="3">
        <v>8333</v>
      </c>
    </row>
    <row r="3818" spans="1:4">
      <c r="A3818" s="2" t="s">
        <v>384</v>
      </c>
      <c r="B3818" s="2">
        <v>1700084</v>
      </c>
      <c r="C3818" s="2" t="s">
        <v>344</v>
      </c>
      <c r="D3818" s="3">
        <v>11153</v>
      </c>
    </row>
    <row r="3819" spans="1:4">
      <c r="A3819" s="2" t="s">
        <v>384</v>
      </c>
      <c r="B3819" s="2">
        <v>1700085</v>
      </c>
      <c r="C3819" s="2" t="s">
        <v>345</v>
      </c>
      <c r="D3819" s="3">
        <v>8040</v>
      </c>
    </row>
    <row r="3820" spans="1:4">
      <c r="A3820" s="2" t="s">
        <v>384</v>
      </c>
      <c r="B3820" s="2">
        <v>1700086</v>
      </c>
      <c r="C3820" s="2" t="s">
        <v>346</v>
      </c>
      <c r="D3820" s="3">
        <v>2637</v>
      </c>
    </row>
    <row r="3821" spans="1:4">
      <c r="A3821" s="2" t="s">
        <v>384</v>
      </c>
      <c r="B3821" s="2">
        <v>1700087</v>
      </c>
      <c r="C3821" s="2" t="s">
        <v>347</v>
      </c>
      <c r="D3821" s="3">
        <v>4890</v>
      </c>
    </row>
    <row r="3822" spans="1:4">
      <c r="A3822" s="2" t="s">
        <v>384</v>
      </c>
      <c r="B3822" s="2">
        <v>1700088</v>
      </c>
      <c r="C3822" s="2" t="s">
        <v>348</v>
      </c>
      <c r="D3822" s="3">
        <v>15500</v>
      </c>
    </row>
    <row r="3823" spans="1:4">
      <c r="A3823" s="2" t="s">
        <v>384</v>
      </c>
      <c r="B3823" s="2">
        <v>1700089</v>
      </c>
      <c r="C3823" s="2" t="s">
        <v>349</v>
      </c>
      <c r="D3823" s="3">
        <v>18500</v>
      </c>
    </row>
    <row r="3824" spans="1:4">
      <c r="A3824" s="2" t="s">
        <v>384</v>
      </c>
      <c r="B3824" s="2">
        <v>1700090</v>
      </c>
      <c r="C3824" s="2" t="s">
        <v>350</v>
      </c>
      <c r="D3824" s="3">
        <v>27451</v>
      </c>
    </row>
    <row r="3825" spans="1:4">
      <c r="A3825" s="2" t="s">
        <v>384</v>
      </c>
      <c r="B3825" s="2">
        <v>1700091</v>
      </c>
      <c r="C3825" s="2" t="s">
        <v>351</v>
      </c>
      <c r="D3825" s="3">
        <v>18353</v>
      </c>
    </row>
    <row r="3826" spans="1:4">
      <c r="A3826" s="2" t="s">
        <v>384</v>
      </c>
      <c r="B3826" s="2">
        <v>1700092</v>
      </c>
      <c r="C3826" s="2" t="s">
        <v>352</v>
      </c>
      <c r="D3826" s="3">
        <v>1471</v>
      </c>
    </row>
    <row r="3827" spans="1:4">
      <c r="A3827" s="2" t="s">
        <v>384</v>
      </c>
      <c r="B3827" s="2">
        <v>1700093</v>
      </c>
      <c r="C3827" s="2" t="s">
        <v>353</v>
      </c>
      <c r="D3827" s="3">
        <v>11180</v>
      </c>
    </row>
    <row r="3828" spans="1:4">
      <c r="A3828" s="2" t="s">
        <v>384</v>
      </c>
      <c r="B3828" s="2">
        <v>1700094</v>
      </c>
      <c r="C3828" s="2" t="s">
        <v>354</v>
      </c>
      <c r="D3828" s="3">
        <v>13529</v>
      </c>
    </row>
    <row r="3829" spans="1:4">
      <c r="A3829" s="2" t="s">
        <v>384</v>
      </c>
      <c r="B3829" s="2">
        <v>1700095</v>
      </c>
      <c r="C3829" s="2" t="s">
        <v>355</v>
      </c>
      <c r="D3829" s="3">
        <v>4500</v>
      </c>
    </row>
    <row r="3830" spans="1:4">
      <c r="A3830" s="2" t="s">
        <v>384</v>
      </c>
      <c r="B3830" s="2">
        <v>1700096</v>
      </c>
      <c r="C3830" s="2" t="s">
        <v>356</v>
      </c>
      <c r="D3830" s="3">
        <v>24510</v>
      </c>
    </row>
    <row r="3831" spans="1:4">
      <c r="A3831" s="2" t="s">
        <v>384</v>
      </c>
      <c r="B3831" s="2">
        <v>1700097</v>
      </c>
      <c r="C3831" s="2" t="s">
        <v>357</v>
      </c>
      <c r="D3831" s="3">
        <v>19608</v>
      </c>
    </row>
    <row r="3832" spans="1:4">
      <c r="A3832" s="2" t="s">
        <v>384</v>
      </c>
      <c r="B3832" s="2">
        <v>1700098</v>
      </c>
      <c r="C3832" s="2" t="s">
        <v>358</v>
      </c>
      <c r="D3832" s="3">
        <v>19608</v>
      </c>
    </row>
    <row r="3833" spans="1:4">
      <c r="A3833" s="2" t="s">
        <v>384</v>
      </c>
      <c r="B3833" s="2">
        <v>1700099</v>
      </c>
      <c r="C3833" s="2" t="s">
        <v>359</v>
      </c>
      <c r="D3833" s="3">
        <v>9740</v>
      </c>
    </row>
    <row r="3834" spans="1:4">
      <c r="A3834" s="2" t="s">
        <v>384</v>
      </c>
      <c r="B3834" s="2">
        <v>1700100</v>
      </c>
      <c r="C3834" s="2" t="s">
        <v>360</v>
      </c>
      <c r="D3834" s="3">
        <v>4160</v>
      </c>
    </row>
    <row r="3835" spans="1:4">
      <c r="A3835" s="2" t="s">
        <v>384</v>
      </c>
      <c r="B3835" s="2">
        <v>1700101</v>
      </c>
      <c r="C3835" s="2" t="s">
        <v>361</v>
      </c>
      <c r="D3835" s="3">
        <v>7647</v>
      </c>
    </row>
    <row r="3836" spans="1:4">
      <c r="A3836" s="2" t="s">
        <v>384</v>
      </c>
      <c r="B3836" s="2">
        <v>1700102</v>
      </c>
      <c r="C3836" s="2" t="s">
        <v>362</v>
      </c>
      <c r="D3836" s="3">
        <v>40196</v>
      </c>
    </row>
    <row r="3837" spans="1:4">
      <c r="A3837" s="2" t="s">
        <v>384</v>
      </c>
      <c r="B3837" s="2">
        <v>1700103</v>
      </c>
      <c r="C3837" s="2" t="s">
        <v>363</v>
      </c>
      <c r="D3837" s="3">
        <v>9000</v>
      </c>
    </row>
    <row r="3838" spans="1:4">
      <c r="A3838" s="2" t="s">
        <v>384</v>
      </c>
      <c r="B3838" s="2">
        <v>1700104</v>
      </c>
      <c r="C3838" s="2" t="s">
        <v>364</v>
      </c>
      <c r="D3838" s="3">
        <v>25000</v>
      </c>
    </row>
    <row r="3839" spans="1:4">
      <c r="A3839" s="2" t="s">
        <v>384</v>
      </c>
      <c r="B3839" s="2">
        <v>1700105</v>
      </c>
      <c r="C3839" s="2" t="s">
        <v>365</v>
      </c>
      <c r="D3839" s="3">
        <v>10588</v>
      </c>
    </row>
    <row r="3840" spans="1:4">
      <c r="A3840" s="2" t="s">
        <v>384</v>
      </c>
      <c r="B3840" s="2">
        <v>1700106</v>
      </c>
      <c r="C3840" s="2" t="s">
        <v>366</v>
      </c>
      <c r="D3840" s="3">
        <v>14020</v>
      </c>
    </row>
    <row r="3841" spans="1:4">
      <c r="A3841" s="2" t="s">
        <v>384</v>
      </c>
      <c r="B3841" s="2">
        <v>1700107</v>
      </c>
      <c r="C3841" s="2" t="s">
        <v>367</v>
      </c>
      <c r="D3841" s="3">
        <v>9020</v>
      </c>
    </row>
    <row r="3842" spans="1:4">
      <c r="A3842" s="2" t="s">
        <v>384</v>
      </c>
      <c r="B3842" s="2">
        <v>1800002</v>
      </c>
      <c r="C3842" s="2" t="s">
        <v>368</v>
      </c>
      <c r="D3842" s="3">
        <v>9520</v>
      </c>
    </row>
    <row r="3843" spans="1:4">
      <c r="A3843" s="2" t="s">
        <v>384</v>
      </c>
      <c r="B3843" s="2">
        <v>1800004</v>
      </c>
      <c r="C3843" s="2" t="s">
        <v>369</v>
      </c>
      <c r="D3843" s="3">
        <v>0</v>
      </c>
    </row>
    <row r="3844" spans="1:4">
      <c r="A3844" s="2" t="s">
        <v>384</v>
      </c>
      <c r="B3844" s="2">
        <v>1800005</v>
      </c>
      <c r="C3844" s="2" t="s">
        <v>370</v>
      </c>
      <c r="D3844" s="3">
        <v>0</v>
      </c>
    </row>
    <row r="3845" spans="1:4">
      <c r="A3845" s="2" t="s">
        <v>384</v>
      </c>
      <c r="B3845" s="2">
        <v>1800006</v>
      </c>
      <c r="C3845" s="2" t="s">
        <v>371</v>
      </c>
      <c r="D3845" s="3">
        <v>0</v>
      </c>
    </row>
    <row r="3846" spans="1:4">
      <c r="A3846" s="2" t="s">
        <v>384</v>
      </c>
      <c r="B3846" s="2">
        <v>1800007</v>
      </c>
      <c r="C3846" s="2" t="s">
        <v>372</v>
      </c>
      <c r="D3846" s="3">
        <v>10000</v>
      </c>
    </row>
    <row r="3847" spans="1:4">
      <c r="A3847" s="2" t="s">
        <v>384</v>
      </c>
      <c r="B3847" s="2">
        <v>1800008</v>
      </c>
      <c r="C3847" s="2" t="s">
        <v>373</v>
      </c>
      <c r="D3847" s="3">
        <v>10230</v>
      </c>
    </row>
    <row r="3848" spans="1:4">
      <c r="A3848" s="2" t="s">
        <v>384</v>
      </c>
      <c r="B3848" s="2">
        <v>1800009</v>
      </c>
      <c r="C3848" s="2" t="s">
        <v>374</v>
      </c>
      <c r="D3848" s="3">
        <v>11800</v>
      </c>
    </row>
    <row r="3849" spans="1:4">
      <c r="A3849" s="2" t="s">
        <v>384</v>
      </c>
      <c r="B3849" s="2">
        <v>1800010</v>
      </c>
      <c r="C3849" s="2" t="s">
        <v>375</v>
      </c>
      <c r="D3849" s="3">
        <v>6863</v>
      </c>
    </row>
    <row r="3850" spans="1:4">
      <c r="A3850" s="2" t="s">
        <v>384</v>
      </c>
      <c r="B3850" s="2">
        <v>1800011</v>
      </c>
      <c r="C3850" s="2" t="s">
        <v>376</v>
      </c>
      <c r="D3850" s="3">
        <v>13235</v>
      </c>
    </row>
    <row r="3851" spans="1:4">
      <c r="A3851" s="2" t="s">
        <v>384</v>
      </c>
      <c r="B3851" s="2">
        <v>1800012</v>
      </c>
      <c r="C3851" s="2" t="s">
        <v>377</v>
      </c>
      <c r="D3851" s="3">
        <v>8235</v>
      </c>
    </row>
    <row r="3852" spans="1:4">
      <c r="A3852" s="2" t="s">
        <v>384</v>
      </c>
      <c r="B3852" s="2">
        <v>1800013</v>
      </c>
      <c r="C3852" s="2" t="s">
        <v>378</v>
      </c>
      <c r="D3852" s="3">
        <v>49100</v>
      </c>
    </row>
    <row r="3853" spans="1:4">
      <c r="A3853" s="2" t="s">
        <v>384</v>
      </c>
      <c r="B3853" s="2">
        <v>1800014</v>
      </c>
      <c r="C3853" s="2" t="s">
        <v>379</v>
      </c>
      <c r="D3853" s="3">
        <v>70000</v>
      </c>
    </row>
    <row r="3854" spans="1:4">
      <c r="A3854" s="2" t="s">
        <v>384</v>
      </c>
      <c r="B3854" s="2">
        <v>1800015</v>
      </c>
      <c r="C3854" s="2" t="s">
        <v>380</v>
      </c>
      <c r="D3854" s="3">
        <v>66700</v>
      </c>
    </row>
    <row r="3855" spans="1:4">
      <c r="A3855" s="2" t="s">
        <v>384</v>
      </c>
      <c r="B3855" s="2">
        <v>1900013</v>
      </c>
      <c r="C3855" s="2" t="s">
        <v>381</v>
      </c>
      <c r="D3855" s="3">
        <v>0</v>
      </c>
    </row>
    <row r="3856" spans="1:4">
      <c r="A3856" s="2" t="s">
        <v>384</v>
      </c>
      <c r="B3856" s="2">
        <v>1900018</v>
      </c>
      <c r="C3856" s="2" t="s">
        <v>382</v>
      </c>
      <c r="D3856" s="3">
        <v>0</v>
      </c>
    </row>
    <row r="3857" spans="1:4">
      <c r="A3857" s="2" t="s">
        <v>385</v>
      </c>
      <c r="B3857" s="2">
        <v>1010101</v>
      </c>
      <c r="C3857" s="2" t="s">
        <v>5</v>
      </c>
      <c r="D3857" s="3">
        <v>700</v>
      </c>
    </row>
    <row r="3858" spans="1:4">
      <c r="A3858" s="2" t="s">
        <v>385</v>
      </c>
      <c r="B3858" s="2">
        <v>1010111</v>
      </c>
      <c r="C3858" s="2" t="s">
        <v>9</v>
      </c>
      <c r="D3858" s="3">
        <v>19100</v>
      </c>
    </row>
    <row r="3859" spans="1:4">
      <c r="A3859" s="2" t="s">
        <v>385</v>
      </c>
      <c r="B3859" s="2">
        <v>1010201</v>
      </c>
      <c r="C3859" s="2" t="s">
        <v>11</v>
      </c>
      <c r="D3859" s="3">
        <v>1373</v>
      </c>
    </row>
    <row r="3860" spans="1:4">
      <c r="A3860" s="2" t="s">
        <v>385</v>
      </c>
      <c r="B3860" s="2">
        <v>1010300</v>
      </c>
      <c r="C3860" s="2" t="s">
        <v>213</v>
      </c>
      <c r="D3860" s="3">
        <v>8824</v>
      </c>
    </row>
    <row r="3861" spans="1:4">
      <c r="A3861" s="2" t="s">
        <v>385</v>
      </c>
      <c r="B3861" s="2">
        <v>1010301</v>
      </c>
      <c r="C3861" s="2" t="s">
        <v>214</v>
      </c>
      <c r="D3861" s="3">
        <v>6373</v>
      </c>
    </row>
    <row r="3862" spans="1:4">
      <c r="A3862" s="2" t="s">
        <v>385</v>
      </c>
      <c r="B3862" s="2">
        <v>1010302</v>
      </c>
      <c r="C3862" s="2" t="s">
        <v>16</v>
      </c>
      <c r="D3862" s="3">
        <v>4314</v>
      </c>
    </row>
    <row r="3863" spans="1:4">
      <c r="A3863" s="2" t="s">
        <v>385</v>
      </c>
      <c r="B3863" s="2">
        <v>1010303</v>
      </c>
      <c r="C3863" s="2" t="s">
        <v>18</v>
      </c>
      <c r="D3863" s="3">
        <v>882</v>
      </c>
    </row>
    <row r="3864" spans="1:4">
      <c r="A3864" s="2" t="s">
        <v>385</v>
      </c>
      <c r="B3864" s="2">
        <v>1010304</v>
      </c>
      <c r="C3864" s="2" t="s">
        <v>215</v>
      </c>
      <c r="D3864" s="3">
        <v>1422</v>
      </c>
    </row>
    <row r="3865" spans="1:4">
      <c r="A3865" s="2" t="s">
        <v>385</v>
      </c>
      <c r="B3865" s="2">
        <v>1010401</v>
      </c>
      <c r="C3865" s="2" t="s">
        <v>20</v>
      </c>
      <c r="D3865" s="3">
        <v>3627</v>
      </c>
    </row>
    <row r="3866" spans="1:4">
      <c r="A3866" s="2" t="s">
        <v>385</v>
      </c>
      <c r="B3866" s="2">
        <v>1010405</v>
      </c>
      <c r="C3866" s="2" t="s">
        <v>22</v>
      </c>
      <c r="D3866" s="3">
        <v>9975</v>
      </c>
    </row>
    <row r="3867" spans="1:4">
      <c r="A3867" s="2" t="s">
        <v>385</v>
      </c>
      <c r="B3867" s="2">
        <v>1010501</v>
      </c>
      <c r="C3867" s="2" t="s">
        <v>24</v>
      </c>
      <c r="D3867" s="3">
        <v>980</v>
      </c>
    </row>
    <row r="3868" spans="1:4">
      <c r="A3868" s="2" t="s">
        <v>385</v>
      </c>
      <c r="B3868" s="2">
        <v>1010502</v>
      </c>
      <c r="C3868" s="2" t="s">
        <v>216</v>
      </c>
      <c r="D3868" s="3">
        <v>0</v>
      </c>
    </row>
    <row r="3869" spans="1:4">
      <c r="A3869" s="2" t="s">
        <v>385</v>
      </c>
      <c r="B3869" s="2">
        <v>1010601</v>
      </c>
      <c r="C3869" s="2" t="s">
        <v>26</v>
      </c>
      <c r="D3869" s="3">
        <v>4412</v>
      </c>
    </row>
    <row r="3870" spans="1:4">
      <c r="A3870" s="2" t="s">
        <v>385</v>
      </c>
      <c r="B3870" s="2">
        <v>1010701</v>
      </c>
      <c r="C3870" s="2" t="s">
        <v>28</v>
      </c>
      <c r="D3870" s="3">
        <v>686</v>
      </c>
    </row>
    <row r="3871" spans="1:4">
      <c r="A3871" s="2" t="s">
        <v>385</v>
      </c>
      <c r="B3871" s="2">
        <v>1010801</v>
      </c>
      <c r="C3871" s="2" t="s">
        <v>30</v>
      </c>
      <c r="D3871" s="3">
        <v>9118</v>
      </c>
    </row>
    <row r="3872" spans="1:4">
      <c r="A3872" s="2" t="s">
        <v>385</v>
      </c>
      <c r="B3872" s="2">
        <v>1010901</v>
      </c>
      <c r="C3872" s="2" t="s">
        <v>32</v>
      </c>
      <c r="D3872" s="3">
        <v>4804</v>
      </c>
    </row>
    <row r="3873" spans="1:4">
      <c r="A3873" s="2" t="s">
        <v>385</v>
      </c>
      <c r="B3873" s="2">
        <v>1020101</v>
      </c>
      <c r="C3873" s="2" t="s">
        <v>34</v>
      </c>
      <c r="D3873" s="3">
        <v>18627</v>
      </c>
    </row>
    <row r="3874" spans="1:4">
      <c r="A3874" s="2" t="s">
        <v>385</v>
      </c>
      <c r="B3874" s="2">
        <v>1020201</v>
      </c>
      <c r="C3874" s="2" t="s">
        <v>217</v>
      </c>
      <c r="D3874" s="3">
        <v>5600</v>
      </c>
    </row>
    <row r="3875" spans="1:4">
      <c r="A3875" s="2" t="s">
        <v>385</v>
      </c>
      <c r="B3875" s="2">
        <v>1020301</v>
      </c>
      <c r="C3875" s="2" t="s">
        <v>38</v>
      </c>
      <c r="D3875" s="3">
        <v>2350</v>
      </c>
    </row>
    <row r="3876" spans="1:4">
      <c r="A3876" s="2" t="s">
        <v>385</v>
      </c>
      <c r="B3876" s="2">
        <v>1020401</v>
      </c>
      <c r="C3876" s="2" t="s">
        <v>40</v>
      </c>
      <c r="D3876" s="3">
        <v>3500</v>
      </c>
    </row>
    <row r="3877" spans="1:4">
      <c r="A3877" s="2" t="s">
        <v>385</v>
      </c>
      <c r="B3877" s="2">
        <v>1030102</v>
      </c>
      <c r="C3877" s="2" t="s">
        <v>218</v>
      </c>
      <c r="D3877" s="3">
        <v>0</v>
      </c>
    </row>
    <row r="3878" spans="1:4">
      <c r="A3878" s="2" t="s">
        <v>385</v>
      </c>
      <c r="B3878" s="2">
        <v>1030201</v>
      </c>
      <c r="C3878" s="2" t="s">
        <v>42</v>
      </c>
      <c r="D3878" s="3">
        <v>2843</v>
      </c>
    </row>
    <row r="3879" spans="1:4">
      <c r="A3879" s="2" t="s">
        <v>385</v>
      </c>
      <c r="B3879" s="2">
        <v>1030203</v>
      </c>
      <c r="C3879" s="2" t="s">
        <v>219</v>
      </c>
      <c r="D3879" s="3">
        <v>0</v>
      </c>
    </row>
    <row r="3880" spans="1:4">
      <c r="A3880" s="2" t="s">
        <v>385</v>
      </c>
      <c r="B3880" s="2">
        <v>1030204</v>
      </c>
      <c r="C3880" s="2" t="s">
        <v>220</v>
      </c>
      <c r="D3880" s="3">
        <v>0</v>
      </c>
    </row>
    <row r="3881" spans="1:4">
      <c r="A3881" s="2" t="s">
        <v>385</v>
      </c>
      <c r="B3881" s="2">
        <v>1030205</v>
      </c>
      <c r="C3881" s="2" t="s">
        <v>44</v>
      </c>
      <c r="D3881" s="3">
        <v>5000</v>
      </c>
    </row>
    <row r="3882" spans="1:4">
      <c r="A3882" s="2" t="s">
        <v>385</v>
      </c>
      <c r="B3882" s="2">
        <v>1030206</v>
      </c>
      <c r="C3882" s="2" t="s">
        <v>46</v>
      </c>
      <c r="D3882" s="3">
        <v>6200</v>
      </c>
    </row>
    <row r="3883" spans="1:4">
      <c r="A3883" s="2" t="s">
        <v>385</v>
      </c>
      <c r="B3883" s="2">
        <v>1030207</v>
      </c>
      <c r="C3883" s="2" t="s">
        <v>48</v>
      </c>
      <c r="D3883" s="3">
        <v>4600</v>
      </c>
    </row>
    <row r="3884" spans="1:4">
      <c r="A3884" s="2" t="s">
        <v>385</v>
      </c>
      <c r="B3884" s="2">
        <v>1030501</v>
      </c>
      <c r="C3884" s="2" t="s">
        <v>50</v>
      </c>
      <c r="D3884" s="3">
        <v>1127</v>
      </c>
    </row>
    <row r="3885" spans="1:4">
      <c r="A3885" s="2" t="s">
        <v>385</v>
      </c>
      <c r="B3885" s="2">
        <v>1030601</v>
      </c>
      <c r="C3885" s="2" t="s">
        <v>52</v>
      </c>
      <c r="D3885" s="3">
        <v>3000</v>
      </c>
    </row>
    <row r="3886" spans="1:4">
      <c r="A3886" s="2" t="s">
        <v>385</v>
      </c>
      <c r="B3886" s="2">
        <v>1030701</v>
      </c>
      <c r="C3886" s="2" t="s">
        <v>221</v>
      </c>
      <c r="D3886" s="3">
        <v>3000</v>
      </c>
    </row>
    <row r="3887" spans="1:4">
      <c r="A3887" s="2" t="s">
        <v>385</v>
      </c>
      <c r="B3887" s="2">
        <v>1030705</v>
      </c>
      <c r="C3887" s="2" t="s">
        <v>222</v>
      </c>
      <c r="D3887" s="3">
        <v>0</v>
      </c>
    </row>
    <row r="3888" spans="1:4">
      <c r="A3888" s="2" t="s">
        <v>385</v>
      </c>
      <c r="B3888" s="2">
        <v>1030801</v>
      </c>
      <c r="C3888" s="2" t="s">
        <v>54</v>
      </c>
      <c r="D3888" s="3">
        <v>1176</v>
      </c>
    </row>
    <row r="3889" spans="1:4">
      <c r="A3889" s="2" t="s">
        <v>385</v>
      </c>
      <c r="B3889" s="2">
        <v>1030901</v>
      </c>
      <c r="C3889" s="2" t="s">
        <v>223</v>
      </c>
      <c r="D3889" s="3">
        <v>0</v>
      </c>
    </row>
    <row r="3890" spans="1:4">
      <c r="A3890" s="2" t="s">
        <v>385</v>
      </c>
      <c r="B3890" s="2">
        <v>1040201</v>
      </c>
      <c r="C3890" s="2" t="s">
        <v>56</v>
      </c>
      <c r="D3890" s="3">
        <v>1400</v>
      </c>
    </row>
    <row r="3891" spans="1:4">
      <c r="A3891" s="2" t="s">
        <v>385</v>
      </c>
      <c r="B3891" s="2">
        <v>1040202</v>
      </c>
      <c r="C3891" s="2" t="s">
        <v>224</v>
      </c>
      <c r="D3891" s="3">
        <v>0</v>
      </c>
    </row>
    <row r="3892" spans="1:4">
      <c r="A3892" s="2" t="s">
        <v>385</v>
      </c>
      <c r="B3892" s="2">
        <v>1040203</v>
      </c>
      <c r="C3892" s="2" t="s">
        <v>225</v>
      </c>
      <c r="D3892" s="3">
        <v>0</v>
      </c>
    </row>
    <row r="3893" spans="1:4">
      <c r="A3893" s="2" t="s">
        <v>385</v>
      </c>
      <c r="B3893" s="2">
        <v>1040204</v>
      </c>
      <c r="C3893" s="2" t="s">
        <v>226</v>
      </c>
      <c r="D3893" s="3">
        <v>8583</v>
      </c>
    </row>
    <row r="3894" spans="1:4">
      <c r="A3894" s="2" t="s">
        <v>385</v>
      </c>
      <c r="B3894" s="2">
        <v>1040301</v>
      </c>
      <c r="C3894" s="2" t="s">
        <v>58</v>
      </c>
      <c r="D3894" s="3">
        <v>1616</v>
      </c>
    </row>
    <row r="3895" spans="1:4">
      <c r="A3895" s="2" t="s">
        <v>385</v>
      </c>
      <c r="B3895" s="2">
        <v>1040401</v>
      </c>
      <c r="C3895" s="2" t="s">
        <v>227</v>
      </c>
      <c r="D3895" s="3">
        <v>0</v>
      </c>
    </row>
    <row r="3896" spans="1:4">
      <c r="A3896" s="2" t="s">
        <v>385</v>
      </c>
      <c r="B3896" s="2">
        <v>1050102</v>
      </c>
      <c r="C3896" s="2" t="s">
        <v>60</v>
      </c>
      <c r="D3896" s="3">
        <v>31000</v>
      </c>
    </row>
    <row r="3897" spans="1:4">
      <c r="A3897" s="2" t="s">
        <v>385</v>
      </c>
      <c r="B3897" s="2">
        <v>1050103</v>
      </c>
      <c r="C3897" s="2" t="s">
        <v>228</v>
      </c>
      <c r="D3897" s="3">
        <v>11275</v>
      </c>
    </row>
    <row r="3898" spans="1:4">
      <c r="A3898" s="2" t="s">
        <v>385</v>
      </c>
      <c r="B3898" s="2">
        <v>1050301</v>
      </c>
      <c r="C3898" s="2" t="s">
        <v>62</v>
      </c>
      <c r="D3898" s="3">
        <v>9804</v>
      </c>
    </row>
    <row r="3899" spans="1:4">
      <c r="A3899" s="2" t="s">
        <v>385</v>
      </c>
      <c r="B3899" s="2">
        <v>1050401</v>
      </c>
      <c r="C3899" s="2" t="s">
        <v>64</v>
      </c>
      <c r="D3899" s="3">
        <v>8824</v>
      </c>
    </row>
    <row r="3900" spans="1:4">
      <c r="A3900" s="2" t="s">
        <v>385</v>
      </c>
      <c r="B3900" s="2">
        <v>1050501</v>
      </c>
      <c r="C3900" s="2" t="s">
        <v>66</v>
      </c>
      <c r="D3900" s="3">
        <v>10784</v>
      </c>
    </row>
    <row r="3901" spans="1:4">
      <c r="A3901" s="2" t="s">
        <v>385</v>
      </c>
      <c r="B3901" s="2">
        <v>1050511</v>
      </c>
      <c r="C3901" s="2" t="s">
        <v>68</v>
      </c>
      <c r="D3901" s="3">
        <v>17647</v>
      </c>
    </row>
    <row r="3902" spans="1:4">
      <c r="A3902" s="2" t="s">
        <v>385</v>
      </c>
      <c r="B3902" s="2">
        <v>1050512</v>
      </c>
      <c r="C3902" s="2" t="s">
        <v>229</v>
      </c>
      <c r="D3902" s="3">
        <v>0</v>
      </c>
    </row>
    <row r="3903" spans="1:4">
      <c r="A3903" s="2" t="s">
        <v>385</v>
      </c>
      <c r="B3903" s="2">
        <v>1050521</v>
      </c>
      <c r="C3903" s="2" t="s">
        <v>70</v>
      </c>
      <c r="D3903" s="3">
        <v>14706</v>
      </c>
    </row>
    <row r="3904" spans="1:4">
      <c r="A3904" s="2" t="s">
        <v>385</v>
      </c>
      <c r="B3904" s="2">
        <v>1050531</v>
      </c>
      <c r="C3904" s="2" t="s">
        <v>72</v>
      </c>
      <c r="D3904" s="3">
        <v>21000</v>
      </c>
    </row>
    <row r="3905" spans="1:4">
      <c r="A3905" s="2" t="s">
        <v>385</v>
      </c>
      <c r="B3905" s="2">
        <v>1050541</v>
      </c>
      <c r="C3905" s="2" t="s">
        <v>74</v>
      </c>
      <c r="D3905" s="3">
        <v>11000</v>
      </c>
    </row>
    <row r="3906" spans="1:4">
      <c r="A3906" s="2" t="s">
        <v>385</v>
      </c>
      <c r="B3906" s="2">
        <v>1050551</v>
      </c>
      <c r="C3906" s="2" t="s">
        <v>76</v>
      </c>
      <c r="D3906" s="3">
        <v>54000</v>
      </c>
    </row>
    <row r="3907" spans="1:4">
      <c r="A3907" s="2" t="s">
        <v>385</v>
      </c>
      <c r="B3907" s="2">
        <v>1050561</v>
      </c>
      <c r="C3907" s="2" t="s">
        <v>78</v>
      </c>
      <c r="D3907" s="3">
        <v>77321</v>
      </c>
    </row>
    <row r="3908" spans="1:4">
      <c r="A3908" s="2" t="s">
        <v>385</v>
      </c>
      <c r="B3908" s="2">
        <v>1050571</v>
      </c>
      <c r="C3908" s="2" t="s">
        <v>80</v>
      </c>
      <c r="D3908" s="3">
        <v>58000</v>
      </c>
    </row>
    <row r="3909" spans="1:4">
      <c r="A3909" s="2" t="s">
        <v>385</v>
      </c>
      <c r="B3909" s="2">
        <v>1050581</v>
      </c>
      <c r="C3909" s="2" t="s">
        <v>82</v>
      </c>
      <c r="D3909" s="3">
        <v>60760</v>
      </c>
    </row>
    <row r="3910" spans="1:4">
      <c r="A3910" s="2" t="s">
        <v>385</v>
      </c>
      <c r="B3910" s="2">
        <v>1050591</v>
      </c>
      <c r="C3910" s="2" t="s">
        <v>84</v>
      </c>
      <c r="D3910" s="3">
        <v>97750</v>
      </c>
    </row>
    <row r="3911" spans="1:4">
      <c r="A3911" s="2" t="s">
        <v>385</v>
      </c>
      <c r="B3911" s="2">
        <v>1050601</v>
      </c>
      <c r="C3911" s="2" t="s">
        <v>86</v>
      </c>
      <c r="D3911" s="3">
        <v>6400</v>
      </c>
    </row>
    <row r="3912" spans="1:4">
      <c r="A3912" s="2" t="s">
        <v>385</v>
      </c>
      <c r="B3912" s="2">
        <v>1050701</v>
      </c>
      <c r="C3912" s="2" t="s">
        <v>88</v>
      </c>
      <c r="D3912" s="3">
        <v>6300</v>
      </c>
    </row>
    <row r="3913" spans="1:4">
      <c r="A3913" s="2" t="s">
        <v>385</v>
      </c>
      <c r="B3913" s="2">
        <v>1050702</v>
      </c>
      <c r="C3913" s="2" t="s">
        <v>90</v>
      </c>
      <c r="D3913" s="3">
        <v>6000</v>
      </c>
    </row>
    <row r="3914" spans="1:4">
      <c r="A3914" s="2" t="s">
        <v>385</v>
      </c>
      <c r="B3914" s="2">
        <v>1050711</v>
      </c>
      <c r="C3914" s="2" t="s">
        <v>92</v>
      </c>
      <c r="D3914" s="3">
        <v>2757</v>
      </c>
    </row>
    <row r="3915" spans="1:4">
      <c r="A3915" s="2" t="s">
        <v>385</v>
      </c>
      <c r="B3915" s="2">
        <v>1050721</v>
      </c>
      <c r="C3915" s="2" t="s">
        <v>94</v>
      </c>
      <c r="D3915" s="3">
        <v>14290</v>
      </c>
    </row>
    <row r="3916" spans="1:4">
      <c r="A3916" s="2" t="s">
        <v>385</v>
      </c>
      <c r="B3916" s="2">
        <v>1050801</v>
      </c>
      <c r="C3916" s="2" t="s">
        <v>7</v>
      </c>
      <c r="D3916" s="3">
        <v>882</v>
      </c>
    </row>
    <row r="3917" spans="1:4">
      <c r="A3917" s="2" t="s">
        <v>385</v>
      </c>
      <c r="B3917" s="2">
        <v>1050901</v>
      </c>
      <c r="C3917" s="2" t="s">
        <v>96</v>
      </c>
      <c r="D3917" s="3">
        <v>1216</v>
      </c>
    </row>
    <row r="3918" spans="1:4">
      <c r="A3918" s="2" t="s">
        <v>385</v>
      </c>
      <c r="B3918" s="2">
        <v>1060101</v>
      </c>
      <c r="C3918" s="2" t="s">
        <v>98</v>
      </c>
      <c r="D3918" s="3">
        <v>2200</v>
      </c>
    </row>
    <row r="3919" spans="1:4">
      <c r="A3919" s="2" t="s">
        <v>385</v>
      </c>
      <c r="B3919" s="2">
        <v>1060401</v>
      </c>
      <c r="C3919" s="2" t="s">
        <v>100</v>
      </c>
      <c r="D3919" s="3">
        <v>75000</v>
      </c>
    </row>
    <row r="3920" spans="1:4">
      <c r="A3920" s="2" t="s">
        <v>385</v>
      </c>
      <c r="B3920" s="2">
        <v>1060412</v>
      </c>
      <c r="C3920" s="2" t="s">
        <v>230</v>
      </c>
      <c r="D3920" s="3">
        <v>33000</v>
      </c>
    </row>
    <row r="3921" spans="1:4">
      <c r="A3921" s="2" t="s">
        <v>385</v>
      </c>
      <c r="B3921" s="2">
        <v>1060421</v>
      </c>
      <c r="C3921" s="2" t="s">
        <v>104</v>
      </c>
      <c r="D3921" s="3">
        <v>118000</v>
      </c>
    </row>
    <row r="3922" spans="1:4">
      <c r="A3922" s="2" t="s">
        <v>385</v>
      </c>
      <c r="B3922" s="2">
        <v>1060441</v>
      </c>
      <c r="C3922" s="2" t="s">
        <v>106</v>
      </c>
      <c r="D3922" s="3">
        <v>6471</v>
      </c>
    </row>
    <row r="3923" spans="1:4">
      <c r="A3923" s="2" t="s">
        <v>385</v>
      </c>
      <c r="B3923" s="2">
        <v>1060451</v>
      </c>
      <c r="C3923" s="2" t="s">
        <v>108</v>
      </c>
      <c r="D3923" s="3">
        <v>38235</v>
      </c>
    </row>
    <row r="3924" spans="1:4">
      <c r="A3924" s="2" t="s">
        <v>385</v>
      </c>
      <c r="B3924" s="2">
        <v>1070101</v>
      </c>
      <c r="C3924" s="2" t="s">
        <v>110</v>
      </c>
      <c r="D3924" s="3">
        <v>4000</v>
      </c>
    </row>
    <row r="3925" spans="1:4">
      <c r="A3925" s="2" t="s">
        <v>385</v>
      </c>
      <c r="B3925" s="2">
        <v>1070301</v>
      </c>
      <c r="C3925" s="2" t="s">
        <v>112</v>
      </c>
      <c r="D3925" s="3">
        <v>37000</v>
      </c>
    </row>
    <row r="3926" spans="1:4">
      <c r="A3926" s="2" t="s">
        <v>385</v>
      </c>
      <c r="B3926" s="2">
        <v>1070401</v>
      </c>
      <c r="C3926" s="2" t="s">
        <v>114</v>
      </c>
      <c r="D3926" s="3">
        <v>12000</v>
      </c>
    </row>
    <row r="3927" spans="1:4">
      <c r="A3927" s="2" t="s">
        <v>385</v>
      </c>
      <c r="B3927" s="2">
        <v>1070501</v>
      </c>
      <c r="C3927" s="2" t="s">
        <v>231</v>
      </c>
      <c r="D3927" s="3">
        <v>5500</v>
      </c>
    </row>
    <row r="3928" spans="1:4">
      <c r="A3928" s="2" t="s">
        <v>385</v>
      </c>
      <c r="B3928" s="2">
        <v>1070701</v>
      </c>
      <c r="C3928" s="2" t="s">
        <v>118</v>
      </c>
      <c r="D3928" s="3">
        <v>36000</v>
      </c>
    </row>
    <row r="3929" spans="1:4">
      <c r="A3929" s="2" t="s">
        <v>385</v>
      </c>
      <c r="B3929" s="2">
        <v>1070801</v>
      </c>
      <c r="C3929" s="2" t="s">
        <v>232</v>
      </c>
      <c r="D3929" s="3">
        <v>35000</v>
      </c>
    </row>
    <row r="3930" spans="1:4">
      <c r="A3930" s="2" t="s">
        <v>385</v>
      </c>
      <c r="B3930" s="2">
        <v>1080101</v>
      </c>
      <c r="C3930" s="2" t="s">
        <v>120</v>
      </c>
      <c r="D3930" s="3">
        <v>11000</v>
      </c>
    </row>
    <row r="3931" spans="1:4">
      <c r="A3931" s="2" t="s">
        <v>385</v>
      </c>
      <c r="B3931" s="2">
        <v>1080201</v>
      </c>
      <c r="C3931" s="2" t="s">
        <v>122</v>
      </c>
      <c r="D3931" s="3">
        <v>540</v>
      </c>
    </row>
    <row r="3932" spans="1:4">
      <c r="A3932" s="2" t="s">
        <v>385</v>
      </c>
      <c r="B3932" s="2">
        <v>1080301</v>
      </c>
      <c r="C3932" s="2" t="s">
        <v>124</v>
      </c>
      <c r="D3932" s="3">
        <v>1550</v>
      </c>
    </row>
    <row r="3933" spans="1:4">
      <c r="A3933" s="2" t="s">
        <v>385</v>
      </c>
      <c r="B3933" s="2">
        <v>1080401</v>
      </c>
      <c r="C3933" s="2" t="s">
        <v>233</v>
      </c>
      <c r="D3933" s="3">
        <v>3150</v>
      </c>
    </row>
    <row r="3934" spans="1:4">
      <c r="A3934" s="2" t="s">
        <v>385</v>
      </c>
      <c r="B3934" s="2">
        <v>1080411</v>
      </c>
      <c r="C3934" s="2" t="s">
        <v>128</v>
      </c>
      <c r="D3934" s="3">
        <v>3150</v>
      </c>
    </row>
    <row r="3935" spans="1:4">
      <c r="A3935" s="2" t="s">
        <v>385</v>
      </c>
      <c r="B3935" s="2">
        <v>1080501</v>
      </c>
      <c r="C3935" s="2" t="s">
        <v>130</v>
      </c>
      <c r="D3935" s="3">
        <v>3800</v>
      </c>
    </row>
    <row r="3936" spans="1:4">
      <c r="A3936" s="2" t="s">
        <v>385</v>
      </c>
      <c r="B3936" s="2">
        <v>1080602</v>
      </c>
      <c r="C3936" s="2" t="s">
        <v>234</v>
      </c>
      <c r="D3936" s="3">
        <v>38600</v>
      </c>
    </row>
    <row r="3937" spans="1:4">
      <c r="A3937" s="2" t="s">
        <v>385</v>
      </c>
      <c r="B3937" s="2">
        <v>1080604</v>
      </c>
      <c r="C3937" s="2" t="s">
        <v>235</v>
      </c>
      <c r="D3937" s="3">
        <v>0</v>
      </c>
    </row>
    <row r="3938" spans="1:4">
      <c r="A3938" s="2" t="s">
        <v>385</v>
      </c>
      <c r="B3938" s="2">
        <v>1080702</v>
      </c>
      <c r="C3938" s="2" t="s">
        <v>236</v>
      </c>
      <c r="D3938" s="3">
        <v>43500</v>
      </c>
    </row>
    <row r="3939" spans="1:4">
      <c r="A3939" s="2" t="s">
        <v>385</v>
      </c>
      <c r="B3939" s="2">
        <v>1080704</v>
      </c>
      <c r="C3939" s="2" t="s">
        <v>237</v>
      </c>
      <c r="D3939" s="3">
        <v>0</v>
      </c>
    </row>
    <row r="3940" spans="1:4">
      <c r="A3940" s="2" t="s">
        <v>385</v>
      </c>
      <c r="B3940" s="2">
        <v>1090104</v>
      </c>
      <c r="C3940" s="2" t="s">
        <v>136</v>
      </c>
      <c r="D3940" s="3">
        <v>40000</v>
      </c>
    </row>
    <row r="3941" spans="1:4">
      <c r="A3941" s="2" t="s">
        <v>385</v>
      </c>
      <c r="B3941" s="2">
        <v>1090112</v>
      </c>
      <c r="C3941" s="2" t="s">
        <v>138</v>
      </c>
      <c r="D3941" s="3">
        <v>35000</v>
      </c>
    </row>
    <row r="3942" spans="1:4">
      <c r="A3942" s="2" t="s">
        <v>385</v>
      </c>
      <c r="B3942" s="2">
        <v>1090201</v>
      </c>
      <c r="C3942" s="2" t="s">
        <v>140</v>
      </c>
      <c r="D3942" s="3">
        <v>15800</v>
      </c>
    </row>
    <row r="3943" spans="1:4">
      <c r="A3943" s="2" t="s">
        <v>385</v>
      </c>
      <c r="B3943" s="2">
        <v>1090202</v>
      </c>
      <c r="C3943" s="2" t="s">
        <v>142</v>
      </c>
      <c r="D3943" s="3">
        <v>98000</v>
      </c>
    </row>
    <row r="3944" spans="1:4">
      <c r="A3944" s="2" t="s">
        <v>385</v>
      </c>
      <c r="B3944" s="2">
        <v>1090203</v>
      </c>
      <c r="C3944" s="2" t="s">
        <v>144</v>
      </c>
      <c r="D3944" s="3">
        <v>23000</v>
      </c>
    </row>
    <row r="3945" spans="1:4">
      <c r="A3945" s="2" t="s">
        <v>385</v>
      </c>
      <c r="B3945" s="2">
        <v>1090211</v>
      </c>
      <c r="C3945" s="2" t="s">
        <v>146</v>
      </c>
      <c r="D3945" s="3">
        <v>64706</v>
      </c>
    </row>
    <row r="3946" spans="1:4">
      <c r="A3946" s="2" t="s">
        <v>385</v>
      </c>
      <c r="B3946" s="2">
        <v>1090301</v>
      </c>
      <c r="C3946" s="2" t="s">
        <v>238</v>
      </c>
      <c r="D3946" s="3">
        <v>32000</v>
      </c>
    </row>
    <row r="3947" spans="1:4">
      <c r="A3947" s="2" t="s">
        <v>385</v>
      </c>
      <c r="B3947" s="2">
        <v>1090311</v>
      </c>
      <c r="C3947" s="2" t="s">
        <v>150</v>
      </c>
      <c r="D3947" s="3">
        <v>37000</v>
      </c>
    </row>
    <row r="3948" spans="1:4">
      <c r="A3948" s="2" t="s">
        <v>385</v>
      </c>
      <c r="B3948" s="2">
        <v>1090321</v>
      </c>
      <c r="C3948" s="2" t="s">
        <v>152</v>
      </c>
      <c r="D3948" s="3">
        <v>66000</v>
      </c>
    </row>
    <row r="3949" spans="1:4">
      <c r="A3949" s="2" t="s">
        <v>385</v>
      </c>
      <c r="B3949" s="2">
        <v>1090401</v>
      </c>
      <c r="C3949" s="2" t="s">
        <v>154</v>
      </c>
      <c r="D3949" s="3">
        <v>9300</v>
      </c>
    </row>
    <row r="3950" spans="1:4">
      <c r="A3950" s="2" t="s">
        <v>385</v>
      </c>
      <c r="B3950" s="2">
        <v>1090411</v>
      </c>
      <c r="C3950" s="2" t="s">
        <v>156</v>
      </c>
      <c r="D3950" s="3">
        <v>45000</v>
      </c>
    </row>
    <row r="3951" spans="1:4">
      <c r="A3951" s="2" t="s">
        <v>385</v>
      </c>
      <c r="B3951" s="2">
        <v>1090421</v>
      </c>
      <c r="C3951" s="2" t="s">
        <v>158</v>
      </c>
      <c r="D3951" s="3">
        <v>36000</v>
      </c>
    </row>
    <row r="3952" spans="1:4">
      <c r="A3952" s="2" t="s">
        <v>385</v>
      </c>
      <c r="B3952" s="2">
        <v>1090551</v>
      </c>
      <c r="C3952" s="2" t="s">
        <v>239</v>
      </c>
      <c r="D3952" s="3">
        <v>4900</v>
      </c>
    </row>
    <row r="3953" spans="1:4">
      <c r="A3953" s="2" t="s">
        <v>385</v>
      </c>
      <c r="B3953" s="2">
        <v>1090602</v>
      </c>
      <c r="C3953" s="2" t="s">
        <v>162</v>
      </c>
      <c r="D3953" s="3">
        <v>5290</v>
      </c>
    </row>
    <row r="3954" spans="1:4">
      <c r="A3954" s="2" t="s">
        <v>385</v>
      </c>
      <c r="B3954" s="2">
        <v>1090611</v>
      </c>
      <c r="C3954" s="2" t="s">
        <v>164</v>
      </c>
      <c r="D3954" s="3">
        <v>4780</v>
      </c>
    </row>
    <row r="3955" spans="1:4">
      <c r="A3955" s="2" t="s">
        <v>385</v>
      </c>
      <c r="B3955" s="2">
        <v>1090701</v>
      </c>
      <c r="C3955" s="2" t="s">
        <v>166</v>
      </c>
      <c r="D3955" s="3">
        <v>21000</v>
      </c>
    </row>
    <row r="3956" spans="1:4">
      <c r="A3956" s="2" t="s">
        <v>385</v>
      </c>
      <c r="B3956" s="2">
        <v>1090901</v>
      </c>
      <c r="C3956" s="2" t="s">
        <v>168</v>
      </c>
      <c r="D3956" s="3">
        <v>4300</v>
      </c>
    </row>
    <row r="3957" spans="1:4">
      <c r="A3957" s="2" t="s">
        <v>385</v>
      </c>
      <c r="B3957" s="2">
        <v>1091001</v>
      </c>
      <c r="C3957" s="2" t="s">
        <v>170</v>
      </c>
      <c r="D3957" s="3">
        <v>7000</v>
      </c>
    </row>
    <row r="3958" spans="1:4">
      <c r="A3958" s="2" t="s">
        <v>385</v>
      </c>
      <c r="B3958" s="2">
        <v>1091002</v>
      </c>
      <c r="C3958" s="2" t="s">
        <v>172</v>
      </c>
      <c r="D3958" s="3">
        <v>4314</v>
      </c>
    </row>
    <row r="3959" spans="1:4">
      <c r="A3959" s="2" t="s">
        <v>385</v>
      </c>
      <c r="B3959" s="2">
        <v>1091003</v>
      </c>
      <c r="C3959" s="2" t="s">
        <v>174</v>
      </c>
      <c r="D3959" s="3">
        <v>10863</v>
      </c>
    </row>
    <row r="3960" spans="1:4">
      <c r="A3960" s="2" t="s">
        <v>385</v>
      </c>
      <c r="B3960" s="2">
        <v>1091004</v>
      </c>
      <c r="C3960" s="2" t="s">
        <v>240</v>
      </c>
      <c r="D3960" s="3">
        <v>0</v>
      </c>
    </row>
    <row r="3961" spans="1:4">
      <c r="A3961" s="2" t="s">
        <v>385</v>
      </c>
      <c r="B3961" s="2">
        <v>1091005</v>
      </c>
      <c r="C3961" s="2" t="s">
        <v>241</v>
      </c>
      <c r="D3961" s="3">
        <v>0</v>
      </c>
    </row>
    <row r="3962" spans="1:4">
      <c r="A3962" s="2" t="s">
        <v>385</v>
      </c>
      <c r="B3962" s="2">
        <v>1091006</v>
      </c>
      <c r="C3962" s="2" t="s">
        <v>242</v>
      </c>
      <c r="D3962" s="3">
        <v>0</v>
      </c>
    </row>
    <row r="3963" spans="1:4">
      <c r="A3963" s="2" t="s">
        <v>385</v>
      </c>
      <c r="B3963" s="2">
        <v>1091007</v>
      </c>
      <c r="C3963" s="2" t="s">
        <v>243</v>
      </c>
      <c r="D3963" s="3">
        <v>2640</v>
      </c>
    </row>
    <row r="3964" spans="1:4">
      <c r="A3964" s="2" t="s">
        <v>385</v>
      </c>
      <c r="B3964" s="2">
        <v>1091008</v>
      </c>
      <c r="C3964" s="2" t="s">
        <v>176</v>
      </c>
      <c r="D3964" s="3">
        <v>450000</v>
      </c>
    </row>
    <row r="3965" spans="1:4">
      <c r="A3965" s="2" t="s">
        <v>385</v>
      </c>
      <c r="B3965" s="2">
        <v>1091009</v>
      </c>
      <c r="C3965" s="2" t="s">
        <v>178</v>
      </c>
      <c r="D3965" s="3">
        <v>190000</v>
      </c>
    </row>
    <row r="3966" spans="1:4">
      <c r="A3966" s="2" t="s">
        <v>385</v>
      </c>
      <c r="B3966" s="2">
        <v>1091010</v>
      </c>
      <c r="C3966" s="2" t="s">
        <v>180</v>
      </c>
      <c r="D3966" s="3">
        <v>27000</v>
      </c>
    </row>
    <row r="3967" spans="1:4">
      <c r="A3967" s="2" t="s">
        <v>385</v>
      </c>
      <c r="B3967" s="2">
        <v>1091011</v>
      </c>
      <c r="C3967" s="2" t="s">
        <v>182</v>
      </c>
      <c r="D3967" s="3">
        <v>33000</v>
      </c>
    </row>
    <row r="3968" spans="1:4">
      <c r="A3968" s="2" t="s">
        <v>385</v>
      </c>
      <c r="B3968" s="2">
        <v>1091012</v>
      </c>
      <c r="C3968" s="2" t="s">
        <v>184</v>
      </c>
      <c r="D3968" s="3">
        <v>47000</v>
      </c>
    </row>
    <row r="3969" spans="1:4">
      <c r="A3969" s="2" t="s">
        <v>385</v>
      </c>
      <c r="B3969" s="2">
        <v>1091013</v>
      </c>
      <c r="C3969" s="2" t="s">
        <v>186</v>
      </c>
      <c r="D3969" s="3">
        <v>33000</v>
      </c>
    </row>
    <row r="3970" spans="1:4">
      <c r="A3970" s="2" t="s">
        <v>385</v>
      </c>
      <c r="B3970" s="2">
        <v>1091014</v>
      </c>
      <c r="C3970" s="2" t="s">
        <v>244</v>
      </c>
      <c r="D3970" s="3">
        <v>6961</v>
      </c>
    </row>
    <row r="3971" spans="1:4">
      <c r="A3971" s="2" t="s">
        <v>385</v>
      </c>
      <c r="B3971" s="2">
        <v>1091015</v>
      </c>
      <c r="C3971" s="2" t="s">
        <v>245</v>
      </c>
      <c r="D3971" s="3">
        <v>25490</v>
      </c>
    </row>
    <row r="3972" spans="1:4">
      <c r="A3972" s="2" t="s">
        <v>385</v>
      </c>
      <c r="B3972" s="2">
        <v>1091016</v>
      </c>
      <c r="C3972" s="2" t="s">
        <v>246</v>
      </c>
      <c r="D3972" s="3">
        <v>50187</v>
      </c>
    </row>
    <row r="3973" spans="1:4">
      <c r="A3973" s="2" t="s">
        <v>385</v>
      </c>
      <c r="B3973" s="2">
        <v>1091017</v>
      </c>
      <c r="C3973" s="2" t="s">
        <v>247</v>
      </c>
      <c r="D3973" s="3">
        <v>74833</v>
      </c>
    </row>
    <row r="3974" spans="1:4">
      <c r="A3974" s="2" t="s">
        <v>385</v>
      </c>
      <c r="B3974" s="2">
        <v>1091018</v>
      </c>
      <c r="C3974" s="2" t="s">
        <v>248</v>
      </c>
      <c r="D3974" s="3">
        <v>33031</v>
      </c>
    </row>
    <row r="3975" spans="1:4">
      <c r="A3975" s="2" t="s">
        <v>385</v>
      </c>
      <c r="B3975" s="2">
        <v>1091019</v>
      </c>
      <c r="C3975" s="2" t="s">
        <v>249</v>
      </c>
      <c r="D3975" s="3">
        <v>53387</v>
      </c>
    </row>
    <row r="3976" spans="1:4">
      <c r="A3976" s="2" t="s">
        <v>385</v>
      </c>
      <c r="B3976" s="2">
        <v>1091020</v>
      </c>
      <c r="C3976" s="2" t="s">
        <v>250</v>
      </c>
      <c r="D3976" s="3">
        <v>100500</v>
      </c>
    </row>
    <row r="3977" spans="1:4">
      <c r="A3977" s="2" t="s">
        <v>385</v>
      </c>
      <c r="B3977" s="2">
        <v>1091021</v>
      </c>
      <c r="C3977" s="2" t="s">
        <v>251</v>
      </c>
      <c r="D3977" s="3">
        <v>50600</v>
      </c>
    </row>
    <row r="3978" spans="1:4">
      <c r="A3978" s="2" t="s">
        <v>385</v>
      </c>
      <c r="B3978" s="2">
        <v>1091022</v>
      </c>
      <c r="C3978" s="2" t="s">
        <v>252</v>
      </c>
      <c r="D3978" s="3">
        <v>3235</v>
      </c>
    </row>
    <row r="3979" spans="1:4">
      <c r="A3979" s="2" t="s">
        <v>385</v>
      </c>
      <c r="B3979" s="2">
        <v>1091023</v>
      </c>
      <c r="C3979" s="2" t="s">
        <v>253</v>
      </c>
      <c r="D3979" s="3">
        <v>4412</v>
      </c>
    </row>
    <row r="3980" spans="1:4">
      <c r="A3980" s="2" t="s">
        <v>385</v>
      </c>
      <c r="B3980" s="2">
        <v>1091024</v>
      </c>
      <c r="C3980" s="2" t="s">
        <v>254</v>
      </c>
      <c r="D3980" s="3">
        <v>3922</v>
      </c>
    </row>
    <row r="3981" spans="1:4">
      <c r="A3981" s="2" t="s">
        <v>385</v>
      </c>
      <c r="B3981" s="2">
        <v>1091025</v>
      </c>
      <c r="C3981" s="2" t="s">
        <v>255</v>
      </c>
      <c r="D3981" s="3">
        <v>9804</v>
      </c>
    </row>
    <row r="3982" spans="1:4">
      <c r="A3982" s="2" t="s">
        <v>385</v>
      </c>
      <c r="B3982" s="2">
        <v>1091026</v>
      </c>
      <c r="C3982" s="2" t="s">
        <v>256</v>
      </c>
      <c r="D3982" s="3">
        <v>30686</v>
      </c>
    </row>
    <row r="3983" spans="1:4">
      <c r="A3983" s="2" t="s">
        <v>385</v>
      </c>
      <c r="B3983" s="2">
        <v>1600101</v>
      </c>
      <c r="C3983" s="2" t="s">
        <v>188</v>
      </c>
      <c r="D3983" s="3">
        <v>2892</v>
      </c>
    </row>
    <row r="3984" spans="1:4">
      <c r="A3984" s="2" t="s">
        <v>385</v>
      </c>
      <c r="B3984" s="2">
        <v>1600102</v>
      </c>
      <c r="C3984" s="2" t="s">
        <v>257</v>
      </c>
      <c r="D3984" s="3">
        <v>36275</v>
      </c>
    </row>
    <row r="3985" spans="1:4">
      <c r="A3985" s="2" t="s">
        <v>385</v>
      </c>
      <c r="B3985" s="2">
        <v>1600103</v>
      </c>
      <c r="C3985" s="2" t="s">
        <v>258</v>
      </c>
      <c r="D3985" s="3">
        <v>19800</v>
      </c>
    </row>
    <row r="3986" spans="1:4">
      <c r="A3986" s="2" t="s">
        <v>385</v>
      </c>
      <c r="B3986" s="2">
        <v>1600104</v>
      </c>
      <c r="C3986" s="2" t="s">
        <v>259</v>
      </c>
      <c r="D3986" s="3">
        <v>75683</v>
      </c>
    </row>
    <row r="3987" spans="1:4">
      <c r="A3987" s="2" t="s">
        <v>385</v>
      </c>
      <c r="B3987" s="2">
        <v>1600105</v>
      </c>
      <c r="C3987" s="2" t="s">
        <v>260</v>
      </c>
      <c r="D3987" s="3">
        <v>83950</v>
      </c>
    </row>
    <row r="3988" spans="1:4">
      <c r="A3988" s="2" t="s">
        <v>385</v>
      </c>
      <c r="B3988" s="2">
        <v>1600106</v>
      </c>
      <c r="C3988" s="2" t="s">
        <v>261</v>
      </c>
      <c r="D3988" s="3">
        <v>108071</v>
      </c>
    </row>
    <row r="3989" spans="1:4">
      <c r="A3989" s="2" t="s">
        <v>385</v>
      </c>
      <c r="B3989" s="2">
        <v>1600107</v>
      </c>
      <c r="C3989" s="2" t="s">
        <v>262</v>
      </c>
      <c r="D3989" s="3">
        <v>86601</v>
      </c>
    </row>
    <row r="3990" spans="1:4">
      <c r="A3990" s="2" t="s">
        <v>385</v>
      </c>
      <c r="B3990" s="2">
        <v>1600108</v>
      </c>
      <c r="C3990" s="2" t="s">
        <v>263</v>
      </c>
      <c r="D3990" s="3">
        <v>73810</v>
      </c>
    </row>
    <row r="3991" spans="1:4">
      <c r="A3991" s="2" t="s">
        <v>385</v>
      </c>
      <c r="B3991" s="2">
        <v>1600109</v>
      </c>
      <c r="C3991" s="2" t="s">
        <v>264</v>
      </c>
      <c r="D3991" s="3">
        <v>5882</v>
      </c>
    </row>
    <row r="3992" spans="1:4">
      <c r="A3992" s="2" t="s">
        <v>385</v>
      </c>
      <c r="B3992" s="2">
        <v>1600110</v>
      </c>
      <c r="C3992" s="2" t="s">
        <v>265</v>
      </c>
      <c r="D3992" s="3">
        <v>7917</v>
      </c>
    </row>
    <row r="3993" spans="1:4">
      <c r="A3993" s="2" t="s">
        <v>385</v>
      </c>
      <c r="B3993" s="2">
        <v>1600111</v>
      </c>
      <c r="C3993" s="2" t="s">
        <v>266</v>
      </c>
      <c r="D3993" s="3">
        <v>4360</v>
      </c>
    </row>
    <row r="3994" spans="1:4">
      <c r="A3994" s="2" t="s">
        <v>385</v>
      </c>
      <c r="B3994" s="2">
        <v>1600112</v>
      </c>
      <c r="C3994" s="2" t="s">
        <v>190</v>
      </c>
      <c r="D3994" s="3">
        <v>4800</v>
      </c>
    </row>
    <row r="3995" spans="1:4">
      <c r="A3995" s="2" t="s">
        <v>385</v>
      </c>
      <c r="B3995" s="2">
        <v>1600113</v>
      </c>
      <c r="C3995" s="2" t="s">
        <v>267</v>
      </c>
      <c r="D3995" s="3">
        <v>0</v>
      </c>
    </row>
    <row r="3996" spans="1:4">
      <c r="A3996" s="2" t="s">
        <v>385</v>
      </c>
      <c r="B3996" s="2">
        <v>1600114</v>
      </c>
      <c r="C3996" s="2" t="s">
        <v>268</v>
      </c>
      <c r="D3996" s="3">
        <v>13333</v>
      </c>
    </row>
    <row r="3997" spans="1:4">
      <c r="A3997" s="2" t="s">
        <v>385</v>
      </c>
      <c r="B3997" s="2">
        <v>1700001</v>
      </c>
      <c r="C3997" s="2" t="s">
        <v>269</v>
      </c>
      <c r="D3997" s="3">
        <v>3984</v>
      </c>
    </row>
    <row r="3998" spans="1:4">
      <c r="A3998" s="2" t="s">
        <v>385</v>
      </c>
      <c r="B3998" s="2">
        <v>1700002</v>
      </c>
      <c r="C3998" s="2" t="s">
        <v>270</v>
      </c>
      <c r="D3998" s="3">
        <v>3726</v>
      </c>
    </row>
    <row r="3999" spans="1:4">
      <c r="A3999" s="2" t="s">
        <v>385</v>
      </c>
      <c r="B3999" s="2">
        <v>1700003</v>
      </c>
      <c r="C3999" s="2" t="s">
        <v>271</v>
      </c>
      <c r="D3999" s="3">
        <v>4902</v>
      </c>
    </row>
    <row r="4000" spans="1:4">
      <c r="A4000" s="2" t="s">
        <v>385</v>
      </c>
      <c r="B4000" s="2">
        <v>1700004</v>
      </c>
      <c r="C4000" s="2" t="s">
        <v>272</v>
      </c>
      <c r="D4000" s="3">
        <v>15784</v>
      </c>
    </row>
    <row r="4001" spans="1:4">
      <c r="A4001" s="2" t="s">
        <v>385</v>
      </c>
      <c r="B4001" s="2">
        <v>1700005</v>
      </c>
      <c r="C4001" s="2" t="s">
        <v>192</v>
      </c>
      <c r="D4001" s="3">
        <v>1765</v>
      </c>
    </row>
    <row r="4002" spans="1:4">
      <c r="A4002" s="2" t="s">
        <v>385</v>
      </c>
      <c r="B4002" s="2">
        <v>1700006</v>
      </c>
      <c r="C4002" s="2" t="s">
        <v>273</v>
      </c>
      <c r="D4002" s="3">
        <v>7176</v>
      </c>
    </row>
    <row r="4003" spans="1:4">
      <c r="A4003" s="2" t="s">
        <v>385</v>
      </c>
      <c r="B4003" s="2">
        <v>1700007</v>
      </c>
      <c r="C4003" s="2" t="s">
        <v>274</v>
      </c>
      <c r="D4003" s="3">
        <v>0</v>
      </c>
    </row>
    <row r="4004" spans="1:4">
      <c r="A4004" s="2" t="s">
        <v>385</v>
      </c>
      <c r="B4004" s="2">
        <v>1700008</v>
      </c>
      <c r="C4004" s="2" t="s">
        <v>275</v>
      </c>
      <c r="D4004" s="3">
        <v>0</v>
      </c>
    </row>
    <row r="4005" spans="1:4">
      <c r="A4005" s="2" t="s">
        <v>385</v>
      </c>
      <c r="B4005" s="2">
        <v>1700009</v>
      </c>
      <c r="C4005" s="2" t="s">
        <v>276</v>
      </c>
      <c r="D4005" s="3">
        <v>0</v>
      </c>
    </row>
    <row r="4006" spans="1:4">
      <c r="A4006" s="2" t="s">
        <v>385</v>
      </c>
      <c r="B4006" s="2">
        <v>1700010</v>
      </c>
      <c r="C4006" s="2" t="s">
        <v>277</v>
      </c>
      <c r="D4006" s="3">
        <v>3990</v>
      </c>
    </row>
    <row r="4007" spans="1:4">
      <c r="A4007" s="2" t="s">
        <v>385</v>
      </c>
      <c r="B4007" s="2">
        <v>1700011</v>
      </c>
      <c r="C4007" s="2" t="s">
        <v>278</v>
      </c>
      <c r="D4007" s="3">
        <v>13235</v>
      </c>
    </row>
    <row r="4008" spans="1:4">
      <c r="A4008" s="2" t="s">
        <v>385</v>
      </c>
      <c r="B4008" s="2">
        <v>1700012</v>
      </c>
      <c r="C4008" s="2" t="s">
        <v>279</v>
      </c>
      <c r="D4008" s="3">
        <v>15980</v>
      </c>
    </row>
    <row r="4009" spans="1:4">
      <c r="A4009" s="2" t="s">
        <v>385</v>
      </c>
      <c r="B4009" s="2">
        <v>1700013</v>
      </c>
      <c r="C4009" s="2" t="s">
        <v>280</v>
      </c>
      <c r="D4009" s="3">
        <v>18137</v>
      </c>
    </row>
    <row r="4010" spans="1:4">
      <c r="A4010" s="2" t="s">
        <v>385</v>
      </c>
      <c r="B4010" s="2">
        <v>1700014</v>
      </c>
      <c r="C4010" s="2" t="s">
        <v>194</v>
      </c>
      <c r="D4010" s="3">
        <v>2300</v>
      </c>
    </row>
    <row r="4011" spans="1:4">
      <c r="A4011" s="2" t="s">
        <v>385</v>
      </c>
      <c r="B4011" s="2">
        <v>1700015</v>
      </c>
      <c r="C4011" s="2" t="s">
        <v>281</v>
      </c>
      <c r="D4011" s="3">
        <v>5190</v>
      </c>
    </row>
    <row r="4012" spans="1:4">
      <c r="A4012" s="2" t="s">
        <v>385</v>
      </c>
      <c r="B4012" s="2">
        <v>1700016</v>
      </c>
      <c r="C4012" s="2" t="s">
        <v>282</v>
      </c>
      <c r="D4012" s="3">
        <v>2549</v>
      </c>
    </row>
    <row r="4013" spans="1:4">
      <c r="A4013" s="2" t="s">
        <v>385</v>
      </c>
      <c r="B4013" s="2">
        <v>1700017</v>
      </c>
      <c r="C4013" s="2" t="s">
        <v>283</v>
      </c>
      <c r="D4013" s="3">
        <v>12379</v>
      </c>
    </row>
    <row r="4014" spans="1:4">
      <c r="A4014" s="2" t="s">
        <v>385</v>
      </c>
      <c r="B4014" s="2">
        <v>1700018</v>
      </c>
      <c r="C4014" s="2" t="s">
        <v>284</v>
      </c>
      <c r="D4014" s="3">
        <v>4422</v>
      </c>
    </row>
    <row r="4015" spans="1:4">
      <c r="A4015" s="2" t="s">
        <v>385</v>
      </c>
      <c r="B4015" s="2">
        <v>1700019</v>
      </c>
      <c r="C4015" s="2" t="s">
        <v>285</v>
      </c>
      <c r="D4015" s="3">
        <v>0</v>
      </c>
    </row>
    <row r="4016" spans="1:4">
      <c r="A4016" s="2" t="s">
        <v>385</v>
      </c>
      <c r="B4016" s="2">
        <v>1700020</v>
      </c>
      <c r="C4016" s="2" t="s">
        <v>286</v>
      </c>
      <c r="D4016" s="3">
        <v>49903</v>
      </c>
    </row>
    <row r="4017" spans="1:4">
      <c r="A4017" s="2" t="s">
        <v>385</v>
      </c>
      <c r="B4017" s="2">
        <v>1700021</v>
      </c>
      <c r="C4017" s="2" t="s">
        <v>287</v>
      </c>
      <c r="D4017" s="3">
        <v>80540</v>
      </c>
    </row>
    <row r="4018" spans="1:4">
      <c r="A4018" s="2" t="s">
        <v>385</v>
      </c>
      <c r="B4018" s="2">
        <v>1700022</v>
      </c>
      <c r="C4018" s="2" t="s">
        <v>288</v>
      </c>
      <c r="D4018" s="3">
        <v>35412</v>
      </c>
    </row>
    <row r="4019" spans="1:4">
      <c r="A4019" s="2" t="s">
        <v>385</v>
      </c>
      <c r="B4019" s="2">
        <v>1700023</v>
      </c>
      <c r="C4019" s="2" t="s">
        <v>289</v>
      </c>
      <c r="D4019" s="3">
        <v>8059</v>
      </c>
    </row>
    <row r="4020" spans="1:4">
      <c r="A4020" s="2" t="s">
        <v>385</v>
      </c>
      <c r="B4020" s="2">
        <v>1700024</v>
      </c>
      <c r="C4020" s="2" t="s">
        <v>290</v>
      </c>
      <c r="D4020" s="3">
        <v>3080</v>
      </c>
    </row>
    <row r="4021" spans="1:4">
      <c r="A4021" s="2" t="s">
        <v>385</v>
      </c>
      <c r="B4021" s="2">
        <v>1700025</v>
      </c>
      <c r="C4021" s="2" t="s">
        <v>291</v>
      </c>
      <c r="D4021" s="3">
        <v>1961</v>
      </c>
    </row>
    <row r="4022" spans="1:4">
      <c r="A4022" s="2" t="s">
        <v>385</v>
      </c>
      <c r="B4022" s="2">
        <v>1700026</v>
      </c>
      <c r="C4022" s="2" t="s">
        <v>292</v>
      </c>
      <c r="D4022" s="3">
        <v>3725</v>
      </c>
    </row>
    <row r="4023" spans="1:4">
      <c r="A4023" s="2" t="s">
        <v>385</v>
      </c>
      <c r="B4023" s="2">
        <v>1700027</v>
      </c>
      <c r="C4023" s="2" t="s">
        <v>293</v>
      </c>
      <c r="D4023" s="3">
        <v>4412</v>
      </c>
    </row>
    <row r="4024" spans="1:4">
      <c r="A4024" s="2" t="s">
        <v>385</v>
      </c>
      <c r="B4024" s="2">
        <v>1700028</v>
      </c>
      <c r="C4024" s="2" t="s">
        <v>294</v>
      </c>
      <c r="D4024" s="3">
        <v>9500</v>
      </c>
    </row>
    <row r="4025" spans="1:4">
      <c r="A4025" s="2" t="s">
        <v>385</v>
      </c>
      <c r="B4025" s="2">
        <v>1700029</v>
      </c>
      <c r="C4025" s="2" t="s">
        <v>295</v>
      </c>
      <c r="D4025" s="3">
        <v>10670</v>
      </c>
    </row>
    <row r="4026" spans="1:4">
      <c r="A4026" s="2" t="s">
        <v>385</v>
      </c>
      <c r="B4026" s="2">
        <v>1700030</v>
      </c>
      <c r="C4026" s="2" t="s">
        <v>296</v>
      </c>
      <c r="D4026" s="3">
        <v>12720</v>
      </c>
    </row>
    <row r="4027" spans="1:4">
      <c r="A4027" s="2" t="s">
        <v>385</v>
      </c>
      <c r="B4027" s="2">
        <v>1700031</v>
      </c>
      <c r="C4027" s="2" t="s">
        <v>196</v>
      </c>
      <c r="D4027" s="3">
        <v>2069</v>
      </c>
    </row>
    <row r="4028" spans="1:4">
      <c r="A4028" s="2" t="s">
        <v>385</v>
      </c>
      <c r="B4028" s="2">
        <v>1700032</v>
      </c>
      <c r="C4028" s="2" t="s">
        <v>297</v>
      </c>
      <c r="D4028" s="3">
        <v>0</v>
      </c>
    </row>
    <row r="4029" spans="1:4">
      <c r="A4029" s="2" t="s">
        <v>385</v>
      </c>
      <c r="B4029" s="2">
        <v>1700033</v>
      </c>
      <c r="C4029" s="2" t="s">
        <v>298</v>
      </c>
      <c r="D4029" s="3">
        <v>0</v>
      </c>
    </row>
    <row r="4030" spans="1:4">
      <c r="A4030" s="2" t="s">
        <v>385</v>
      </c>
      <c r="B4030" s="2">
        <v>1700034</v>
      </c>
      <c r="C4030" s="2" t="s">
        <v>299</v>
      </c>
      <c r="D4030" s="3">
        <v>18700</v>
      </c>
    </row>
    <row r="4031" spans="1:4">
      <c r="A4031" s="2" t="s">
        <v>385</v>
      </c>
      <c r="B4031" s="2">
        <v>1700035</v>
      </c>
      <c r="C4031" s="2" t="s">
        <v>300</v>
      </c>
      <c r="D4031" s="3">
        <v>34000</v>
      </c>
    </row>
    <row r="4032" spans="1:4">
      <c r="A4032" s="2" t="s">
        <v>385</v>
      </c>
      <c r="B4032" s="2">
        <v>1700036</v>
      </c>
      <c r="C4032" s="2" t="s">
        <v>301</v>
      </c>
      <c r="D4032" s="3">
        <v>5200</v>
      </c>
    </row>
    <row r="4033" spans="1:4">
      <c r="A4033" s="2" t="s">
        <v>385</v>
      </c>
      <c r="B4033" s="2">
        <v>1700037</v>
      </c>
      <c r="C4033" s="2" t="s">
        <v>302</v>
      </c>
      <c r="D4033" s="3">
        <v>7733</v>
      </c>
    </row>
    <row r="4034" spans="1:4">
      <c r="A4034" s="2" t="s">
        <v>385</v>
      </c>
      <c r="B4034" s="2">
        <v>1700038</v>
      </c>
      <c r="C4034" s="2" t="s">
        <v>303</v>
      </c>
      <c r="D4034" s="3">
        <v>1804</v>
      </c>
    </row>
    <row r="4035" spans="1:4">
      <c r="A4035" s="2" t="s">
        <v>385</v>
      </c>
      <c r="B4035" s="2">
        <v>1700039</v>
      </c>
      <c r="C4035" s="2" t="s">
        <v>304</v>
      </c>
      <c r="D4035" s="3">
        <v>4060</v>
      </c>
    </row>
    <row r="4036" spans="1:4">
      <c r="A4036" s="2" t="s">
        <v>385</v>
      </c>
      <c r="B4036" s="2">
        <v>1700040</v>
      </c>
      <c r="C4036" s="2" t="s">
        <v>305</v>
      </c>
      <c r="D4036" s="3">
        <v>1967</v>
      </c>
    </row>
    <row r="4037" spans="1:4">
      <c r="A4037" s="2" t="s">
        <v>385</v>
      </c>
      <c r="B4037" s="2">
        <v>1700041</v>
      </c>
      <c r="C4037" s="2" t="s">
        <v>306</v>
      </c>
      <c r="D4037" s="3">
        <v>3000</v>
      </c>
    </row>
    <row r="4038" spans="1:4">
      <c r="A4038" s="2" t="s">
        <v>385</v>
      </c>
      <c r="B4038" s="2">
        <v>1700042</v>
      </c>
      <c r="C4038" s="2" t="s">
        <v>307</v>
      </c>
      <c r="D4038" s="3">
        <v>3292</v>
      </c>
    </row>
    <row r="4039" spans="1:4">
      <c r="A4039" s="2" t="s">
        <v>385</v>
      </c>
      <c r="B4039" s="2">
        <v>1700043</v>
      </c>
      <c r="C4039" s="2" t="s">
        <v>308</v>
      </c>
      <c r="D4039" s="3">
        <v>6843</v>
      </c>
    </row>
    <row r="4040" spans="1:4">
      <c r="A4040" s="2" t="s">
        <v>385</v>
      </c>
      <c r="B4040" s="2">
        <v>1700044</v>
      </c>
      <c r="C4040" s="2" t="s">
        <v>309</v>
      </c>
      <c r="D4040" s="3">
        <v>7000</v>
      </c>
    </row>
    <row r="4041" spans="1:4">
      <c r="A4041" s="2" t="s">
        <v>385</v>
      </c>
      <c r="B4041" s="2">
        <v>1700045</v>
      </c>
      <c r="C4041" s="2" t="s">
        <v>310</v>
      </c>
      <c r="D4041" s="3">
        <v>3963</v>
      </c>
    </row>
    <row r="4042" spans="1:4">
      <c r="A4042" s="2" t="s">
        <v>385</v>
      </c>
      <c r="B4042" s="2">
        <v>1700046</v>
      </c>
      <c r="C4042" s="2" t="s">
        <v>311</v>
      </c>
      <c r="D4042" s="3">
        <v>6863</v>
      </c>
    </row>
    <row r="4043" spans="1:4">
      <c r="A4043" s="2" t="s">
        <v>385</v>
      </c>
      <c r="B4043" s="2">
        <v>1700047</v>
      </c>
      <c r="C4043" s="2" t="s">
        <v>312</v>
      </c>
      <c r="D4043" s="3">
        <v>22350</v>
      </c>
    </row>
    <row r="4044" spans="1:4">
      <c r="A4044" s="2" t="s">
        <v>385</v>
      </c>
      <c r="B4044" s="2">
        <v>1700048</v>
      </c>
      <c r="C4044" s="2" t="s">
        <v>313</v>
      </c>
      <c r="D4044" s="3">
        <v>13330</v>
      </c>
    </row>
    <row r="4045" spans="1:4">
      <c r="A4045" s="2" t="s">
        <v>385</v>
      </c>
      <c r="B4045" s="2">
        <v>1700049</v>
      </c>
      <c r="C4045" s="2" t="s">
        <v>314</v>
      </c>
      <c r="D4045" s="3">
        <v>4062</v>
      </c>
    </row>
    <row r="4046" spans="1:4">
      <c r="A4046" s="2" t="s">
        <v>385</v>
      </c>
      <c r="B4046" s="2">
        <v>1700050</v>
      </c>
      <c r="C4046" s="2" t="s">
        <v>315</v>
      </c>
      <c r="D4046" s="3">
        <v>39000</v>
      </c>
    </row>
    <row r="4047" spans="1:4">
      <c r="A4047" s="2" t="s">
        <v>385</v>
      </c>
      <c r="B4047" s="2">
        <v>1700051</v>
      </c>
      <c r="C4047" s="2" t="s">
        <v>316</v>
      </c>
      <c r="D4047" s="3">
        <v>11500</v>
      </c>
    </row>
    <row r="4048" spans="1:4">
      <c r="A4048" s="2" t="s">
        <v>385</v>
      </c>
      <c r="B4048" s="2">
        <v>1700052</v>
      </c>
      <c r="C4048" s="2" t="s">
        <v>317</v>
      </c>
      <c r="D4048" s="3">
        <v>3444</v>
      </c>
    </row>
    <row r="4049" spans="1:4">
      <c r="A4049" s="2" t="s">
        <v>385</v>
      </c>
      <c r="B4049" s="2">
        <v>1700053</v>
      </c>
      <c r="C4049" s="2" t="s">
        <v>318</v>
      </c>
      <c r="D4049" s="3">
        <v>15530</v>
      </c>
    </row>
    <row r="4050" spans="1:4">
      <c r="A4050" s="2" t="s">
        <v>385</v>
      </c>
      <c r="B4050" s="2">
        <v>1700054</v>
      </c>
      <c r="C4050" s="2" t="s">
        <v>319</v>
      </c>
      <c r="D4050" s="3">
        <v>11670</v>
      </c>
    </row>
    <row r="4051" spans="1:4">
      <c r="A4051" s="2" t="s">
        <v>385</v>
      </c>
      <c r="B4051" s="2">
        <v>1700055</v>
      </c>
      <c r="C4051" s="2" t="s">
        <v>320</v>
      </c>
      <c r="D4051" s="3">
        <v>11940</v>
      </c>
    </row>
    <row r="4052" spans="1:4">
      <c r="A4052" s="2" t="s">
        <v>385</v>
      </c>
      <c r="B4052" s="2">
        <v>1700056</v>
      </c>
      <c r="C4052" s="2" t="s">
        <v>321</v>
      </c>
      <c r="D4052" s="3">
        <v>6497</v>
      </c>
    </row>
    <row r="4053" spans="1:4">
      <c r="A4053" s="2" t="s">
        <v>385</v>
      </c>
      <c r="B4053" s="2">
        <v>1700057</v>
      </c>
      <c r="C4053" s="2" t="s">
        <v>322</v>
      </c>
      <c r="D4053" s="3">
        <v>2098</v>
      </c>
    </row>
    <row r="4054" spans="1:4">
      <c r="A4054" s="2" t="s">
        <v>385</v>
      </c>
      <c r="B4054" s="2">
        <v>1700058</v>
      </c>
      <c r="C4054" s="2" t="s">
        <v>323</v>
      </c>
      <c r="D4054" s="3">
        <v>5800</v>
      </c>
    </row>
    <row r="4055" spans="1:4">
      <c r="A4055" s="2" t="s">
        <v>385</v>
      </c>
      <c r="B4055" s="2">
        <v>1700059</v>
      </c>
      <c r="C4055" s="2" t="s">
        <v>324</v>
      </c>
      <c r="D4055" s="3">
        <v>27667</v>
      </c>
    </row>
    <row r="4056" spans="1:4">
      <c r="A4056" s="2" t="s">
        <v>385</v>
      </c>
      <c r="B4056" s="2">
        <v>1700060</v>
      </c>
      <c r="C4056" s="2" t="s">
        <v>325</v>
      </c>
      <c r="D4056" s="3">
        <v>3108</v>
      </c>
    </row>
    <row r="4057" spans="1:4">
      <c r="A4057" s="2" t="s">
        <v>385</v>
      </c>
      <c r="B4057" s="2">
        <v>1700061</v>
      </c>
      <c r="C4057" s="2" t="s">
        <v>326</v>
      </c>
      <c r="D4057" s="3">
        <v>8920</v>
      </c>
    </row>
    <row r="4058" spans="1:4">
      <c r="A4058" s="2" t="s">
        <v>385</v>
      </c>
      <c r="B4058" s="2">
        <v>1700062</v>
      </c>
      <c r="C4058" s="2" t="s">
        <v>327</v>
      </c>
      <c r="D4058" s="3">
        <v>10520</v>
      </c>
    </row>
    <row r="4059" spans="1:4">
      <c r="A4059" s="2" t="s">
        <v>385</v>
      </c>
      <c r="B4059" s="2">
        <v>1700063</v>
      </c>
      <c r="C4059" s="2" t="s">
        <v>328</v>
      </c>
      <c r="D4059" s="3">
        <v>10550</v>
      </c>
    </row>
    <row r="4060" spans="1:4">
      <c r="A4060" s="2" t="s">
        <v>385</v>
      </c>
      <c r="B4060" s="2">
        <v>1700064</v>
      </c>
      <c r="C4060" s="2" t="s">
        <v>329</v>
      </c>
      <c r="D4060" s="3">
        <v>11060</v>
      </c>
    </row>
    <row r="4061" spans="1:4">
      <c r="A4061" s="2" t="s">
        <v>385</v>
      </c>
      <c r="B4061" s="2">
        <v>1700065</v>
      </c>
      <c r="C4061" s="2" t="s">
        <v>330</v>
      </c>
      <c r="D4061" s="3">
        <v>12760</v>
      </c>
    </row>
    <row r="4062" spans="1:4">
      <c r="A4062" s="2" t="s">
        <v>385</v>
      </c>
      <c r="B4062" s="2">
        <v>1700066</v>
      </c>
      <c r="C4062" s="2" t="s">
        <v>331</v>
      </c>
      <c r="D4062" s="3">
        <v>13200</v>
      </c>
    </row>
    <row r="4063" spans="1:4">
      <c r="A4063" s="2" t="s">
        <v>385</v>
      </c>
      <c r="B4063" s="2">
        <v>1700067</v>
      </c>
      <c r="C4063" s="2" t="s">
        <v>332</v>
      </c>
      <c r="D4063" s="3">
        <v>10720</v>
      </c>
    </row>
    <row r="4064" spans="1:4">
      <c r="A4064" s="2" t="s">
        <v>385</v>
      </c>
      <c r="B4064" s="2">
        <v>1700068</v>
      </c>
      <c r="C4064" s="2" t="s">
        <v>333</v>
      </c>
      <c r="D4064" s="3">
        <v>12720</v>
      </c>
    </row>
    <row r="4065" spans="1:4">
      <c r="A4065" s="2" t="s">
        <v>385</v>
      </c>
      <c r="B4065" s="2">
        <v>1700069</v>
      </c>
      <c r="C4065" s="2" t="s">
        <v>334</v>
      </c>
      <c r="D4065" s="3">
        <v>14000</v>
      </c>
    </row>
    <row r="4066" spans="1:4">
      <c r="A4066" s="2" t="s">
        <v>385</v>
      </c>
      <c r="B4066" s="2">
        <v>1700070</v>
      </c>
      <c r="C4066" s="2" t="s">
        <v>335</v>
      </c>
      <c r="D4066" s="3">
        <v>1618</v>
      </c>
    </row>
    <row r="4067" spans="1:4">
      <c r="A4067" s="2" t="s">
        <v>385</v>
      </c>
      <c r="B4067" s="2">
        <v>1700071</v>
      </c>
      <c r="C4067" s="2" t="s">
        <v>336</v>
      </c>
      <c r="D4067" s="3">
        <v>12190</v>
      </c>
    </row>
    <row r="4068" spans="1:4">
      <c r="A4068" s="2" t="s">
        <v>385</v>
      </c>
      <c r="B4068" s="2">
        <v>1700072</v>
      </c>
      <c r="C4068" s="2" t="s">
        <v>337</v>
      </c>
      <c r="D4068" s="3">
        <v>10180</v>
      </c>
    </row>
    <row r="4069" spans="1:4">
      <c r="A4069" s="2" t="s">
        <v>385</v>
      </c>
      <c r="B4069" s="2">
        <v>1700073</v>
      </c>
      <c r="C4069" s="2" t="s">
        <v>338</v>
      </c>
      <c r="D4069" s="3">
        <v>9020</v>
      </c>
    </row>
    <row r="4070" spans="1:4">
      <c r="A4070" s="2" t="s">
        <v>385</v>
      </c>
      <c r="B4070" s="2">
        <v>1700076</v>
      </c>
      <c r="C4070" s="2" t="s">
        <v>339</v>
      </c>
      <c r="D4070" s="3">
        <v>4196</v>
      </c>
    </row>
    <row r="4071" spans="1:4">
      <c r="A4071" s="2" t="s">
        <v>385</v>
      </c>
      <c r="B4071" s="2">
        <v>1700077</v>
      </c>
      <c r="C4071" s="2" t="s">
        <v>340</v>
      </c>
      <c r="D4071" s="3">
        <v>4020</v>
      </c>
    </row>
    <row r="4072" spans="1:4">
      <c r="A4072" s="2" t="s">
        <v>385</v>
      </c>
      <c r="B4072" s="2">
        <v>1700078</v>
      </c>
      <c r="C4072" s="2" t="s">
        <v>341</v>
      </c>
      <c r="D4072" s="3">
        <v>4706</v>
      </c>
    </row>
    <row r="4073" spans="1:4">
      <c r="A4073" s="2" t="s">
        <v>385</v>
      </c>
      <c r="B4073" s="2">
        <v>1700080</v>
      </c>
      <c r="C4073" s="2" t="s">
        <v>342</v>
      </c>
      <c r="D4073" s="3">
        <v>3922</v>
      </c>
    </row>
    <row r="4074" spans="1:4">
      <c r="A4074" s="2" t="s">
        <v>385</v>
      </c>
      <c r="B4074" s="2">
        <v>1700083</v>
      </c>
      <c r="C4074" s="2" t="s">
        <v>343</v>
      </c>
      <c r="D4074" s="3">
        <v>8333</v>
      </c>
    </row>
    <row r="4075" spans="1:4">
      <c r="A4075" s="2" t="s">
        <v>385</v>
      </c>
      <c r="B4075" s="2">
        <v>1700084</v>
      </c>
      <c r="C4075" s="2" t="s">
        <v>344</v>
      </c>
      <c r="D4075" s="3">
        <v>11153</v>
      </c>
    </row>
    <row r="4076" spans="1:4">
      <c r="A4076" s="2" t="s">
        <v>385</v>
      </c>
      <c r="B4076" s="2">
        <v>1700085</v>
      </c>
      <c r="C4076" s="2" t="s">
        <v>345</v>
      </c>
      <c r="D4076" s="3">
        <v>8040</v>
      </c>
    </row>
    <row r="4077" spans="1:4">
      <c r="A4077" s="2" t="s">
        <v>385</v>
      </c>
      <c r="B4077" s="2">
        <v>1700086</v>
      </c>
      <c r="C4077" s="2" t="s">
        <v>346</v>
      </c>
      <c r="D4077" s="3">
        <v>2637</v>
      </c>
    </row>
    <row r="4078" spans="1:4">
      <c r="A4078" s="2" t="s">
        <v>385</v>
      </c>
      <c r="B4078" s="2">
        <v>1700087</v>
      </c>
      <c r="C4078" s="2" t="s">
        <v>347</v>
      </c>
      <c r="D4078" s="3">
        <v>4890</v>
      </c>
    </row>
    <row r="4079" spans="1:4">
      <c r="A4079" s="2" t="s">
        <v>385</v>
      </c>
      <c r="B4079" s="2">
        <v>1700088</v>
      </c>
      <c r="C4079" s="2" t="s">
        <v>348</v>
      </c>
      <c r="D4079" s="3">
        <v>15500</v>
      </c>
    </row>
    <row r="4080" spans="1:4">
      <c r="A4080" s="2" t="s">
        <v>385</v>
      </c>
      <c r="B4080" s="2">
        <v>1700089</v>
      </c>
      <c r="C4080" s="2" t="s">
        <v>349</v>
      </c>
      <c r="D4080" s="3">
        <v>18500</v>
      </c>
    </row>
    <row r="4081" spans="1:4">
      <c r="A4081" s="2" t="s">
        <v>385</v>
      </c>
      <c r="B4081" s="2">
        <v>1700090</v>
      </c>
      <c r="C4081" s="2" t="s">
        <v>350</v>
      </c>
      <c r="D4081" s="3">
        <v>27451</v>
      </c>
    </row>
    <row r="4082" spans="1:4">
      <c r="A4082" s="2" t="s">
        <v>385</v>
      </c>
      <c r="B4082" s="2">
        <v>1700091</v>
      </c>
      <c r="C4082" s="2" t="s">
        <v>351</v>
      </c>
      <c r="D4082" s="3">
        <v>18353</v>
      </c>
    </row>
    <row r="4083" spans="1:4">
      <c r="A4083" s="2" t="s">
        <v>385</v>
      </c>
      <c r="B4083" s="2">
        <v>1700092</v>
      </c>
      <c r="C4083" s="2" t="s">
        <v>352</v>
      </c>
      <c r="D4083" s="3">
        <v>1471</v>
      </c>
    </row>
    <row r="4084" spans="1:4">
      <c r="A4084" s="2" t="s">
        <v>385</v>
      </c>
      <c r="B4084" s="2">
        <v>1700093</v>
      </c>
      <c r="C4084" s="2" t="s">
        <v>353</v>
      </c>
      <c r="D4084" s="3">
        <v>11180</v>
      </c>
    </row>
    <row r="4085" spans="1:4">
      <c r="A4085" s="2" t="s">
        <v>385</v>
      </c>
      <c r="B4085" s="2">
        <v>1700094</v>
      </c>
      <c r="C4085" s="2" t="s">
        <v>354</v>
      </c>
      <c r="D4085" s="3">
        <v>13529</v>
      </c>
    </row>
    <row r="4086" spans="1:4">
      <c r="A4086" s="2" t="s">
        <v>385</v>
      </c>
      <c r="B4086" s="2">
        <v>1700095</v>
      </c>
      <c r="C4086" s="2" t="s">
        <v>355</v>
      </c>
      <c r="D4086" s="3">
        <v>4500</v>
      </c>
    </row>
    <row r="4087" spans="1:4">
      <c r="A4087" s="2" t="s">
        <v>385</v>
      </c>
      <c r="B4087" s="2">
        <v>1700096</v>
      </c>
      <c r="C4087" s="2" t="s">
        <v>356</v>
      </c>
      <c r="D4087" s="3">
        <v>24510</v>
      </c>
    </row>
    <row r="4088" spans="1:4">
      <c r="A4088" s="2" t="s">
        <v>385</v>
      </c>
      <c r="B4088" s="2">
        <v>1700097</v>
      </c>
      <c r="C4088" s="2" t="s">
        <v>357</v>
      </c>
      <c r="D4088" s="3">
        <v>19608</v>
      </c>
    </row>
    <row r="4089" spans="1:4">
      <c r="A4089" s="2" t="s">
        <v>385</v>
      </c>
      <c r="B4089" s="2">
        <v>1700098</v>
      </c>
      <c r="C4089" s="2" t="s">
        <v>358</v>
      </c>
      <c r="D4089" s="3">
        <v>19608</v>
      </c>
    </row>
    <row r="4090" spans="1:4">
      <c r="A4090" s="2" t="s">
        <v>385</v>
      </c>
      <c r="B4090" s="2">
        <v>1700099</v>
      </c>
      <c r="C4090" s="2" t="s">
        <v>359</v>
      </c>
      <c r="D4090" s="3">
        <v>9740</v>
      </c>
    </row>
    <row r="4091" spans="1:4">
      <c r="A4091" s="2" t="s">
        <v>385</v>
      </c>
      <c r="B4091" s="2">
        <v>1700100</v>
      </c>
      <c r="C4091" s="2" t="s">
        <v>360</v>
      </c>
      <c r="D4091" s="3">
        <v>4160</v>
      </c>
    </row>
    <row r="4092" spans="1:4">
      <c r="A4092" s="2" t="s">
        <v>385</v>
      </c>
      <c r="B4092" s="2">
        <v>1700101</v>
      </c>
      <c r="C4092" s="2" t="s">
        <v>361</v>
      </c>
      <c r="D4092" s="3">
        <v>7647</v>
      </c>
    </row>
    <row r="4093" spans="1:4">
      <c r="A4093" s="2" t="s">
        <v>385</v>
      </c>
      <c r="B4093" s="2">
        <v>1700102</v>
      </c>
      <c r="C4093" s="2" t="s">
        <v>362</v>
      </c>
      <c r="D4093" s="3">
        <v>40196</v>
      </c>
    </row>
    <row r="4094" spans="1:4">
      <c r="A4094" s="2" t="s">
        <v>385</v>
      </c>
      <c r="B4094" s="2">
        <v>1700103</v>
      </c>
      <c r="C4094" s="2" t="s">
        <v>363</v>
      </c>
      <c r="D4094" s="3">
        <v>9000</v>
      </c>
    </row>
    <row r="4095" spans="1:4">
      <c r="A4095" s="2" t="s">
        <v>385</v>
      </c>
      <c r="B4095" s="2">
        <v>1700104</v>
      </c>
      <c r="C4095" s="2" t="s">
        <v>364</v>
      </c>
      <c r="D4095" s="3">
        <v>25000</v>
      </c>
    </row>
    <row r="4096" spans="1:4">
      <c r="A4096" s="2" t="s">
        <v>385</v>
      </c>
      <c r="B4096" s="2">
        <v>1700105</v>
      </c>
      <c r="C4096" s="2" t="s">
        <v>365</v>
      </c>
      <c r="D4096" s="3">
        <v>10588</v>
      </c>
    </row>
    <row r="4097" spans="1:4">
      <c r="A4097" s="2" t="s">
        <v>385</v>
      </c>
      <c r="B4097" s="2">
        <v>1700106</v>
      </c>
      <c r="C4097" s="2" t="s">
        <v>366</v>
      </c>
      <c r="D4097" s="3">
        <v>14020</v>
      </c>
    </row>
    <row r="4098" spans="1:4">
      <c r="A4098" s="2" t="s">
        <v>385</v>
      </c>
      <c r="B4098" s="2">
        <v>1700107</v>
      </c>
      <c r="C4098" s="2" t="s">
        <v>367</v>
      </c>
      <c r="D4098" s="3">
        <v>9020</v>
      </c>
    </row>
    <row r="4099" spans="1:4">
      <c r="A4099" s="2" t="s">
        <v>385</v>
      </c>
      <c r="B4099" s="2">
        <v>1800002</v>
      </c>
      <c r="C4099" s="2" t="s">
        <v>368</v>
      </c>
      <c r="D4099" s="3">
        <v>9520</v>
      </c>
    </row>
    <row r="4100" spans="1:4">
      <c r="A4100" s="2" t="s">
        <v>385</v>
      </c>
      <c r="B4100" s="2">
        <v>1800004</v>
      </c>
      <c r="C4100" s="2" t="s">
        <v>369</v>
      </c>
      <c r="D4100" s="3">
        <v>0</v>
      </c>
    </row>
    <row r="4101" spans="1:4">
      <c r="A4101" s="2" t="s">
        <v>385</v>
      </c>
      <c r="B4101" s="2">
        <v>1800005</v>
      </c>
      <c r="C4101" s="2" t="s">
        <v>370</v>
      </c>
      <c r="D4101" s="3">
        <v>0</v>
      </c>
    </row>
    <row r="4102" spans="1:4">
      <c r="A4102" s="2" t="s">
        <v>385</v>
      </c>
      <c r="B4102" s="2">
        <v>1800006</v>
      </c>
      <c r="C4102" s="2" t="s">
        <v>371</v>
      </c>
      <c r="D4102" s="3">
        <v>0</v>
      </c>
    </row>
    <row r="4103" spans="1:4">
      <c r="A4103" s="2" t="s">
        <v>385</v>
      </c>
      <c r="B4103" s="2">
        <v>1800007</v>
      </c>
      <c r="C4103" s="2" t="s">
        <v>372</v>
      </c>
      <c r="D4103" s="3">
        <v>10000</v>
      </c>
    </row>
    <row r="4104" spans="1:4">
      <c r="A4104" s="2" t="s">
        <v>385</v>
      </c>
      <c r="B4104" s="2">
        <v>1800008</v>
      </c>
      <c r="C4104" s="2" t="s">
        <v>373</v>
      </c>
      <c r="D4104" s="3">
        <v>10230</v>
      </c>
    </row>
    <row r="4105" spans="1:4">
      <c r="A4105" s="2" t="s">
        <v>385</v>
      </c>
      <c r="B4105" s="2">
        <v>1800009</v>
      </c>
      <c r="C4105" s="2" t="s">
        <v>374</v>
      </c>
      <c r="D4105" s="3">
        <v>11800</v>
      </c>
    </row>
    <row r="4106" spans="1:4">
      <c r="A4106" s="2" t="s">
        <v>385</v>
      </c>
      <c r="B4106" s="2">
        <v>1800010</v>
      </c>
      <c r="C4106" s="2" t="s">
        <v>375</v>
      </c>
      <c r="D4106" s="3">
        <v>6863</v>
      </c>
    </row>
    <row r="4107" spans="1:4">
      <c r="A4107" s="2" t="s">
        <v>385</v>
      </c>
      <c r="B4107" s="2">
        <v>1800011</v>
      </c>
      <c r="C4107" s="2" t="s">
        <v>376</v>
      </c>
      <c r="D4107" s="3">
        <v>13235</v>
      </c>
    </row>
    <row r="4108" spans="1:4">
      <c r="A4108" s="2" t="s">
        <v>385</v>
      </c>
      <c r="B4108" s="2">
        <v>1800012</v>
      </c>
      <c r="C4108" s="2" t="s">
        <v>377</v>
      </c>
      <c r="D4108" s="3">
        <v>8235</v>
      </c>
    </row>
    <row r="4109" spans="1:4">
      <c r="A4109" s="2" t="s">
        <v>385</v>
      </c>
      <c r="B4109" s="2">
        <v>1800013</v>
      </c>
      <c r="C4109" s="2" t="s">
        <v>378</v>
      </c>
      <c r="D4109" s="3">
        <v>49100</v>
      </c>
    </row>
    <row r="4110" spans="1:4">
      <c r="A4110" s="2" t="s">
        <v>385</v>
      </c>
      <c r="B4110" s="2">
        <v>1800014</v>
      </c>
      <c r="C4110" s="2" t="s">
        <v>379</v>
      </c>
      <c r="D4110" s="3">
        <v>70000</v>
      </c>
    </row>
    <row r="4111" spans="1:4">
      <c r="A4111" s="2" t="s">
        <v>385</v>
      </c>
      <c r="B4111" s="2">
        <v>1800015</v>
      </c>
      <c r="C4111" s="2" t="s">
        <v>380</v>
      </c>
      <c r="D4111" s="3">
        <v>66700</v>
      </c>
    </row>
    <row r="4112" spans="1:4">
      <c r="A4112" s="2" t="s">
        <v>385</v>
      </c>
      <c r="B4112" s="2">
        <v>1900013</v>
      </c>
      <c r="C4112" s="2" t="s">
        <v>381</v>
      </c>
      <c r="D4112" s="3">
        <v>0</v>
      </c>
    </row>
    <row r="4113" spans="1:4">
      <c r="A4113" s="2" t="s">
        <v>385</v>
      </c>
      <c r="B4113" s="2">
        <v>1900018</v>
      </c>
      <c r="C4113" s="2" t="s">
        <v>382</v>
      </c>
      <c r="D4113" s="3">
        <v>0</v>
      </c>
    </row>
    <row r="4114" spans="1:4">
      <c r="A4114" s="4" t="s">
        <v>386</v>
      </c>
      <c r="B4114" s="2">
        <v>1010101</v>
      </c>
      <c r="C4114" s="2" t="s">
        <v>5</v>
      </c>
      <c r="D4114" s="3">
        <v>700</v>
      </c>
    </row>
    <row r="4115" spans="1:4">
      <c r="A4115" s="4" t="s">
        <v>386</v>
      </c>
      <c r="B4115" s="2">
        <v>1010111</v>
      </c>
      <c r="C4115" s="2" t="s">
        <v>9</v>
      </c>
      <c r="D4115" s="3">
        <v>19100</v>
      </c>
    </row>
    <row r="4116" spans="1:4">
      <c r="A4116" s="4" t="s">
        <v>386</v>
      </c>
      <c r="B4116" s="2">
        <v>1010201</v>
      </c>
      <c r="C4116" s="2" t="s">
        <v>11</v>
      </c>
      <c r="D4116" s="3">
        <v>1373</v>
      </c>
    </row>
    <row r="4117" spans="1:4">
      <c r="A4117" s="4" t="s">
        <v>386</v>
      </c>
      <c r="B4117" s="2">
        <v>1010300</v>
      </c>
      <c r="C4117" s="2" t="s">
        <v>213</v>
      </c>
      <c r="D4117" s="3">
        <v>9608</v>
      </c>
    </row>
    <row r="4118" spans="1:4">
      <c r="A4118" s="4" t="s">
        <v>386</v>
      </c>
      <c r="B4118" s="2">
        <v>1010301</v>
      </c>
      <c r="C4118" s="2" t="s">
        <v>214</v>
      </c>
      <c r="D4118" s="3">
        <v>6373</v>
      </c>
    </row>
    <row r="4119" spans="1:4">
      <c r="A4119" s="4" t="s">
        <v>386</v>
      </c>
      <c r="B4119" s="2">
        <v>1010302</v>
      </c>
      <c r="C4119" s="2" t="s">
        <v>16</v>
      </c>
      <c r="D4119" s="3">
        <v>4314</v>
      </c>
    </row>
    <row r="4120" spans="1:4">
      <c r="A4120" s="4" t="s">
        <v>386</v>
      </c>
      <c r="B4120" s="2">
        <v>1010303</v>
      </c>
      <c r="C4120" s="2" t="s">
        <v>18</v>
      </c>
      <c r="D4120" s="3">
        <v>882</v>
      </c>
    </row>
    <row r="4121" spans="1:4">
      <c r="A4121" s="4" t="s">
        <v>386</v>
      </c>
      <c r="B4121" s="2">
        <v>1010304</v>
      </c>
      <c r="C4121" s="2" t="s">
        <v>215</v>
      </c>
      <c r="D4121" s="3">
        <v>1422</v>
      </c>
    </row>
    <row r="4122" spans="1:4">
      <c r="A4122" s="4" t="s">
        <v>386</v>
      </c>
      <c r="B4122" s="2">
        <v>1010401</v>
      </c>
      <c r="C4122" s="2" t="s">
        <v>20</v>
      </c>
      <c r="D4122" s="3">
        <v>3627</v>
      </c>
    </row>
    <row r="4123" spans="1:4">
      <c r="A4123" s="4" t="s">
        <v>386</v>
      </c>
      <c r="B4123" s="2">
        <v>1010405</v>
      </c>
      <c r="C4123" s="2" t="s">
        <v>22</v>
      </c>
      <c r="D4123" s="3">
        <v>9975</v>
      </c>
    </row>
    <row r="4124" spans="1:4">
      <c r="A4124" s="4" t="s">
        <v>386</v>
      </c>
      <c r="B4124" s="2">
        <v>1010501</v>
      </c>
      <c r="C4124" s="2" t="s">
        <v>24</v>
      </c>
      <c r="D4124" s="3">
        <v>980</v>
      </c>
    </row>
    <row r="4125" spans="1:4">
      <c r="A4125" s="4" t="s">
        <v>386</v>
      </c>
      <c r="B4125" s="2">
        <v>1010502</v>
      </c>
      <c r="C4125" s="2" t="s">
        <v>216</v>
      </c>
      <c r="D4125" s="3">
        <v>0</v>
      </c>
    </row>
    <row r="4126" spans="1:4">
      <c r="A4126" s="4" t="s">
        <v>386</v>
      </c>
      <c r="B4126" s="2">
        <v>1010601</v>
      </c>
      <c r="C4126" s="2" t="s">
        <v>26</v>
      </c>
      <c r="D4126" s="3">
        <v>4412</v>
      </c>
    </row>
    <row r="4127" spans="1:4">
      <c r="A4127" s="4" t="s">
        <v>386</v>
      </c>
      <c r="B4127" s="2">
        <v>1010701</v>
      </c>
      <c r="C4127" s="2" t="s">
        <v>28</v>
      </c>
      <c r="D4127" s="3">
        <v>686</v>
      </c>
    </row>
    <row r="4128" spans="1:4">
      <c r="A4128" s="4" t="s">
        <v>386</v>
      </c>
      <c r="B4128" s="2">
        <v>1010801</v>
      </c>
      <c r="C4128" s="2" t="s">
        <v>30</v>
      </c>
      <c r="D4128" s="3">
        <v>9118</v>
      </c>
    </row>
    <row r="4129" spans="1:4">
      <c r="A4129" s="4" t="s">
        <v>386</v>
      </c>
      <c r="B4129" s="2">
        <v>1010901</v>
      </c>
      <c r="C4129" s="2" t="s">
        <v>32</v>
      </c>
      <c r="D4129" s="3">
        <v>4804</v>
      </c>
    </row>
    <row r="4130" spans="1:4">
      <c r="A4130" s="4" t="s">
        <v>386</v>
      </c>
      <c r="B4130" s="2">
        <v>1020101</v>
      </c>
      <c r="C4130" s="2" t="s">
        <v>34</v>
      </c>
      <c r="D4130" s="3">
        <v>18627</v>
      </c>
    </row>
    <row r="4131" spans="1:4">
      <c r="A4131" s="4" t="s">
        <v>386</v>
      </c>
      <c r="B4131" s="2">
        <v>1020201</v>
      </c>
      <c r="C4131" s="2" t="s">
        <v>217</v>
      </c>
      <c r="D4131" s="3">
        <v>5600</v>
      </c>
    </row>
    <row r="4132" spans="1:4">
      <c r="A4132" s="4" t="s">
        <v>386</v>
      </c>
      <c r="B4132" s="2">
        <v>1020301</v>
      </c>
      <c r="C4132" s="2" t="s">
        <v>38</v>
      </c>
      <c r="D4132" s="3">
        <v>2350</v>
      </c>
    </row>
    <row r="4133" spans="1:4">
      <c r="A4133" s="4" t="s">
        <v>386</v>
      </c>
      <c r="B4133" s="2">
        <v>1020401</v>
      </c>
      <c r="C4133" s="2" t="s">
        <v>40</v>
      </c>
      <c r="D4133" s="3">
        <v>3400</v>
      </c>
    </row>
    <row r="4134" spans="1:4">
      <c r="A4134" s="4" t="s">
        <v>386</v>
      </c>
      <c r="B4134" s="2">
        <v>1030102</v>
      </c>
      <c r="C4134" s="2" t="s">
        <v>218</v>
      </c>
      <c r="D4134" s="3">
        <v>0</v>
      </c>
    </row>
    <row r="4135" spans="1:4">
      <c r="A4135" s="4" t="s">
        <v>386</v>
      </c>
      <c r="B4135" s="2">
        <v>1030201</v>
      </c>
      <c r="C4135" s="2" t="s">
        <v>42</v>
      </c>
      <c r="D4135" s="3">
        <v>2843</v>
      </c>
    </row>
    <row r="4136" spans="1:4">
      <c r="A4136" s="4" t="s">
        <v>386</v>
      </c>
      <c r="B4136" s="2">
        <v>1030203</v>
      </c>
      <c r="C4136" s="2" t="s">
        <v>219</v>
      </c>
      <c r="D4136" s="3">
        <v>0</v>
      </c>
    </row>
    <row r="4137" spans="1:4">
      <c r="A4137" s="4" t="s">
        <v>386</v>
      </c>
      <c r="B4137" s="2">
        <v>1030204</v>
      </c>
      <c r="C4137" s="2" t="s">
        <v>220</v>
      </c>
      <c r="D4137" s="3">
        <v>0</v>
      </c>
    </row>
    <row r="4138" spans="1:4">
      <c r="A4138" s="4" t="s">
        <v>386</v>
      </c>
      <c r="B4138" s="2">
        <v>1030205</v>
      </c>
      <c r="C4138" s="2" t="s">
        <v>44</v>
      </c>
      <c r="D4138" s="3">
        <v>5000</v>
      </c>
    </row>
    <row r="4139" spans="1:4">
      <c r="A4139" s="4" t="s">
        <v>386</v>
      </c>
      <c r="B4139" s="2">
        <v>1030206</v>
      </c>
      <c r="C4139" s="2" t="s">
        <v>46</v>
      </c>
      <c r="D4139" s="3">
        <v>6200</v>
      </c>
    </row>
    <row r="4140" spans="1:4">
      <c r="A4140" s="4" t="s">
        <v>386</v>
      </c>
      <c r="B4140" s="2">
        <v>1030207</v>
      </c>
      <c r="C4140" s="2" t="s">
        <v>48</v>
      </c>
      <c r="D4140" s="3">
        <v>4600</v>
      </c>
    </row>
    <row r="4141" spans="1:4">
      <c r="A4141" s="4" t="s">
        <v>386</v>
      </c>
      <c r="B4141" s="2">
        <v>1030501</v>
      </c>
      <c r="C4141" s="2" t="s">
        <v>50</v>
      </c>
      <c r="D4141" s="3">
        <v>1127</v>
      </c>
    </row>
    <row r="4142" spans="1:4">
      <c r="A4142" s="4" t="s">
        <v>386</v>
      </c>
      <c r="B4142" s="2">
        <v>1030601</v>
      </c>
      <c r="C4142" s="2" t="s">
        <v>52</v>
      </c>
      <c r="D4142" s="3">
        <v>3000</v>
      </c>
    </row>
    <row r="4143" spans="1:4">
      <c r="A4143" s="4" t="s">
        <v>386</v>
      </c>
      <c r="B4143" s="2">
        <v>1030701</v>
      </c>
      <c r="C4143" s="2" t="s">
        <v>221</v>
      </c>
      <c r="D4143" s="3">
        <v>3000</v>
      </c>
    </row>
    <row r="4144" spans="1:4">
      <c r="A4144" s="4" t="s">
        <v>386</v>
      </c>
      <c r="B4144" s="2">
        <v>1030705</v>
      </c>
      <c r="C4144" s="2" t="s">
        <v>222</v>
      </c>
      <c r="D4144" s="3">
        <v>0</v>
      </c>
    </row>
    <row r="4145" spans="1:4">
      <c r="A4145" s="4" t="s">
        <v>386</v>
      </c>
      <c r="B4145" s="2">
        <v>1030801</v>
      </c>
      <c r="C4145" s="2" t="s">
        <v>54</v>
      </c>
      <c r="D4145" s="3">
        <v>1176</v>
      </c>
    </row>
    <row r="4146" spans="1:4">
      <c r="A4146" s="4" t="s">
        <v>386</v>
      </c>
      <c r="B4146" s="2">
        <v>1030901</v>
      </c>
      <c r="C4146" s="2" t="s">
        <v>223</v>
      </c>
      <c r="D4146" s="3">
        <v>0</v>
      </c>
    </row>
    <row r="4147" spans="1:4">
      <c r="A4147" s="4" t="s">
        <v>386</v>
      </c>
      <c r="B4147" s="2">
        <v>1040201</v>
      </c>
      <c r="C4147" s="2" t="s">
        <v>56</v>
      </c>
      <c r="D4147" s="3">
        <v>1407</v>
      </c>
    </row>
    <row r="4148" spans="1:4">
      <c r="A4148" s="4" t="s">
        <v>386</v>
      </c>
      <c r="B4148" s="2">
        <v>1040202</v>
      </c>
      <c r="C4148" s="2" t="s">
        <v>224</v>
      </c>
      <c r="D4148" s="3">
        <v>0</v>
      </c>
    </row>
    <row r="4149" spans="1:4">
      <c r="A4149" s="4" t="s">
        <v>386</v>
      </c>
      <c r="B4149" s="2">
        <v>1040203</v>
      </c>
      <c r="C4149" s="2" t="s">
        <v>225</v>
      </c>
      <c r="D4149" s="3">
        <v>0</v>
      </c>
    </row>
    <row r="4150" spans="1:4">
      <c r="A4150" s="4" t="s">
        <v>386</v>
      </c>
      <c r="B4150" s="2">
        <v>1040204</v>
      </c>
      <c r="C4150" s="2" t="s">
        <v>226</v>
      </c>
      <c r="D4150" s="3">
        <v>8583</v>
      </c>
    </row>
    <row r="4151" spans="1:4">
      <c r="A4151" s="4" t="s">
        <v>386</v>
      </c>
      <c r="B4151" s="2">
        <v>1040301</v>
      </c>
      <c r="C4151" s="2" t="s">
        <v>58</v>
      </c>
      <c r="D4151" s="3">
        <v>1625</v>
      </c>
    </row>
    <row r="4152" spans="1:4">
      <c r="A4152" s="4" t="s">
        <v>386</v>
      </c>
      <c r="B4152" s="2">
        <v>1040401</v>
      </c>
      <c r="C4152" s="2" t="s">
        <v>227</v>
      </c>
      <c r="D4152" s="3">
        <v>0</v>
      </c>
    </row>
    <row r="4153" spans="1:4">
      <c r="A4153" s="4" t="s">
        <v>386</v>
      </c>
      <c r="B4153" s="2">
        <v>1050102</v>
      </c>
      <c r="C4153" s="2" t="s">
        <v>60</v>
      </c>
      <c r="D4153" s="3">
        <v>31000</v>
      </c>
    </row>
    <row r="4154" spans="1:4">
      <c r="A4154" s="4" t="s">
        <v>386</v>
      </c>
      <c r="B4154" s="2">
        <v>1050103</v>
      </c>
      <c r="C4154" s="2" t="s">
        <v>228</v>
      </c>
      <c r="D4154" s="3">
        <v>11275</v>
      </c>
    </row>
    <row r="4155" spans="1:4">
      <c r="A4155" s="4" t="s">
        <v>386</v>
      </c>
      <c r="B4155" s="2">
        <v>1050301</v>
      </c>
      <c r="C4155" s="2" t="s">
        <v>62</v>
      </c>
      <c r="D4155" s="3">
        <v>9804</v>
      </c>
    </row>
    <row r="4156" spans="1:4">
      <c r="A4156" s="4" t="s">
        <v>386</v>
      </c>
      <c r="B4156" s="2">
        <v>1050401</v>
      </c>
      <c r="C4156" s="2" t="s">
        <v>64</v>
      </c>
      <c r="D4156" s="3">
        <v>8824</v>
      </c>
    </row>
    <row r="4157" spans="1:4">
      <c r="A4157" s="4" t="s">
        <v>386</v>
      </c>
      <c r="B4157" s="2">
        <v>1050501</v>
      </c>
      <c r="C4157" s="2" t="s">
        <v>66</v>
      </c>
      <c r="D4157" s="3">
        <v>10784</v>
      </c>
    </row>
    <row r="4158" spans="1:4">
      <c r="A4158" s="4" t="s">
        <v>386</v>
      </c>
      <c r="B4158" s="2">
        <v>1050511</v>
      </c>
      <c r="C4158" s="2" t="s">
        <v>68</v>
      </c>
      <c r="D4158" s="3">
        <v>17647</v>
      </c>
    </row>
    <row r="4159" spans="1:4">
      <c r="A4159" s="4" t="s">
        <v>386</v>
      </c>
      <c r="B4159" s="2">
        <v>1050512</v>
      </c>
      <c r="C4159" s="2" t="s">
        <v>229</v>
      </c>
      <c r="D4159" s="3">
        <v>0</v>
      </c>
    </row>
    <row r="4160" spans="1:4">
      <c r="A4160" s="4" t="s">
        <v>386</v>
      </c>
      <c r="B4160" s="2">
        <v>1050521</v>
      </c>
      <c r="C4160" s="2" t="s">
        <v>70</v>
      </c>
      <c r="D4160" s="3">
        <v>14706</v>
      </c>
    </row>
    <row r="4161" spans="1:4">
      <c r="A4161" s="4" t="s">
        <v>386</v>
      </c>
      <c r="B4161" s="2">
        <v>1050531</v>
      </c>
      <c r="C4161" s="2" t="s">
        <v>72</v>
      </c>
      <c r="D4161" s="3">
        <v>21000</v>
      </c>
    </row>
    <row r="4162" spans="1:4">
      <c r="A4162" s="4" t="s">
        <v>386</v>
      </c>
      <c r="B4162" s="2">
        <v>1050541</v>
      </c>
      <c r="C4162" s="2" t="s">
        <v>74</v>
      </c>
      <c r="D4162" s="3">
        <v>11000</v>
      </c>
    </row>
    <row r="4163" spans="1:4">
      <c r="A4163" s="4" t="s">
        <v>386</v>
      </c>
      <c r="B4163" s="2">
        <v>1050551</v>
      </c>
      <c r="C4163" s="2" t="s">
        <v>76</v>
      </c>
      <c r="D4163" s="3">
        <v>54000</v>
      </c>
    </row>
    <row r="4164" spans="1:4">
      <c r="A4164" s="4" t="s">
        <v>386</v>
      </c>
      <c r="B4164" s="2">
        <v>1050561</v>
      </c>
      <c r="C4164" s="2" t="s">
        <v>78</v>
      </c>
      <c r="D4164" s="3">
        <v>77321</v>
      </c>
    </row>
    <row r="4165" spans="1:4">
      <c r="A4165" s="4" t="s">
        <v>386</v>
      </c>
      <c r="B4165" s="2">
        <v>1050571</v>
      </c>
      <c r="C4165" s="2" t="s">
        <v>80</v>
      </c>
      <c r="D4165" s="3">
        <v>58000</v>
      </c>
    </row>
    <row r="4166" spans="1:4">
      <c r="A4166" s="4" t="s">
        <v>386</v>
      </c>
      <c r="B4166" s="2">
        <v>1050581</v>
      </c>
      <c r="C4166" s="2" t="s">
        <v>82</v>
      </c>
      <c r="D4166" s="3">
        <v>60760</v>
      </c>
    </row>
    <row r="4167" spans="1:4">
      <c r="A4167" s="4" t="s">
        <v>386</v>
      </c>
      <c r="B4167" s="2">
        <v>1050591</v>
      </c>
      <c r="C4167" s="2" t="s">
        <v>84</v>
      </c>
      <c r="D4167" s="3">
        <v>97750</v>
      </c>
    </row>
    <row r="4168" spans="1:4">
      <c r="A4168" s="4" t="s">
        <v>386</v>
      </c>
      <c r="B4168" s="2">
        <v>1050601</v>
      </c>
      <c r="C4168" s="2" t="s">
        <v>86</v>
      </c>
      <c r="D4168" s="3">
        <v>6400</v>
      </c>
    </row>
    <row r="4169" spans="1:4">
      <c r="A4169" s="4" t="s">
        <v>386</v>
      </c>
      <c r="B4169" s="2">
        <v>1050701</v>
      </c>
      <c r="C4169" s="2" t="s">
        <v>88</v>
      </c>
      <c r="D4169" s="3">
        <v>6300</v>
      </c>
    </row>
    <row r="4170" spans="1:4">
      <c r="A4170" s="4" t="s">
        <v>386</v>
      </c>
      <c r="B4170" s="2">
        <v>1050702</v>
      </c>
      <c r="C4170" s="2" t="s">
        <v>90</v>
      </c>
      <c r="D4170" s="3">
        <v>6000</v>
      </c>
    </row>
    <row r="4171" spans="1:4">
      <c r="A4171" s="4" t="s">
        <v>386</v>
      </c>
      <c r="B4171" s="2">
        <v>1050711</v>
      </c>
      <c r="C4171" s="2" t="s">
        <v>92</v>
      </c>
      <c r="D4171" s="3">
        <v>2715</v>
      </c>
    </row>
    <row r="4172" spans="1:4">
      <c r="A4172" s="4" t="s">
        <v>386</v>
      </c>
      <c r="B4172" s="2">
        <v>1050721</v>
      </c>
      <c r="C4172" s="2" t="s">
        <v>94</v>
      </c>
      <c r="D4172" s="3">
        <v>14290</v>
      </c>
    </row>
    <row r="4173" spans="1:4">
      <c r="A4173" s="4" t="s">
        <v>386</v>
      </c>
      <c r="B4173" s="2">
        <v>1050801</v>
      </c>
      <c r="C4173" s="2" t="s">
        <v>7</v>
      </c>
      <c r="D4173" s="3">
        <v>882</v>
      </c>
    </row>
    <row r="4174" spans="1:4">
      <c r="A4174" s="4" t="s">
        <v>386</v>
      </c>
      <c r="B4174" s="2">
        <v>1050901</v>
      </c>
      <c r="C4174" s="2" t="s">
        <v>96</v>
      </c>
      <c r="D4174" s="3">
        <v>1216</v>
      </c>
    </row>
    <row r="4175" spans="1:4">
      <c r="A4175" s="4" t="s">
        <v>386</v>
      </c>
      <c r="B4175" s="2">
        <v>1060101</v>
      </c>
      <c r="C4175" s="2" t="s">
        <v>98</v>
      </c>
      <c r="D4175" s="3">
        <v>2200</v>
      </c>
    </row>
    <row r="4176" spans="1:4">
      <c r="A4176" s="4" t="s">
        <v>386</v>
      </c>
      <c r="B4176" s="2">
        <v>1060401</v>
      </c>
      <c r="C4176" s="2" t="s">
        <v>100</v>
      </c>
      <c r="D4176" s="3">
        <v>75000</v>
      </c>
    </row>
    <row r="4177" spans="1:4">
      <c r="A4177" s="4" t="s">
        <v>386</v>
      </c>
      <c r="B4177" s="2">
        <v>1060412</v>
      </c>
      <c r="C4177" s="2" t="s">
        <v>230</v>
      </c>
      <c r="D4177" s="3">
        <v>33000</v>
      </c>
    </row>
    <row r="4178" spans="1:4">
      <c r="A4178" s="4" t="s">
        <v>386</v>
      </c>
      <c r="B4178" s="2">
        <v>1060421</v>
      </c>
      <c r="C4178" s="2" t="s">
        <v>104</v>
      </c>
      <c r="D4178" s="3">
        <v>118000</v>
      </c>
    </row>
    <row r="4179" spans="1:4">
      <c r="A4179" s="4" t="s">
        <v>386</v>
      </c>
      <c r="B4179" s="2">
        <v>1060441</v>
      </c>
      <c r="C4179" s="2" t="s">
        <v>106</v>
      </c>
      <c r="D4179" s="3">
        <v>6471</v>
      </c>
    </row>
    <row r="4180" spans="1:4">
      <c r="A4180" s="4" t="s">
        <v>386</v>
      </c>
      <c r="B4180" s="2">
        <v>1060451</v>
      </c>
      <c r="C4180" s="2" t="s">
        <v>108</v>
      </c>
      <c r="D4180" s="3">
        <v>38235</v>
      </c>
    </row>
    <row r="4181" spans="1:4">
      <c r="A4181" s="4" t="s">
        <v>386</v>
      </c>
      <c r="B4181" s="2">
        <v>1070101</v>
      </c>
      <c r="C4181" s="2" t="s">
        <v>110</v>
      </c>
      <c r="D4181" s="3">
        <v>4000</v>
      </c>
    </row>
    <row r="4182" spans="1:4">
      <c r="A4182" s="4" t="s">
        <v>386</v>
      </c>
      <c r="B4182" s="2">
        <v>1070301</v>
      </c>
      <c r="C4182" s="2" t="s">
        <v>112</v>
      </c>
      <c r="D4182" s="3">
        <v>41000</v>
      </c>
    </row>
    <row r="4183" spans="1:4">
      <c r="A4183" s="4" t="s">
        <v>386</v>
      </c>
      <c r="B4183" s="2">
        <v>1070401</v>
      </c>
      <c r="C4183" s="2" t="s">
        <v>114</v>
      </c>
      <c r="D4183" s="3">
        <v>12000</v>
      </c>
    </row>
    <row r="4184" spans="1:4">
      <c r="A4184" s="4" t="s">
        <v>386</v>
      </c>
      <c r="B4184" s="2">
        <v>1070501</v>
      </c>
      <c r="C4184" s="2" t="s">
        <v>231</v>
      </c>
      <c r="D4184" s="3">
        <v>5500</v>
      </c>
    </row>
    <row r="4185" spans="1:4">
      <c r="A4185" s="4" t="s">
        <v>386</v>
      </c>
      <c r="B4185" s="2">
        <v>1070701</v>
      </c>
      <c r="C4185" s="2" t="s">
        <v>118</v>
      </c>
      <c r="D4185" s="3">
        <v>36000</v>
      </c>
    </row>
    <row r="4186" spans="1:4">
      <c r="A4186" s="4" t="s">
        <v>386</v>
      </c>
      <c r="B4186" s="2">
        <v>1070801</v>
      </c>
      <c r="C4186" s="2" t="s">
        <v>232</v>
      </c>
      <c r="D4186" s="3">
        <v>35000</v>
      </c>
    </row>
    <row r="4187" spans="1:4">
      <c r="A4187" s="4" t="s">
        <v>386</v>
      </c>
      <c r="B4187" s="2">
        <v>1080101</v>
      </c>
      <c r="C4187" s="2" t="s">
        <v>120</v>
      </c>
      <c r="D4187" s="3">
        <v>11000</v>
      </c>
    </row>
    <row r="4188" spans="1:4">
      <c r="A4188" s="4" t="s">
        <v>386</v>
      </c>
      <c r="B4188" s="2">
        <v>1080201</v>
      </c>
      <c r="C4188" s="2" t="s">
        <v>122</v>
      </c>
      <c r="D4188" s="3">
        <v>540</v>
      </c>
    </row>
    <row r="4189" spans="1:4">
      <c r="A4189" s="4" t="s">
        <v>386</v>
      </c>
      <c r="B4189" s="2">
        <v>1080301</v>
      </c>
      <c r="C4189" s="2" t="s">
        <v>124</v>
      </c>
      <c r="D4189" s="3">
        <v>1550</v>
      </c>
    </row>
    <row r="4190" spans="1:4">
      <c r="A4190" s="4" t="s">
        <v>386</v>
      </c>
      <c r="B4190" s="2">
        <v>1080401</v>
      </c>
      <c r="C4190" s="2" t="s">
        <v>233</v>
      </c>
      <c r="D4190" s="3">
        <v>3150</v>
      </c>
    </row>
    <row r="4191" spans="1:4">
      <c r="A4191" s="4" t="s">
        <v>386</v>
      </c>
      <c r="B4191" s="2">
        <v>1080411</v>
      </c>
      <c r="C4191" s="2" t="s">
        <v>128</v>
      </c>
      <c r="D4191" s="3">
        <v>3150</v>
      </c>
    </row>
    <row r="4192" spans="1:4">
      <c r="A4192" s="4" t="s">
        <v>386</v>
      </c>
      <c r="B4192" s="2">
        <v>1080501</v>
      </c>
      <c r="C4192" s="2" t="s">
        <v>130</v>
      </c>
      <c r="D4192" s="3">
        <v>3800</v>
      </c>
    </row>
    <row r="4193" spans="1:4">
      <c r="A4193" s="4" t="s">
        <v>386</v>
      </c>
      <c r="B4193" s="2">
        <v>1080602</v>
      </c>
      <c r="C4193" s="2" t="s">
        <v>234</v>
      </c>
      <c r="D4193" s="3">
        <v>38600</v>
      </c>
    </row>
    <row r="4194" spans="1:4">
      <c r="A4194" s="4" t="s">
        <v>386</v>
      </c>
      <c r="B4194" s="2">
        <v>1080604</v>
      </c>
      <c r="C4194" s="2" t="s">
        <v>235</v>
      </c>
      <c r="D4194" s="3">
        <v>0</v>
      </c>
    </row>
    <row r="4195" spans="1:4">
      <c r="A4195" s="4" t="s">
        <v>386</v>
      </c>
      <c r="B4195" s="2">
        <v>1080702</v>
      </c>
      <c r="C4195" s="2" t="s">
        <v>236</v>
      </c>
      <c r="D4195" s="3">
        <v>43500</v>
      </c>
    </row>
    <row r="4196" spans="1:4">
      <c r="A4196" s="4" t="s">
        <v>386</v>
      </c>
      <c r="B4196" s="2">
        <v>1080704</v>
      </c>
      <c r="C4196" s="2" t="s">
        <v>237</v>
      </c>
      <c r="D4196" s="3">
        <v>0</v>
      </c>
    </row>
    <row r="4197" spans="1:4">
      <c r="A4197" s="4" t="s">
        <v>386</v>
      </c>
      <c r="B4197" s="2">
        <v>1090104</v>
      </c>
      <c r="C4197" s="2" t="s">
        <v>136</v>
      </c>
      <c r="D4197" s="3">
        <v>40000</v>
      </c>
    </row>
    <row r="4198" spans="1:4">
      <c r="A4198" s="4" t="s">
        <v>386</v>
      </c>
      <c r="B4198" s="2">
        <v>1090112</v>
      </c>
      <c r="C4198" s="2" t="s">
        <v>138</v>
      </c>
      <c r="D4198" s="3">
        <v>35000</v>
      </c>
    </row>
    <row r="4199" spans="1:4">
      <c r="A4199" s="4" t="s">
        <v>386</v>
      </c>
      <c r="B4199" s="2">
        <v>1090201</v>
      </c>
      <c r="C4199" s="2" t="s">
        <v>140</v>
      </c>
      <c r="D4199" s="3">
        <v>15800</v>
      </c>
    </row>
    <row r="4200" spans="1:4">
      <c r="A4200" s="4" t="s">
        <v>386</v>
      </c>
      <c r="B4200" s="2">
        <v>1090202</v>
      </c>
      <c r="C4200" s="2" t="s">
        <v>142</v>
      </c>
      <c r="D4200" s="3">
        <v>98000</v>
      </c>
    </row>
    <row r="4201" spans="1:4">
      <c r="A4201" s="4" t="s">
        <v>386</v>
      </c>
      <c r="B4201" s="2">
        <v>1090203</v>
      </c>
      <c r="C4201" s="2" t="s">
        <v>144</v>
      </c>
      <c r="D4201" s="3">
        <v>23000</v>
      </c>
    </row>
    <row r="4202" spans="1:4">
      <c r="A4202" s="4" t="s">
        <v>386</v>
      </c>
      <c r="B4202" s="2">
        <v>1090211</v>
      </c>
      <c r="C4202" s="2" t="s">
        <v>146</v>
      </c>
      <c r="D4202" s="3">
        <v>64706</v>
      </c>
    </row>
    <row r="4203" spans="1:4">
      <c r="A4203" s="4" t="s">
        <v>386</v>
      </c>
      <c r="B4203" s="2">
        <v>1090301</v>
      </c>
      <c r="C4203" s="2" t="s">
        <v>238</v>
      </c>
      <c r="D4203" s="3">
        <v>32000</v>
      </c>
    </row>
    <row r="4204" spans="1:4">
      <c r="A4204" s="4" t="s">
        <v>386</v>
      </c>
      <c r="B4204" s="2">
        <v>1090311</v>
      </c>
      <c r="C4204" s="2" t="s">
        <v>150</v>
      </c>
      <c r="D4204" s="3">
        <v>37000</v>
      </c>
    </row>
    <row r="4205" spans="1:4">
      <c r="A4205" s="4" t="s">
        <v>386</v>
      </c>
      <c r="B4205" s="2">
        <v>1090321</v>
      </c>
      <c r="C4205" s="2" t="s">
        <v>152</v>
      </c>
      <c r="D4205" s="3">
        <v>66000</v>
      </c>
    </row>
    <row r="4206" spans="1:4">
      <c r="A4206" s="4" t="s">
        <v>386</v>
      </c>
      <c r="B4206" s="2">
        <v>1090401</v>
      </c>
      <c r="C4206" s="2" t="s">
        <v>154</v>
      </c>
      <c r="D4206" s="3">
        <v>9300</v>
      </c>
    </row>
    <row r="4207" spans="1:4">
      <c r="A4207" s="4" t="s">
        <v>386</v>
      </c>
      <c r="B4207" s="2">
        <v>1090411</v>
      </c>
      <c r="C4207" s="2" t="s">
        <v>156</v>
      </c>
      <c r="D4207" s="3">
        <v>45000</v>
      </c>
    </row>
    <row r="4208" spans="1:4">
      <c r="A4208" s="4" t="s">
        <v>386</v>
      </c>
      <c r="B4208" s="2">
        <v>1090421</v>
      </c>
      <c r="C4208" s="2" t="s">
        <v>158</v>
      </c>
      <c r="D4208" s="3">
        <v>36000</v>
      </c>
    </row>
    <row r="4209" spans="1:4">
      <c r="A4209" s="4" t="s">
        <v>386</v>
      </c>
      <c r="B4209" s="2">
        <v>1090551</v>
      </c>
      <c r="C4209" s="2" t="s">
        <v>239</v>
      </c>
      <c r="D4209" s="3">
        <v>4900</v>
      </c>
    </row>
    <row r="4210" spans="1:4">
      <c r="A4210" s="4" t="s">
        <v>386</v>
      </c>
      <c r="B4210" s="2">
        <v>1090602</v>
      </c>
      <c r="C4210" s="2" t="s">
        <v>162</v>
      </c>
      <c r="D4210" s="3">
        <v>5600</v>
      </c>
    </row>
    <row r="4211" spans="1:4">
      <c r="A4211" s="4" t="s">
        <v>386</v>
      </c>
      <c r="B4211" s="2">
        <v>1090611</v>
      </c>
      <c r="C4211" s="2" t="s">
        <v>164</v>
      </c>
      <c r="D4211" s="3">
        <v>4800</v>
      </c>
    </row>
    <row r="4212" spans="1:4">
      <c r="A4212" s="4" t="s">
        <v>386</v>
      </c>
      <c r="B4212" s="2">
        <v>1090701</v>
      </c>
      <c r="C4212" s="2" t="s">
        <v>166</v>
      </c>
      <c r="D4212" s="3">
        <v>21000</v>
      </c>
    </row>
    <row r="4213" spans="1:4">
      <c r="A4213" s="4" t="s">
        <v>386</v>
      </c>
      <c r="B4213" s="2">
        <v>1090901</v>
      </c>
      <c r="C4213" s="2" t="s">
        <v>168</v>
      </c>
      <c r="D4213" s="3">
        <v>4300</v>
      </c>
    </row>
    <row r="4214" spans="1:4">
      <c r="A4214" s="4" t="s">
        <v>386</v>
      </c>
      <c r="B4214" s="2">
        <v>1091001</v>
      </c>
      <c r="C4214" s="2" t="s">
        <v>170</v>
      </c>
      <c r="D4214" s="3">
        <v>7000</v>
      </c>
    </row>
    <row r="4215" spans="1:4">
      <c r="A4215" s="4" t="s">
        <v>386</v>
      </c>
      <c r="B4215" s="2">
        <v>1091002</v>
      </c>
      <c r="C4215" s="2" t="s">
        <v>172</v>
      </c>
      <c r="D4215" s="3">
        <v>4314</v>
      </c>
    </row>
    <row r="4216" spans="1:4">
      <c r="A4216" s="4" t="s">
        <v>386</v>
      </c>
      <c r="B4216" s="2">
        <v>1091003</v>
      </c>
      <c r="C4216" s="2" t="s">
        <v>174</v>
      </c>
      <c r="D4216" s="3">
        <v>12396</v>
      </c>
    </row>
    <row r="4217" spans="1:4">
      <c r="A4217" s="4" t="s">
        <v>386</v>
      </c>
      <c r="B4217" s="2">
        <v>1091004</v>
      </c>
      <c r="C4217" s="2" t="s">
        <v>240</v>
      </c>
      <c r="D4217" s="3">
        <v>0</v>
      </c>
    </row>
    <row r="4218" spans="1:4">
      <c r="A4218" s="4" t="s">
        <v>386</v>
      </c>
      <c r="B4218" s="2">
        <v>1091005</v>
      </c>
      <c r="C4218" s="2" t="s">
        <v>241</v>
      </c>
      <c r="D4218" s="3">
        <v>0</v>
      </c>
    </row>
    <row r="4219" spans="1:4">
      <c r="A4219" s="4" t="s">
        <v>386</v>
      </c>
      <c r="B4219" s="2">
        <v>1091006</v>
      </c>
      <c r="C4219" s="2" t="s">
        <v>242</v>
      </c>
      <c r="D4219" s="3">
        <v>0</v>
      </c>
    </row>
    <row r="4220" spans="1:4">
      <c r="A4220" s="4" t="s">
        <v>386</v>
      </c>
      <c r="B4220" s="2">
        <v>1091007</v>
      </c>
      <c r="C4220" s="2" t="s">
        <v>243</v>
      </c>
      <c r="D4220" s="3">
        <v>2640</v>
      </c>
    </row>
    <row r="4221" spans="1:4">
      <c r="A4221" s="4" t="s">
        <v>386</v>
      </c>
      <c r="B4221" s="2">
        <v>1091008</v>
      </c>
      <c r="C4221" s="2" t="s">
        <v>176</v>
      </c>
      <c r="D4221" s="3">
        <v>450000</v>
      </c>
    </row>
    <row r="4222" spans="1:4">
      <c r="A4222" s="4" t="s">
        <v>386</v>
      </c>
      <c r="B4222" s="2">
        <v>1091009</v>
      </c>
      <c r="C4222" s="2" t="s">
        <v>178</v>
      </c>
      <c r="D4222" s="3">
        <v>190000</v>
      </c>
    </row>
    <row r="4223" spans="1:4">
      <c r="A4223" s="4" t="s">
        <v>386</v>
      </c>
      <c r="B4223" s="2">
        <v>1091010</v>
      </c>
      <c r="C4223" s="2" t="s">
        <v>180</v>
      </c>
      <c r="D4223" s="3">
        <v>27000</v>
      </c>
    </row>
    <row r="4224" spans="1:4">
      <c r="A4224" s="4" t="s">
        <v>386</v>
      </c>
      <c r="B4224" s="2">
        <v>1091011</v>
      </c>
      <c r="C4224" s="2" t="s">
        <v>182</v>
      </c>
      <c r="D4224" s="3">
        <v>33000</v>
      </c>
    </row>
    <row r="4225" spans="1:4">
      <c r="A4225" s="4" t="s">
        <v>386</v>
      </c>
      <c r="B4225" s="2">
        <v>1091012</v>
      </c>
      <c r="C4225" s="2" t="s">
        <v>184</v>
      </c>
      <c r="D4225" s="3">
        <v>47000</v>
      </c>
    </row>
    <row r="4226" spans="1:4">
      <c r="A4226" s="4" t="s">
        <v>386</v>
      </c>
      <c r="B4226" s="2">
        <v>1091013</v>
      </c>
      <c r="C4226" s="2" t="s">
        <v>186</v>
      </c>
      <c r="D4226" s="3">
        <v>33000</v>
      </c>
    </row>
    <row r="4227" spans="1:4">
      <c r="A4227" s="4" t="s">
        <v>386</v>
      </c>
      <c r="B4227" s="2">
        <v>1091014</v>
      </c>
      <c r="C4227" s="2" t="s">
        <v>244</v>
      </c>
      <c r="D4227" s="3">
        <v>6961</v>
      </c>
    </row>
    <row r="4228" spans="1:4">
      <c r="A4228" s="4" t="s">
        <v>386</v>
      </c>
      <c r="B4228" s="2">
        <v>1091015</v>
      </c>
      <c r="C4228" s="2" t="s">
        <v>245</v>
      </c>
      <c r="D4228" s="3">
        <v>25490</v>
      </c>
    </row>
    <row r="4229" spans="1:4">
      <c r="A4229" s="4" t="s">
        <v>386</v>
      </c>
      <c r="B4229" s="2">
        <v>1091016</v>
      </c>
      <c r="C4229" s="2" t="s">
        <v>246</v>
      </c>
      <c r="D4229" s="3">
        <v>50187</v>
      </c>
    </row>
    <row r="4230" spans="1:4">
      <c r="A4230" s="4" t="s">
        <v>386</v>
      </c>
      <c r="B4230" s="2">
        <v>1091017</v>
      </c>
      <c r="C4230" s="2" t="s">
        <v>247</v>
      </c>
      <c r="D4230" s="3">
        <v>74833</v>
      </c>
    </row>
    <row r="4231" spans="1:4">
      <c r="A4231" s="4" t="s">
        <v>386</v>
      </c>
      <c r="B4231" s="2">
        <v>1091018</v>
      </c>
      <c r="C4231" s="2" t="s">
        <v>248</v>
      </c>
      <c r="D4231" s="3">
        <v>33031</v>
      </c>
    </row>
    <row r="4232" spans="1:4">
      <c r="A4232" s="4" t="s">
        <v>386</v>
      </c>
      <c r="B4232" s="2">
        <v>1091019</v>
      </c>
      <c r="C4232" s="2" t="s">
        <v>249</v>
      </c>
      <c r="D4232" s="3">
        <v>53387</v>
      </c>
    </row>
    <row r="4233" spans="1:4">
      <c r="A4233" s="4" t="s">
        <v>386</v>
      </c>
      <c r="B4233" s="2">
        <v>1091020</v>
      </c>
      <c r="C4233" s="2" t="s">
        <v>250</v>
      </c>
      <c r="D4233" s="3">
        <v>100500</v>
      </c>
    </row>
    <row r="4234" spans="1:4">
      <c r="A4234" s="4" t="s">
        <v>386</v>
      </c>
      <c r="B4234" s="2">
        <v>1091021</v>
      </c>
      <c r="C4234" s="2" t="s">
        <v>251</v>
      </c>
      <c r="D4234" s="3">
        <v>50600</v>
      </c>
    </row>
    <row r="4235" spans="1:4">
      <c r="A4235" s="4" t="s">
        <v>386</v>
      </c>
      <c r="B4235" s="2">
        <v>1091022</v>
      </c>
      <c r="C4235" s="2" t="s">
        <v>252</v>
      </c>
      <c r="D4235" s="3">
        <v>3235</v>
      </c>
    </row>
    <row r="4236" spans="1:4">
      <c r="A4236" s="4" t="s">
        <v>386</v>
      </c>
      <c r="B4236" s="2">
        <v>1091023</v>
      </c>
      <c r="C4236" s="2" t="s">
        <v>253</v>
      </c>
      <c r="D4236" s="3">
        <v>4412</v>
      </c>
    </row>
    <row r="4237" spans="1:4">
      <c r="A4237" s="4" t="s">
        <v>386</v>
      </c>
      <c r="B4237" s="2">
        <v>1091024</v>
      </c>
      <c r="C4237" s="2" t="s">
        <v>254</v>
      </c>
      <c r="D4237" s="3">
        <v>3922</v>
      </c>
    </row>
    <row r="4238" spans="1:4">
      <c r="A4238" s="4" t="s">
        <v>386</v>
      </c>
      <c r="B4238" s="2">
        <v>1091025</v>
      </c>
      <c r="C4238" s="2" t="s">
        <v>255</v>
      </c>
      <c r="D4238" s="3">
        <v>7843</v>
      </c>
    </row>
    <row r="4239" spans="1:4">
      <c r="A4239" s="4" t="s">
        <v>386</v>
      </c>
      <c r="B4239" s="2">
        <v>1091026</v>
      </c>
      <c r="C4239" s="2" t="s">
        <v>256</v>
      </c>
      <c r="D4239" s="3">
        <v>30686</v>
      </c>
    </row>
    <row r="4240" spans="1:4">
      <c r="A4240" s="4" t="s">
        <v>386</v>
      </c>
      <c r="B4240" s="2">
        <v>1600101</v>
      </c>
      <c r="C4240" s="2" t="s">
        <v>188</v>
      </c>
      <c r="D4240" s="3">
        <v>2892</v>
      </c>
    </row>
    <row r="4241" spans="1:4">
      <c r="A4241" s="4" t="s">
        <v>386</v>
      </c>
      <c r="B4241" s="2">
        <v>1600102</v>
      </c>
      <c r="C4241" s="2" t="s">
        <v>257</v>
      </c>
      <c r="D4241" s="3">
        <v>36275</v>
      </c>
    </row>
    <row r="4242" spans="1:4">
      <c r="A4242" s="4" t="s">
        <v>386</v>
      </c>
      <c r="B4242" s="2">
        <v>1600103</v>
      </c>
      <c r="C4242" s="2" t="s">
        <v>258</v>
      </c>
      <c r="D4242" s="3">
        <v>19800</v>
      </c>
    </row>
    <row r="4243" spans="1:4">
      <c r="A4243" s="4" t="s">
        <v>386</v>
      </c>
      <c r="B4243" s="2">
        <v>1600104</v>
      </c>
      <c r="C4243" s="2" t="s">
        <v>259</v>
      </c>
      <c r="D4243" s="3">
        <v>75683</v>
      </c>
    </row>
    <row r="4244" spans="1:4">
      <c r="A4244" s="4" t="s">
        <v>386</v>
      </c>
      <c r="B4244" s="2">
        <v>1600105</v>
      </c>
      <c r="C4244" s="2" t="s">
        <v>260</v>
      </c>
      <c r="D4244" s="3">
        <v>83950</v>
      </c>
    </row>
    <row r="4245" spans="1:4">
      <c r="A4245" s="4" t="s">
        <v>386</v>
      </c>
      <c r="B4245" s="2">
        <v>1600106</v>
      </c>
      <c r="C4245" s="2" t="s">
        <v>261</v>
      </c>
      <c r="D4245" s="3">
        <v>108071</v>
      </c>
    </row>
    <row r="4246" spans="1:4">
      <c r="A4246" s="4" t="s">
        <v>386</v>
      </c>
      <c r="B4246" s="2">
        <v>1600107</v>
      </c>
      <c r="C4246" s="2" t="s">
        <v>262</v>
      </c>
      <c r="D4246" s="3">
        <v>86601</v>
      </c>
    </row>
    <row r="4247" spans="1:4">
      <c r="A4247" s="4" t="s">
        <v>386</v>
      </c>
      <c r="B4247" s="2">
        <v>1600108</v>
      </c>
      <c r="C4247" s="2" t="s">
        <v>263</v>
      </c>
      <c r="D4247" s="3">
        <v>73810</v>
      </c>
    </row>
    <row r="4248" spans="1:4">
      <c r="A4248" s="4" t="s">
        <v>386</v>
      </c>
      <c r="B4248" s="2">
        <v>1600109</v>
      </c>
      <c r="C4248" s="2" t="s">
        <v>264</v>
      </c>
      <c r="D4248" s="3">
        <v>5882</v>
      </c>
    </row>
    <row r="4249" spans="1:4">
      <c r="A4249" s="4" t="s">
        <v>386</v>
      </c>
      <c r="B4249" s="2">
        <v>1600110</v>
      </c>
      <c r="C4249" s="2" t="s">
        <v>265</v>
      </c>
      <c r="D4249" s="3">
        <v>7917</v>
      </c>
    </row>
    <row r="4250" spans="1:4">
      <c r="A4250" s="4" t="s">
        <v>386</v>
      </c>
      <c r="B4250" s="2">
        <v>1600111</v>
      </c>
      <c r="C4250" s="2" t="s">
        <v>266</v>
      </c>
      <c r="D4250" s="3">
        <v>4360</v>
      </c>
    </row>
    <row r="4251" spans="1:4">
      <c r="A4251" s="4" t="s">
        <v>386</v>
      </c>
      <c r="B4251" s="2">
        <v>1600112</v>
      </c>
      <c r="C4251" s="2" t="s">
        <v>190</v>
      </c>
      <c r="D4251" s="3">
        <v>5300</v>
      </c>
    </row>
    <row r="4252" spans="1:4">
      <c r="A4252" s="4" t="s">
        <v>386</v>
      </c>
      <c r="B4252" s="2">
        <v>1600113</v>
      </c>
      <c r="C4252" s="2" t="s">
        <v>267</v>
      </c>
      <c r="D4252" s="3">
        <v>0</v>
      </c>
    </row>
    <row r="4253" spans="1:4">
      <c r="A4253" s="4" t="s">
        <v>386</v>
      </c>
      <c r="B4253" s="2">
        <v>1600114</v>
      </c>
      <c r="C4253" s="2" t="s">
        <v>268</v>
      </c>
      <c r="D4253" s="3">
        <v>13333</v>
      </c>
    </row>
    <row r="4254" spans="1:4">
      <c r="A4254" s="4" t="s">
        <v>386</v>
      </c>
      <c r="B4254" s="2">
        <v>1700001</v>
      </c>
      <c r="C4254" s="2" t="s">
        <v>269</v>
      </c>
      <c r="D4254" s="3">
        <v>4505</v>
      </c>
    </row>
    <row r="4255" spans="1:4">
      <c r="A4255" s="4" t="s">
        <v>386</v>
      </c>
      <c r="B4255" s="2">
        <v>1700002</v>
      </c>
      <c r="C4255" s="2" t="s">
        <v>270</v>
      </c>
      <c r="D4255" s="3">
        <v>3726</v>
      </c>
    </row>
    <row r="4256" spans="1:4">
      <c r="A4256" s="4" t="s">
        <v>386</v>
      </c>
      <c r="B4256" s="2">
        <v>1700003</v>
      </c>
      <c r="C4256" s="2" t="s">
        <v>271</v>
      </c>
      <c r="D4256" s="3">
        <v>4902</v>
      </c>
    </row>
    <row r="4257" spans="1:4">
      <c r="A4257" s="4" t="s">
        <v>386</v>
      </c>
      <c r="B4257" s="2">
        <v>1700004</v>
      </c>
      <c r="C4257" s="2" t="s">
        <v>272</v>
      </c>
      <c r="D4257" s="3">
        <v>15784</v>
      </c>
    </row>
    <row r="4258" spans="1:4">
      <c r="A4258" s="4" t="s">
        <v>386</v>
      </c>
      <c r="B4258" s="2">
        <v>1700005</v>
      </c>
      <c r="C4258" s="2" t="s">
        <v>192</v>
      </c>
      <c r="D4258" s="3">
        <v>1765</v>
      </c>
    </row>
    <row r="4259" spans="1:4">
      <c r="A4259" s="4" t="s">
        <v>386</v>
      </c>
      <c r="B4259" s="2">
        <v>1700006</v>
      </c>
      <c r="C4259" s="2" t="s">
        <v>273</v>
      </c>
      <c r="D4259" s="3">
        <v>7176</v>
      </c>
    </row>
    <row r="4260" spans="1:4">
      <c r="A4260" s="4" t="s">
        <v>386</v>
      </c>
      <c r="B4260" s="2">
        <v>1700007</v>
      </c>
      <c r="C4260" s="2" t="s">
        <v>274</v>
      </c>
      <c r="D4260" s="3">
        <v>0</v>
      </c>
    </row>
    <row r="4261" spans="1:4">
      <c r="A4261" s="4" t="s">
        <v>386</v>
      </c>
      <c r="B4261" s="2">
        <v>1700008</v>
      </c>
      <c r="C4261" s="2" t="s">
        <v>275</v>
      </c>
      <c r="D4261" s="3">
        <v>0</v>
      </c>
    </row>
    <row r="4262" spans="1:4">
      <c r="A4262" s="4" t="s">
        <v>386</v>
      </c>
      <c r="B4262" s="2">
        <v>1700009</v>
      </c>
      <c r="C4262" s="2" t="s">
        <v>276</v>
      </c>
      <c r="D4262" s="3">
        <v>0</v>
      </c>
    </row>
    <row r="4263" spans="1:4">
      <c r="A4263" s="4" t="s">
        <v>386</v>
      </c>
      <c r="B4263" s="2">
        <v>1700010</v>
      </c>
      <c r="C4263" s="2" t="s">
        <v>277</v>
      </c>
      <c r="D4263" s="3">
        <v>3990</v>
      </c>
    </row>
    <row r="4264" spans="1:4">
      <c r="A4264" s="4" t="s">
        <v>386</v>
      </c>
      <c r="B4264" s="2">
        <v>1700011</v>
      </c>
      <c r="C4264" s="2" t="s">
        <v>278</v>
      </c>
      <c r="D4264" s="3">
        <v>13235</v>
      </c>
    </row>
    <row r="4265" spans="1:4">
      <c r="A4265" s="4" t="s">
        <v>386</v>
      </c>
      <c r="B4265" s="2">
        <v>1700012</v>
      </c>
      <c r="C4265" s="2" t="s">
        <v>279</v>
      </c>
      <c r="D4265" s="3">
        <v>15980</v>
      </c>
    </row>
    <row r="4266" spans="1:4">
      <c r="A4266" s="4" t="s">
        <v>386</v>
      </c>
      <c r="B4266" s="2">
        <v>1700013</v>
      </c>
      <c r="C4266" s="2" t="s">
        <v>280</v>
      </c>
      <c r="D4266" s="3">
        <v>18137</v>
      </c>
    </row>
    <row r="4267" spans="1:4">
      <c r="A4267" s="4" t="s">
        <v>386</v>
      </c>
      <c r="B4267" s="2">
        <v>1700014</v>
      </c>
      <c r="C4267" s="2" t="s">
        <v>194</v>
      </c>
      <c r="D4267" s="3">
        <v>2300</v>
      </c>
    </row>
    <row r="4268" spans="1:4">
      <c r="A4268" s="4" t="s">
        <v>386</v>
      </c>
      <c r="B4268" s="2">
        <v>1700015</v>
      </c>
      <c r="C4268" s="2" t="s">
        <v>281</v>
      </c>
      <c r="D4268" s="3">
        <v>5023</v>
      </c>
    </row>
    <row r="4269" spans="1:4">
      <c r="A4269" s="4" t="s">
        <v>386</v>
      </c>
      <c r="B4269" s="2">
        <v>1700016</v>
      </c>
      <c r="C4269" s="2" t="s">
        <v>282</v>
      </c>
      <c r="D4269" s="3">
        <v>3092</v>
      </c>
    </row>
    <row r="4270" spans="1:4">
      <c r="A4270" s="4" t="s">
        <v>386</v>
      </c>
      <c r="B4270" s="2">
        <v>1700017</v>
      </c>
      <c r="C4270" s="2" t="s">
        <v>283</v>
      </c>
      <c r="D4270" s="3">
        <v>12608</v>
      </c>
    </row>
    <row r="4271" spans="1:4">
      <c r="A4271" s="4" t="s">
        <v>386</v>
      </c>
      <c r="B4271" s="2">
        <v>1700018</v>
      </c>
      <c r="C4271" s="2" t="s">
        <v>284</v>
      </c>
      <c r="D4271" s="3">
        <v>4422</v>
      </c>
    </row>
    <row r="4272" spans="1:4">
      <c r="A4272" s="4" t="s">
        <v>386</v>
      </c>
      <c r="B4272" s="2">
        <v>1700019</v>
      </c>
      <c r="C4272" s="2" t="s">
        <v>285</v>
      </c>
      <c r="D4272" s="3">
        <v>0</v>
      </c>
    </row>
    <row r="4273" spans="1:4">
      <c r="A4273" s="4" t="s">
        <v>386</v>
      </c>
      <c r="B4273" s="2">
        <v>1700020</v>
      </c>
      <c r="C4273" s="2" t="s">
        <v>286</v>
      </c>
      <c r="D4273" s="3">
        <v>49903</v>
      </c>
    </row>
    <row r="4274" spans="1:4">
      <c r="A4274" s="4" t="s">
        <v>386</v>
      </c>
      <c r="B4274" s="2">
        <v>1700021</v>
      </c>
      <c r="C4274" s="2" t="s">
        <v>287</v>
      </c>
      <c r="D4274" s="3">
        <v>86028</v>
      </c>
    </row>
    <row r="4275" spans="1:4">
      <c r="A4275" s="4" t="s">
        <v>386</v>
      </c>
      <c r="B4275" s="2">
        <v>1700022</v>
      </c>
      <c r="C4275" s="2" t="s">
        <v>288</v>
      </c>
      <c r="D4275" s="3">
        <v>35412</v>
      </c>
    </row>
    <row r="4276" spans="1:4">
      <c r="A4276" s="4" t="s">
        <v>386</v>
      </c>
      <c r="B4276" s="2">
        <v>1700023</v>
      </c>
      <c r="C4276" s="2" t="s">
        <v>289</v>
      </c>
      <c r="D4276" s="3">
        <v>8059</v>
      </c>
    </row>
    <row r="4277" spans="1:4">
      <c r="A4277" s="4" t="s">
        <v>386</v>
      </c>
      <c r="B4277" s="2">
        <v>1700024</v>
      </c>
      <c r="C4277" s="2" t="s">
        <v>290</v>
      </c>
      <c r="D4277" s="3">
        <v>3080</v>
      </c>
    </row>
    <row r="4278" spans="1:4">
      <c r="A4278" s="4" t="s">
        <v>386</v>
      </c>
      <c r="B4278" s="2">
        <v>1700025</v>
      </c>
      <c r="C4278" s="2" t="s">
        <v>291</v>
      </c>
      <c r="D4278" s="3">
        <v>1961</v>
      </c>
    </row>
    <row r="4279" spans="1:4">
      <c r="A4279" s="4" t="s">
        <v>386</v>
      </c>
      <c r="B4279" s="2">
        <v>1700026</v>
      </c>
      <c r="C4279" s="2" t="s">
        <v>292</v>
      </c>
      <c r="D4279" s="3">
        <v>3922</v>
      </c>
    </row>
    <row r="4280" spans="1:4">
      <c r="A4280" s="4" t="s">
        <v>386</v>
      </c>
      <c r="B4280" s="2">
        <v>1700027</v>
      </c>
      <c r="C4280" s="2" t="s">
        <v>293</v>
      </c>
      <c r="D4280" s="3">
        <v>4412</v>
      </c>
    </row>
    <row r="4281" spans="1:4">
      <c r="A4281" s="4" t="s">
        <v>386</v>
      </c>
      <c r="B4281" s="2">
        <v>1700028</v>
      </c>
      <c r="C4281" s="2" t="s">
        <v>294</v>
      </c>
      <c r="D4281" s="3">
        <v>9500</v>
      </c>
    </row>
    <row r="4282" spans="1:4">
      <c r="A4282" s="4" t="s">
        <v>386</v>
      </c>
      <c r="B4282" s="2">
        <v>1700029</v>
      </c>
      <c r="C4282" s="2" t="s">
        <v>295</v>
      </c>
      <c r="D4282" s="3">
        <v>10670</v>
      </c>
    </row>
    <row r="4283" spans="1:4">
      <c r="A4283" s="4" t="s">
        <v>386</v>
      </c>
      <c r="B4283" s="2">
        <v>1700030</v>
      </c>
      <c r="C4283" s="2" t="s">
        <v>296</v>
      </c>
      <c r="D4283" s="3">
        <v>12720</v>
      </c>
    </row>
    <row r="4284" spans="1:4">
      <c r="A4284" s="4" t="s">
        <v>386</v>
      </c>
      <c r="B4284" s="2">
        <v>1700031</v>
      </c>
      <c r="C4284" s="2" t="s">
        <v>196</v>
      </c>
      <c r="D4284" s="3">
        <v>2069</v>
      </c>
    </row>
    <row r="4285" spans="1:4">
      <c r="A4285" s="4" t="s">
        <v>386</v>
      </c>
      <c r="B4285" s="2">
        <v>1700032</v>
      </c>
      <c r="C4285" s="2" t="s">
        <v>297</v>
      </c>
      <c r="D4285" s="3">
        <v>0</v>
      </c>
    </row>
    <row r="4286" spans="1:4">
      <c r="A4286" s="4" t="s">
        <v>386</v>
      </c>
      <c r="B4286" s="2">
        <v>1700033</v>
      </c>
      <c r="C4286" s="2" t="s">
        <v>298</v>
      </c>
      <c r="D4286" s="3">
        <v>0</v>
      </c>
    </row>
    <row r="4287" spans="1:4">
      <c r="A4287" s="4" t="s">
        <v>386</v>
      </c>
      <c r="B4287" s="2">
        <v>1700034</v>
      </c>
      <c r="C4287" s="2" t="s">
        <v>299</v>
      </c>
      <c r="D4287" s="3">
        <v>18700</v>
      </c>
    </row>
    <row r="4288" spans="1:4">
      <c r="A4288" s="4" t="s">
        <v>386</v>
      </c>
      <c r="B4288" s="2">
        <v>1700035</v>
      </c>
      <c r="C4288" s="2" t="s">
        <v>300</v>
      </c>
      <c r="D4288" s="3">
        <v>34000</v>
      </c>
    </row>
    <row r="4289" spans="1:4">
      <c r="A4289" s="4" t="s">
        <v>386</v>
      </c>
      <c r="B4289" s="2">
        <v>1700036</v>
      </c>
      <c r="C4289" s="2" t="s">
        <v>301</v>
      </c>
      <c r="D4289" s="3">
        <v>5200</v>
      </c>
    </row>
    <row r="4290" spans="1:4">
      <c r="A4290" s="4" t="s">
        <v>386</v>
      </c>
      <c r="B4290" s="2">
        <v>1700037</v>
      </c>
      <c r="C4290" s="2" t="s">
        <v>302</v>
      </c>
      <c r="D4290" s="3">
        <v>7733</v>
      </c>
    </row>
    <row r="4291" spans="1:4">
      <c r="A4291" s="4" t="s">
        <v>386</v>
      </c>
      <c r="B4291" s="2">
        <v>1700038</v>
      </c>
      <c r="C4291" s="2" t="s">
        <v>303</v>
      </c>
      <c r="D4291" s="3">
        <v>1804</v>
      </c>
    </row>
    <row r="4292" spans="1:4">
      <c r="A4292" s="4" t="s">
        <v>386</v>
      </c>
      <c r="B4292" s="2">
        <v>1700039</v>
      </c>
      <c r="C4292" s="2" t="s">
        <v>304</v>
      </c>
      <c r="D4292" s="3">
        <v>4060</v>
      </c>
    </row>
    <row r="4293" spans="1:4">
      <c r="A4293" s="4" t="s">
        <v>386</v>
      </c>
      <c r="B4293" s="2">
        <v>1700040</v>
      </c>
      <c r="C4293" s="2" t="s">
        <v>305</v>
      </c>
      <c r="D4293" s="3">
        <v>1967</v>
      </c>
    </row>
    <row r="4294" spans="1:4">
      <c r="A4294" s="4" t="s">
        <v>386</v>
      </c>
      <c r="B4294" s="2">
        <v>1700041</v>
      </c>
      <c r="C4294" s="2" t="s">
        <v>306</v>
      </c>
      <c r="D4294" s="3">
        <v>3000</v>
      </c>
    </row>
    <row r="4295" spans="1:4">
      <c r="A4295" s="4" t="s">
        <v>386</v>
      </c>
      <c r="B4295" s="2">
        <v>1700042</v>
      </c>
      <c r="C4295" s="2" t="s">
        <v>307</v>
      </c>
      <c r="D4295" s="3">
        <v>3283</v>
      </c>
    </row>
    <row r="4296" spans="1:4">
      <c r="A4296" s="4" t="s">
        <v>386</v>
      </c>
      <c r="B4296" s="2">
        <v>1700043</v>
      </c>
      <c r="C4296" s="2" t="s">
        <v>308</v>
      </c>
      <c r="D4296" s="3">
        <v>6843</v>
      </c>
    </row>
    <row r="4297" spans="1:4">
      <c r="A4297" s="4" t="s">
        <v>386</v>
      </c>
      <c r="B4297" s="2">
        <v>1700044</v>
      </c>
      <c r="C4297" s="2" t="s">
        <v>309</v>
      </c>
      <c r="D4297" s="3">
        <v>6000</v>
      </c>
    </row>
    <row r="4298" spans="1:4">
      <c r="A4298" s="4" t="s">
        <v>386</v>
      </c>
      <c r="B4298" s="2">
        <v>1700045</v>
      </c>
      <c r="C4298" s="2" t="s">
        <v>310</v>
      </c>
      <c r="D4298" s="3">
        <v>4284</v>
      </c>
    </row>
    <row r="4299" spans="1:4">
      <c r="A4299" s="4" t="s">
        <v>386</v>
      </c>
      <c r="B4299" s="2">
        <v>1700046</v>
      </c>
      <c r="C4299" s="2" t="s">
        <v>311</v>
      </c>
      <c r="D4299" s="3">
        <v>6863</v>
      </c>
    </row>
    <row r="4300" spans="1:4">
      <c r="A4300" s="4" t="s">
        <v>386</v>
      </c>
      <c r="B4300" s="2">
        <v>1700047</v>
      </c>
      <c r="C4300" s="2" t="s">
        <v>312</v>
      </c>
      <c r="D4300" s="3">
        <v>22350</v>
      </c>
    </row>
    <row r="4301" spans="1:4">
      <c r="A4301" s="4" t="s">
        <v>386</v>
      </c>
      <c r="B4301" s="2">
        <v>1700048</v>
      </c>
      <c r="C4301" s="2" t="s">
        <v>313</v>
      </c>
      <c r="D4301" s="3">
        <v>13330</v>
      </c>
    </row>
    <row r="4302" spans="1:4">
      <c r="A4302" s="4" t="s">
        <v>386</v>
      </c>
      <c r="B4302" s="2">
        <v>1700049</v>
      </c>
      <c r="C4302" s="2" t="s">
        <v>314</v>
      </c>
      <c r="D4302" s="3">
        <v>4062</v>
      </c>
    </row>
    <row r="4303" spans="1:4">
      <c r="A4303" s="4" t="s">
        <v>386</v>
      </c>
      <c r="B4303" s="2">
        <v>1700050</v>
      </c>
      <c r="C4303" s="2" t="s">
        <v>315</v>
      </c>
      <c r="D4303" s="3">
        <v>39000</v>
      </c>
    </row>
    <row r="4304" spans="1:4">
      <c r="A4304" s="4" t="s">
        <v>386</v>
      </c>
      <c r="B4304" s="2">
        <v>1700051</v>
      </c>
      <c r="C4304" s="2" t="s">
        <v>316</v>
      </c>
      <c r="D4304" s="3">
        <v>11500</v>
      </c>
    </row>
    <row r="4305" spans="1:4">
      <c r="A4305" s="4" t="s">
        <v>386</v>
      </c>
      <c r="B4305" s="2">
        <v>1700052</v>
      </c>
      <c r="C4305" s="2" t="s">
        <v>317</v>
      </c>
      <c r="D4305" s="3">
        <v>3444</v>
      </c>
    </row>
    <row r="4306" spans="1:4">
      <c r="A4306" s="4" t="s">
        <v>386</v>
      </c>
      <c r="B4306" s="2">
        <v>1700053</v>
      </c>
      <c r="C4306" s="2" t="s">
        <v>318</v>
      </c>
      <c r="D4306" s="3">
        <v>15530</v>
      </c>
    </row>
    <row r="4307" spans="1:4">
      <c r="A4307" s="4" t="s">
        <v>386</v>
      </c>
      <c r="B4307" s="2">
        <v>1700054</v>
      </c>
      <c r="C4307" s="2" t="s">
        <v>319</v>
      </c>
      <c r="D4307" s="3">
        <v>11670</v>
      </c>
    </row>
    <row r="4308" spans="1:4">
      <c r="A4308" s="4" t="s">
        <v>386</v>
      </c>
      <c r="B4308" s="2">
        <v>1700055</v>
      </c>
      <c r="C4308" s="2" t="s">
        <v>320</v>
      </c>
      <c r="D4308" s="3">
        <v>11940</v>
      </c>
    </row>
    <row r="4309" spans="1:4">
      <c r="A4309" s="4" t="s">
        <v>386</v>
      </c>
      <c r="B4309" s="2">
        <v>1700056</v>
      </c>
      <c r="C4309" s="2" t="s">
        <v>321</v>
      </c>
      <c r="D4309" s="3">
        <v>6226</v>
      </c>
    </row>
    <row r="4310" spans="1:4">
      <c r="A4310" s="4" t="s">
        <v>386</v>
      </c>
      <c r="B4310" s="2">
        <v>1700057</v>
      </c>
      <c r="C4310" s="2" t="s">
        <v>322</v>
      </c>
      <c r="D4310" s="3">
        <v>2098</v>
      </c>
    </row>
    <row r="4311" spans="1:4">
      <c r="A4311" s="4" t="s">
        <v>386</v>
      </c>
      <c r="B4311" s="2">
        <v>1700058</v>
      </c>
      <c r="C4311" s="2" t="s">
        <v>323</v>
      </c>
      <c r="D4311" s="3">
        <v>5800</v>
      </c>
    </row>
    <row r="4312" spans="1:4">
      <c r="A4312" s="4" t="s">
        <v>386</v>
      </c>
      <c r="B4312" s="2">
        <v>1700059</v>
      </c>
      <c r="C4312" s="2" t="s">
        <v>324</v>
      </c>
      <c r="D4312" s="3">
        <v>27667</v>
      </c>
    </row>
    <row r="4313" spans="1:4">
      <c r="A4313" s="4" t="s">
        <v>386</v>
      </c>
      <c r="B4313" s="2">
        <v>1700060</v>
      </c>
      <c r="C4313" s="2" t="s">
        <v>325</v>
      </c>
      <c r="D4313" s="3">
        <v>3108</v>
      </c>
    </row>
    <row r="4314" spans="1:4">
      <c r="A4314" s="4" t="s">
        <v>386</v>
      </c>
      <c r="B4314" s="2">
        <v>1700061</v>
      </c>
      <c r="C4314" s="2" t="s">
        <v>326</v>
      </c>
      <c r="D4314" s="3">
        <v>8920</v>
      </c>
    </row>
    <row r="4315" spans="1:4">
      <c r="A4315" s="4" t="s">
        <v>386</v>
      </c>
      <c r="B4315" s="2">
        <v>1700062</v>
      </c>
      <c r="C4315" s="2" t="s">
        <v>327</v>
      </c>
      <c r="D4315" s="3">
        <v>10520</v>
      </c>
    </row>
    <row r="4316" spans="1:4">
      <c r="A4316" s="4" t="s">
        <v>386</v>
      </c>
      <c r="B4316" s="2">
        <v>1700063</v>
      </c>
      <c r="C4316" s="2" t="s">
        <v>328</v>
      </c>
      <c r="D4316" s="3">
        <v>10550</v>
      </c>
    </row>
    <row r="4317" spans="1:4">
      <c r="A4317" s="4" t="s">
        <v>386</v>
      </c>
      <c r="B4317" s="2">
        <v>1700064</v>
      </c>
      <c r="C4317" s="2" t="s">
        <v>329</v>
      </c>
      <c r="D4317" s="3">
        <v>11060</v>
      </c>
    </row>
    <row r="4318" spans="1:4">
      <c r="A4318" s="4" t="s">
        <v>386</v>
      </c>
      <c r="B4318" s="2">
        <v>1700065</v>
      </c>
      <c r="C4318" s="2" t="s">
        <v>330</v>
      </c>
      <c r="D4318" s="3">
        <v>12760</v>
      </c>
    </row>
    <row r="4319" spans="1:4">
      <c r="A4319" s="4" t="s">
        <v>386</v>
      </c>
      <c r="B4319" s="2">
        <v>1700066</v>
      </c>
      <c r="C4319" s="2" t="s">
        <v>331</v>
      </c>
      <c r="D4319" s="3">
        <v>13200</v>
      </c>
    </row>
    <row r="4320" spans="1:4">
      <c r="A4320" s="4" t="s">
        <v>386</v>
      </c>
      <c r="B4320" s="2">
        <v>1700067</v>
      </c>
      <c r="C4320" s="2" t="s">
        <v>332</v>
      </c>
      <c r="D4320" s="3">
        <v>10720</v>
      </c>
    </row>
    <row r="4321" spans="1:4">
      <c r="A4321" s="4" t="s">
        <v>386</v>
      </c>
      <c r="B4321" s="2">
        <v>1700068</v>
      </c>
      <c r="C4321" s="2" t="s">
        <v>333</v>
      </c>
      <c r="D4321" s="3">
        <v>12720</v>
      </c>
    </row>
    <row r="4322" spans="1:4">
      <c r="A4322" s="4" t="s">
        <v>386</v>
      </c>
      <c r="B4322" s="2">
        <v>1700069</v>
      </c>
      <c r="C4322" s="2" t="s">
        <v>334</v>
      </c>
      <c r="D4322" s="3">
        <v>14000</v>
      </c>
    </row>
    <row r="4323" spans="1:4">
      <c r="A4323" s="4" t="s">
        <v>386</v>
      </c>
      <c r="B4323" s="2">
        <v>1700070</v>
      </c>
      <c r="C4323" s="2" t="s">
        <v>335</v>
      </c>
      <c r="D4323" s="3">
        <v>1618</v>
      </c>
    </row>
    <row r="4324" spans="1:4">
      <c r="A4324" s="4" t="s">
        <v>386</v>
      </c>
      <c r="B4324" s="2">
        <v>1700071</v>
      </c>
      <c r="C4324" s="2" t="s">
        <v>336</v>
      </c>
      <c r="D4324" s="3">
        <v>12190</v>
      </c>
    </row>
    <row r="4325" spans="1:4">
      <c r="A4325" s="4" t="s">
        <v>386</v>
      </c>
      <c r="B4325" s="2">
        <v>1700072</v>
      </c>
      <c r="C4325" s="2" t="s">
        <v>337</v>
      </c>
      <c r="D4325" s="3">
        <v>10180</v>
      </c>
    </row>
    <row r="4326" spans="1:4">
      <c r="A4326" s="4" t="s">
        <v>386</v>
      </c>
      <c r="B4326" s="2">
        <v>1700073</v>
      </c>
      <c r="C4326" s="2" t="s">
        <v>338</v>
      </c>
      <c r="D4326" s="3">
        <v>9020</v>
      </c>
    </row>
    <row r="4327" spans="1:4">
      <c r="A4327" s="4" t="s">
        <v>386</v>
      </c>
      <c r="B4327" s="2">
        <v>1700076</v>
      </c>
      <c r="C4327" s="2" t="s">
        <v>339</v>
      </c>
      <c r="D4327" s="3">
        <v>2451</v>
      </c>
    </row>
    <row r="4328" spans="1:4">
      <c r="A4328" s="4" t="s">
        <v>386</v>
      </c>
      <c r="B4328" s="2">
        <v>1700077</v>
      </c>
      <c r="C4328" s="2" t="s">
        <v>340</v>
      </c>
      <c r="D4328" s="3">
        <v>2353</v>
      </c>
    </row>
    <row r="4329" spans="1:4">
      <c r="A4329" s="4" t="s">
        <v>386</v>
      </c>
      <c r="B4329" s="2">
        <v>1700078</v>
      </c>
      <c r="C4329" s="2" t="s">
        <v>341</v>
      </c>
      <c r="D4329" s="3">
        <v>4706</v>
      </c>
    </row>
    <row r="4330" spans="1:4">
      <c r="A4330" s="4" t="s">
        <v>386</v>
      </c>
      <c r="B4330" s="2">
        <v>1700080</v>
      </c>
      <c r="C4330" s="2" t="s">
        <v>342</v>
      </c>
      <c r="D4330" s="3">
        <v>3922</v>
      </c>
    </row>
    <row r="4331" spans="1:4">
      <c r="A4331" s="4" t="s">
        <v>386</v>
      </c>
      <c r="B4331" s="2">
        <v>1700083</v>
      </c>
      <c r="C4331" s="2" t="s">
        <v>343</v>
      </c>
      <c r="D4331" s="3">
        <v>8333</v>
      </c>
    </row>
    <row r="4332" spans="1:4">
      <c r="A4332" s="4" t="s">
        <v>386</v>
      </c>
      <c r="B4332" s="2">
        <v>1700084</v>
      </c>
      <c r="C4332" s="2" t="s">
        <v>344</v>
      </c>
      <c r="D4332" s="3">
        <v>11153</v>
      </c>
    </row>
    <row r="4333" spans="1:4">
      <c r="A4333" s="4" t="s">
        <v>386</v>
      </c>
      <c r="B4333" s="2">
        <v>1700085</v>
      </c>
      <c r="C4333" s="2" t="s">
        <v>345</v>
      </c>
      <c r="D4333" s="3">
        <v>8600</v>
      </c>
    </row>
    <row r="4334" spans="1:4">
      <c r="A4334" s="4" t="s">
        <v>386</v>
      </c>
      <c r="B4334" s="2">
        <v>1700086</v>
      </c>
      <c r="C4334" s="2" t="s">
        <v>346</v>
      </c>
      <c r="D4334" s="3">
        <v>2637</v>
      </c>
    </row>
    <row r="4335" spans="1:4">
      <c r="A4335" s="4" t="s">
        <v>386</v>
      </c>
      <c r="B4335" s="2">
        <v>1700087</v>
      </c>
      <c r="C4335" s="2" t="s">
        <v>347</v>
      </c>
      <c r="D4335" s="3">
        <v>4890</v>
      </c>
    </row>
    <row r="4336" spans="1:4">
      <c r="A4336" s="4" t="s">
        <v>386</v>
      </c>
      <c r="B4336" s="2">
        <v>1700088</v>
      </c>
      <c r="C4336" s="2" t="s">
        <v>348</v>
      </c>
      <c r="D4336" s="3">
        <v>15500</v>
      </c>
    </row>
    <row r="4337" spans="1:4">
      <c r="A4337" s="4" t="s">
        <v>386</v>
      </c>
      <c r="B4337" s="2">
        <v>1700089</v>
      </c>
      <c r="C4337" s="2" t="s">
        <v>349</v>
      </c>
      <c r="D4337" s="3">
        <v>18500</v>
      </c>
    </row>
    <row r="4338" spans="1:4">
      <c r="A4338" s="4" t="s">
        <v>386</v>
      </c>
      <c r="B4338" s="2">
        <v>1700090</v>
      </c>
      <c r="C4338" s="2" t="s">
        <v>350</v>
      </c>
      <c r="D4338" s="3">
        <v>27451</v>
      </c>
    </row>
    <row r="4339" spans="1:4">
      <c r="A4339" s="4" t="s">
        <v>386</v>
      </c>
      <c r="B4339" s="2">
        <v>1700091</v>
      </c>
      <c r="C4339" s="2" t="s">
        <v>351</v>
      </c>
      <c r="D4339" s="3">
        <v>18353</v>
      </c>
    </row>
    <row r="4340" spans="1:4">
      <c r="A4340" s="4" t="s">
        <v>386</v>
      </c>
      <c r="B4340" s="2">
        <v>1700092</v>
      </c>
      <c r="C4340" s="2" t="s">
        <v>352</v>
      </c>
      <c r="D4340" s="3">
        <v>1598</v>
      </c>
    </row>
    <row r="4341" spans="1:4">
      <c r="A4341" s="4" t="s">
        <v>386</v>
      </c>
      <c r="B4341" s="2">
        <v>1700093</v>
      </c>
      <c r="C4341" s="2" t="s">
        <v>353</v>
      </c>
      <c r="D4341" s="3">
        <v>11180</v>
      </c>
    </row>
    <row r="4342" spans="1:4">
      <c r="A4342" s="4" t="s">
        <v>386</v>
      </c>
      <c r="B4342" s="2">
        <v>1700094</v>
      </c>
      <c r="C4342" s="2" t="s">
        <v>354</v>
      </c>
      <c r="D4342" s="3">
        <v>14020</v>
      </c>
    </row>
    <row r="4343" spans="1:4">
      <c r="A4343" s="4" t="s">
        <v>386</v>
      </c>
      <c r="B4343" s="2">
        <v>1700095</v>
      </c>
      <c r="C4343" s="2" t="s">
        <v>355</v>
      </c>
      <c r="D4343" s="3">
        <v>4500</v>
      </c>
    </row>
    <row r="4344" spans="1:4">
      <c r="A4344" s="4" t="s">
        <v>386</v>
      </c>
      <c r="B4344" s="2">
        <v>1700096</v>
      </c>
      <c r="C4344" s="2" t="s">
        <v>356</v>
      </c>
      <c r="D4344" s="3">
        <v>24510</v>
      </c>
    </row>
    <row r="4345" spans="1:4">
      <c r="A4345" s="4" t="s">
        <v>386</v>
      </c>
      <c r="B4345" s="2">
        <v>1700097</v>
      </c>
      <c r="C4345" s="2" t="s">
        <v>357</v>
      </c>
      <c r="D4345" s="3">
        <v>19608</v>
      </c>
    </row>
    <row r="4346" spans="1:4">
      <c r="A4346" s="4" t="s">
        <v>386</v>
      </c>
      <c r="B4346" s="2">
        <v>1700098</v>
      </c>
      <c r="C4346" s="2" t="s">
        <v>358</v>
      </c>
      <c r="D4346" s="3">
        <v>19608</v>
      </c>
    </row>
    <row r="4347" spans="1:4">
      <c r="A4347" s="4" t="s">
        <v>386</v>
      </c>
      <c r="B4347" s="2">
        <v>1700099</v>
      </c>
      <c r="C4347" s="2" t="s">
        <v>359</v>
      </c>
      <c r="D4347" s="3">
        <v>9740</v>
      </c>
    </row>
    <row r="4348" spans="1:4">
      <c r="A4348" s="4" t="s">
        <v>386</v>
      </c>
      <c r="B4348" s="2">
        <v>1700100</v>
      </c>
      <c r="C4348" s="2" t="s">
        <v>360</v>
      </c>
      <c r="D4348" s="3">
        <v>4160</v>
      </c>
    </row>
    <row r="4349" spans="1:4">
      <c r="A4349" s="4" t="s">
        <v>386</v>
      </c>
      <c r="B4349" s="2">
        <v>1700101</v>
      </c>
      <c r="C4349" s="2" t="s">
        <v>361</v>
      </c>
      <c r="D4349" s="3">
        <v>7647</v>
      </c>
    </row>
    <row r="4350" spans="1:4">
      <c r="A4350" s="4" t="s">
        <v>386</v>
      </c>
      <c r="B4350" s="2">
        <v>1700102</v>
      </c>
      <c r="C4350" s="2" t="s">
        <v>362</v>
      </c>
      <c r="D4350" s="3">
        <v>40196</v>
      </c>
    </row>
    <row r="4351" spans="1:4">
      <c r="A4351" s="4" t="s">
        <v>386</v>
      </c>
      <c r="B4351" s="2">
        <v>1700103</v>
      </c>
      <c r="C4351" s="2" t="s">
        <v>363</v>
      </c>
      <c r="D4351" s="3">
        <v>9000</v>
      </c>
    </row>
    <row r="4352" spans="1:4">
      <c r="A4352" s="4" t="s">
        <v>386</v>
      </c>
      <c r="B4352" s="2">
        <v>1700104</v>
      </c>
      <c r="C4352" s="2" t="s">
        <v>364</v>
      </c>
      <c r="D4352" s="3">
        <v>25000</v>
      </c>
    </row>
    <row r="4353" spans="1:4">
      <c r="A4353" s="4" t="s">
        <v>386</v>
      </c>
      <c r="B4353" s="2">
        <v>1700105</v>
      </c>
      <c r="C4353" s="2" t="s">
        <v>365</v>
      </c>
      <c r="D4353" s="3">
        <v>10588</v>
      </c>
    </row>
    <row r="4354" spans="1:4">
      <c r="A4354" s="4" t="s">
        <v>386</v>
      </c>
      <c r="B4354" s="2">
        <v>1700106</v>
      </c>
      <c r="C4354" s="2" t="s">
        <v>366</v>
      </c>
      <c r="D4354" s="3">
        <v>14020</v>
      </c>
    </row>
    <row r="4355" spans="1:4">
      <c r="A4355" s="4" t="s">
        <v>386</v>
      </c>
      <c r="B4355" s="2">
        <v>1700107</v>
      </c>
      <c r="C4355" s="2" t="s">
        <v>367</v>
      </c>
      <c r="D4355" s="3">
        <v>9020</v>
      </c>
    </row>
    <row r="4356" spans="1:4">
      <c r="A4356" s="4" t="s">
        <v>386</v>
      </c>
      <c r="B4356" s="2">
        <v>1800002</v>
      </c>
      <c r="C4356" s="2" t="s">
        <v>368</v>
      </c>
      <c r="D4356" s="3">
        <v>9520</v>
      </c>
    </row>
    <row r="4357" spans="1:4">
      <c r="A4357" s="4" t="s">
        <v>386</v>
      </c>
      <c r="B4357" s="2">
        <v>1800004</v>
      </c>
      <c r="C4357" s="2" t="s">
        <v>369</v>
      </c>
      <c r="D4357" s="3">
        <v>0</v>
      </c>
    </row>
    <row r="4358" spans="1:4">
      <c r="A4358" s="4" t="s">
        <v>386</v>
      </c>
      <c r="B4358" s="2">
        <v>1800005</v>
      </c>
      <c r="C4358" s="2" t="s">
        <v>370</v>
      </c>
      <c r="D4358" s="3">
        <v>0</v>
      </c>
    </row>
    <row r="4359" spans="1:4">
      <c r="A4359" s="4" t="s">
        <v>386</v>
      </c>
      <c r="B4359" s="2">
        <v>1800006</v>
      </c>
      <c r="C4359" s="2" t="s">
        <v>371</v>
      </c>
      <c r="D4359" s="3">
        <v>0</v>
      </c>
    </row>
    <row r="4360" spans="1:4">
      <c r="A4360" s="4" t="s">
        <v>386</v>
      </c>
      <c r="B4360" s="2">
        <v>1800007</v>
      </c>
      <c r="C4360" s="2" t="s">
        <v>372</v>
      </c>
      <c r="D4360" s="3">
        <v>10000</v>
      </c>
    </row>
    <row r="4361" spans="1:4">
      <c r="A4361" s="4" t="s">
        <v>386</v>
      </c>
      <c r="B4361" s="2">
        <v>1800008</v>
      </c>
      <c r="C4361" s="2" t="s">
        <v>373</v>
      </c>
      <c r="D4361" s="3">
        <v>10230</v>
      </c>
    </row>
    <row r="4362" spans="1:4">
      <c r="A4362" s="4" t="s">
        <v>386</v>
      </c>
      <c r="B4362" s="2">
        <v>1800009</v>
      </c>
      <c r="C4362" s="2" t="s">
        <v>374</v>
      </c>
      <c r="D4362" s="3">
        <v>11800</v>
      </c>
    </row>
    <row r="4363" spans="1:4">
      <c r="A4363" s="4" t="s">
        <v>386</v>
      </c>
      <c r="B4363" s="2">
        <v>1800010</v>
      </c>
      <c r="C4363" s="2" t="s">
        <v>375</v>
      </c>
      <c r="D4363" s="3">
        <v>6863</v>
      </c>
    </row>
    <row r="4364" spans="1:4">
      <c r="A4364" s="4" t="s">
        <v>386</v>
      </c>
      <c r="B4364" s="2">
        <v>1800011</v>
      </c>
      <c r="C4364" s="2" t="s">
        <v>376</v>
      </c>
      <c r="D4364" s="3">
        <v>13235</v>
      </c>
    </row>
    <row r="4365" spans="1:4">
      <c r="A4365" s="4" t="s">
        <v>386</v>
      </c>
      <c r="B4365" s="2">
        <v>1800012</v>
      </c>
      <c r="C4365" s="2" t="s">
        <v>377</v>
      </c>
      <c r="D4365" s="3">
        <v>8235</v>
      </c>
    </row>
    <row r="4366" spans="1:4">
      <c r="A4366" s="4" t="s">
        <v>386</v>
      </c>
      <c r="B4366" s="2">
        <v>1800013</v>
      </c>
      <c r="C4366" s="2" t="s">
        <v>378</v>
      </c>
      <c r="D4366" s="3">
        <v>49100</v>
      </c>
    </row>
    <row r="4367" spans="1:4">
      <c r="A4367" s="4" t="s">
        <v>386</v>
      </c>
      <c r="B4367" s="2">
        <v>1800014</v>
      </c>
      <c r="C4367" s="2" t="s">
        <v>379</v>
      </c>
      <c r="D4367" s="3">
        <v>70000</v>
      </c>
    </row>
    <row r="4368" spans="1:4">
      <c r="A4368" s="4" t="s">
        <v>386</v>
      </c>
      <c r="B4368" s="2">
        <v>1800015</v>
      </c>
      <c r="C4368" s="2" t="s">
        <v>380</v>
      </c>
      <c r="D4368" s="3">
        <v>66700</v>
      </c>
    </row>
    <row r="4369" spans="1:4">
      <c r="A4369" s="4" t="s">
        <v>386</v>
      </c>
      <c r="B4369" s="2">
        <v>1900013</v>
      </c>
      <c r="C4369" s="2" t="s">
        <v>381</v>
      </c>
      <c r="D4369" s="3">
        <v>0</v>
      </c>
    </row>
    <row r="4370" spans="1:4">
      <c r="A4370" s="4" t="s">
        <v>386</v>
      </c>
      <c r="B4370" s="2">
        <v>1900018</v>
      </c>
      <c r="C4370" s="2" t="s">
        <v>382</v>
      </c>
      <c r="D4370" s="3">
        <v>0</v>
      </c>
    </row>
    <row r="4371" spans="1:4">
      <c r="A4371" s="4" t="s">
        <v>387</v>
      </c>
      <c r="B4371" s="2">
        <v>1010101</v>
      </c>
      <c r="C4371" s="2" t="s">
        <v>5</v>
      </c>
      <c r="D4371" s="3">
        <v>700</v>
      </c>
    </row>
    <row r="4372" spans="1:4">
      <c r="A4372" s="4" t="s">
        <v>387</v>
      </c>
      <c r="B4372" s="2">
        <v>1010111</v>
      </c>
      <c r="C4372" s="2" t="s">
        <v>9</v>
      </c>
      <c r="D4372" s="3">
        <v>19100</v>
      </c>
    </row>
    <row r="4373" spans="1:4">
      <c r="A4373" s="4" t="s">
        <v>387</v>
      </c>
      <c r="B4373" s="2">
        <v>1010201</v>
      </c>
      <c r="C4373" s="2" t="s">
        <v>11</v>
      </c>
      <c r="D4373" s="3">
        <v>1373</v>
      </c>
    </row>
    <row r="4374" spans="1:4">
      <c r="A4374" s="4" t="s">
        <v>387</v>
      </c>
      <c r="B4374" s="2">
        <v>1010300</v>
      </c>
      <c r="C4374" s="2" t="s">
        <v>213</v>
      </c>
      <c r="D4374" s="3">
        <v>9608</v>
      </c>
    </row>
    <row r="4375" spans="1:4">
      <c r="A4375" s="4" t="s">
        <v>387</v>
      </c>
      <c r="B4375" s="2">
        <v>1010301</v>
      </c>
      <c r="C4375" s="2" t="s">
        <v>214</v>
      </c>
      <c r="D4375" s="3">
        <v>6373</v>
      </c>
    </row>
    <row r="4376" spans="1:4">
      <c r="A4376" s="4" t="s">
        <v>387</v>
      </c>
      <c r="B4376" s="2">
        <v>1010302</v>
      </c>
      <c r="C4376" s="2" t="s">
        <v>16</v>
      </c>
      <c r="D4376" s="3">
        <v>4314</v>
      </c>
    </row>
    <row r="4377" spans="1:4">
      <c r="A4377" s="4" t="s">
        <v>387</v>
      </c>
      <c r="B4377" s="2">
        <v>1010303</v>
      </c>
      <c r="C4377" s="2" t="s">
        <v>18</v>
      </c>
      <c r="D4377" s="3">
        <v>882</v>
      </c>
    </row>
    <row r="4378" spans="1:4">
      <c r="A4378" s="4" t="s">
        <v>387</v>
      </c>
      <c r="B4378" s="2">
        <v>1010304</v>
      </c>
      <c r="C4378" s="2" t="s">
        <v>215</v>
      </c>
      <c r="D4378" s="3">
        <v>1422</v>
      </c>
    </row>
    <row r="4379" spans="1:4">
      <c r="A4379" s="4" t="s">
        <v>387</v>
      </c>
      <c r="B4379" s="2">
        <v>1010401</v>
      </c>
      <c r="C4379" s="2" t="s">
        <v>20</v>
      </c>
      <c r="D4379" s="3">
        <v>3627</v>
      </c>
    </row>
    <row r="4380" spans="1:4">
      <c r="A4380" s="4" t="s">
        <v>387</v>
      </c>
      <c r="B4380" s="2">
        <v>1010405</v>
      </c>
      <c r="C4380" s="2" t="s">
        <v>22</v>
      </c>
      <c r="D4380" s="3">
        <v>9975</v>
      </c>
    </row>
    <row r="4381" spans="1:4">
      <c r="A4381" s="4" t="s">
        <v>387</v>
      </c>
      <c r="B4381" s="2">
        <v>1010501</v>
      </c>
      <c r="C4381" s="2" t="s">
        <v>24</v>
      </c>
      <c r="D4381" s="3">
        <v>980</v>
      </c>
    </row>
    <row r="4382" spans="1:4">
      <c r="A4382" s="4" t="s">
        <v>387</v>
      </c>
      <c r="B4382" s="2">
        <v>1010502</v>
      </c>
      <c r="C4382" s="2" t="s">
        <v>216</v>
      </c>
      <c r="D4382" s="3">
        <v>0</v>
      </c>
    </row>
    <row r="4383" spans="1:4">
      <c r="A4383" s="4" t="s">
        <v>387</v>
      </c>
      <c r="B4383" s="2">
        <v>1010601</v>
      </c>
      <c r="C4383" s="2" t="s">
        <v>26</v>
      </c>
      <c r="D4383" s="3">
        <v>4412</v>
      </c>
    </row>
    <row r="4384" spans="1:4">
      <c r="A4384" s="4" t="s">
        <v>387</v>
      </c>
      <c r="B4384" s="2">
        <v>1010701</v>
      </c>
      <c r="C4384" s="2" t="s">
        <v>28</v>
      </c>
      <c r="D4384" s="3">
        <v>686</v>
      </c>
    </row>
    <row r="4385" spans="1:4">
      <c r="A4385" s="4" t="s">
        <v>387</v>
      </c>
      <c r="B4385" s="2">
        <v>1010801</v>
      </c>
      <c r="C4385" s="2" t="s">
        <v>30</v>
      </c>
      <c r="D4385" s="3">
        <v>9118</v>
      </c>
    </row>
    <row r="4386" spans="1:4">
      <c r="A4386" s="4" t="s">
        <v>387</v>
      </c>
      <c r="B4386" s="2">
        <v>1010901</v>
      </c>
      <c r="C4386" s="2" t="s">
        <v>32</v>
      </c>
      <c r="D4386" s="3">
        <v>4804</v>
      </c>
    </row>
    <row r="4387" spans="1:4">
      <c r="A4387" s="4" t="s">
        <v>387</v>
      </c>
      <c r="B4387" s="2">
        <v>1020101</v>
      </c>
      <c r="C4387" s="2" t="s">
        <v>34</v>
      </c>
      <c r="D4387" s="3">
        <v>18627</v>
      </c>
    </row>
    <row r="4388" spans="1:4">
      <c r="A4388" s="4" t="s">
        <v>387</v>
      </c>
      <c r="B4388" s="2">
        <v>1020201</v>
      </c>
      <c r="C4388" s="2" t="s">
        <v>217</v>
      </c>
      <c r="D4388" s="3">
        <v>5600</v>
      </c>
    </row>
    <row r="4389" spans="1:4">
      <c r="A4389" s="4" t="s">
        <v>387</v>
      </c>
      <c r="B4389" s="2">
        <v>1020301</v>
      </c>
      <c r="C4389" s="2" t="s">
        <v>38</v>
      </c>
      <c r="D4389" s="3">
        <v>2350</v>
      </c>
    </row>
    <row r="4390" spans="1:4">
      <c r="A4390" s="4" t="s">
        <v>387</v>
      </c>
      <c r="B4390" s="2">
        <v>1020401</v>
      </c>
      <c r="C4390" s="2" t="s">
        <v>40</v>
      </c>
      <c r="D4390" s="3">
        <v>3500</v>
      </c>
    </row>
    <row r="4391" spans="1:4">
      <c r="A4391" s="4" t="s">
        <v>387</v>
      </c>
      <c r="B4391" s="2">
        <v>1030102</v>
      </c>
      <c r="C4391" s="2" t="s">
        <v>218</v>
      </c>
      <c r="D4391" s="3">
        <v>0</v>
      </c>
    </row>
    <row r="4392" spans="1:4">
      <c r="A4392" s="4" t="s">
        <v>387</v>
      </c>
      <c r="B4392" s="2">
        <v>1030201</v>
      </c>
      <c r="C4392" s="2" t="s">
        <v>42</v>
      </c>
      <c r="D4392" s="3">
        <v>2843</v>
      </c>
    </row>
    <row r="4393" spans="1:4">
      <c r="A4393" s="4" t="s">
        <v>387</v>
      </c>
      <c r="B4393" s="2">
        <v>1030203</v>
      </c>
      <c r="C4393" s="2" t="s">
        <v>219</v>
      </c>
      <c r="D4393" s="3">
        <v>0</v>
      </c>
    </row>
    <row r="4394" spans="1:4">
      <c r="A4394" s="4" t="s">
        <v>387</v>
      </c>
      <c r="B4394" s="2">
        <v>1030204</v>
      </c>
      <c r="C4394" s="2" t="s">
        <v>220</v>
      </c>
      <c r="D4394" s="3">
        <v>0</v>
      </c>
    </row>
    <row r="4395" spans="1:4">
      <c r="A4395" s="4" t="s">
        <v>387</v>
      </c>
      <c r="B4395" s="2">
        <v>1030205</v>
      </c>
      <c r="C4395" s="2" t="s">
        <v>44</v>
      </c>
      <c r="D4395" s="3">
        <v>5000</v>
      </c>
    </row>
    <row r="4396" spans="1:4">
      <c r="A4396" s="4" t="s">
        <v>387</v>
      </c>
      <c r="B4396" s="2">
        <v>1030206</v>
      </c>
      <c r="C4396" s="2" t="s">
        <v>46</v>
      </c>
      <c r="D4396" s="3">
        <v>6200</v>
      </c>
    </row>
    <row r="4397" spans="1:4">
      <c r="A4397" s="4" t="s">
        <v>387</v>
      </c>
      <c r="B4397" s="2">
        <v>1030207</v>
      </c>
      <c r="C4397" s="2" t="s">
        <v>48</v>
      </c>
      <c r="D4397" s="3">
        <v>4600</v>
      </c>
    </row>
    <row r="4398" spans="1:4">
      <c r="A4398" s="4" t="s">
        <v>387</v>
      </c>
      <c r="B4398" s="2">
        <v>1030501</v>
      </c>
      <c r="C4398" s="2" t="s">
        <v>50</v>
      </c>
      <c r="D4398" s="3">
        <v>1127</v>
      </c>
    </row>
    <row r="4399" spans="1:4">
      <c r="A4399" s="4" t="s">
        <v>387</v>
      </c>
      <c r="B4399" s="2">
        <v>1030601</v>
      </c>
      <c r="C4399" s="2" t="s">
        <v>52</v>
      </c>
      <c r="D4399" s="3">
        <v>3000</v>
      </c>
    </row>
    <row r="4400" spans="1:4">
      <c r="A4400" s="4" t="s">
        <v>387</v>
      </c>
      <c r="B4400" s="2">
        <v>1030701</v>
      </c>
      <c r="C4400" s="2" t="s">
        <v>221</v>
      </c>
      <c r="D4400" s="3">
        <v>3000</v>
      </c>
    </row>
    <row r="4401" spans="1:4">
      <c r="A4401" s="4" t="s">
        <v>387</v>
      </c>
      <c r="B4401" s="2">
        <v>1030705</v>
      </c>
      <c r="C4401" s="2" t="s">
        <v>222</v>
      </c>
      <c r="D4401" s="3">
        <v>0</v>
      </c>
    </row>
    <row r="4402" spans="1:4">
      <c r="A4402" s="4" t="s">
        <v>387</v>
      </c>
      <c r="B4402" s="2">
        <v>1030801</v>
      </c>
      <c r="C4402" s="2" t="s">
        <v>54</v>
      </c>
      <c r="D4402" s="3">
        <v>1176</v>
      </c>
    </row>
    <row r="4403" spans="1:4">
      <c r="A4403" s="4" t="s">
        <v>387</v>
      </c>
      <c r="B4403" s="2">
        <v>1030901</v>
      </c>
      <c r="C4403" s="2" t="s">
        <v>223</v>
      </c>
      <c r="D4403" s="3">
        <v>0</v>
      </c>
    </row>
    <row r="4404" spans="1:4">
      <c r="A4404" s="4" t="s">
        <v>387</v>
      </c>
      <c r="B4404" s="2">
        <v>1040201</v>
      </c>
      <c r="C4404" s="2" t="s">
        <v>56</v>
      </c>
      <c r="D4404" s="3">
        <v>1429</v>
      </c>
    </row>
    <row r="4405" spans="1:4">
      <c r="A4405" s="4" t="s">
        <v>387</v>
      </c>
      <c r="B4405" s="2">
        <v>1040202</v>
      </c>
      <c r="C4405" s="2" t="s">
        <v>224</v>
      </c>
      <c r="D4405" s="3">
        <v>0</v>
      </c>
    </row>
    <row r="4406" spans="1:4">
      <c r="A4406" s="4" t="s">
        <v>387</v>
      </c>
      <c r="B4406" s="2">
        <v>1040203</v>
      </c>
      <c r="C4406" s="2" t="s">
        <v>225</v>
      </c>
      <c r="D4406" s="3">
        <v>0</v>
      </c>
    </row>
    <row r="4407" spans="1:4">
      <c r="A4407" s="4" t="s">
        <v>387</v>
      </c>
      <c r="B4407" s="2">
        <v>1040204</v>
      </c>
      <c r="C4407" s="2" t="s">
        <v>226</v>
      </c>
      <c r="D4407" s="3">
        <v>8583</v>
      </c>
    </row>
    <row r="4408" spans="1:4">
      <c r="A4408" s="4" t="s">
        <v>387</v>
      </c>
      <c r="B4408" s="2">
        <v>1040301</v>
      </c>
      <c r="C4408" s="2" t="s">
        <v>58</v>
      </c>
      <c r="D4408" s="3">
        <v>1619</v>
      </c>
    </row>
    <row r="4409" spans="1:4">
      <c r="A4409" s="4" t="s">
        <v>387</v>
      </c>
      <c r="B4409" s="2">
        <v>1040401</v>
      </c>
      <c r="C4409" s="2" t="s">
        <v>227</v>
      </c>
      <c r="D4409" s="3">
        <v>0</v>
      </c>
    </row>
    <row r="4410" spans="1:4">
      <c r="A4410" s="4" t="s">
        <v>387</v>
      </c>
      <c r="B4410" s="2">
        <v>1050102</v>
      </c>
      <c r="C4410" s="2" t="s">
        <v>60</v>
      </c>
      <c r="D4410" s="3">
        <v>31000</v>
      </c>
    </row>
    <row r="4411" spans="1:4">
      <c r="A4411" s="4" t="s">
        <v>387</v>
      </c>
      <c r="B4411" s="2">
        <v>1050103</v>
      </c>
      <c r="C4411" s="2" t="s">
        <v>228</v>
      </c>
      <c r="D4411" s="3">
        <v>11275</v>
      </c>
    </row>
    <row r="4412" spans="1:4">
      <c r="A4412" s="4" t="s">
        <v>387</v>
      </c>
      <c r="B4412" s="2">
        <v>1050301</v>
      </c>
      <c r="C4412" s="2" t="s">
        <v>62</v>
      </c>
      <c r="D4412" s="3">
        <v>9804</v>
      </c>
    </row>
    <row r="4413" spans="1:4">
      <c r="A4413" s="4" t="s">
        <v>387</v>
      </c>
      <c r="B4413" s="2">
        <v>1050401</v>
      </c>
      <c r="C4413" s="2" t="s">
        <v>64</v>
      </c>
      <c r="D4413" s="3">
        <v>8824</v>
      </c>
    </row>
    <row r="4414" spans="1:4">
      <c r="A4414" s="4" t="s">
        <v>387</v>
      </c>
      <c r="B4414" s="2">
        <v>1050501</v>
      </c>
      <c r="C4414" s="2" t="s">
        <v>66</v>
      </c>
      <c r="D4414" s="3">
        <v>10784</v>
      </c>
    </row>
    <row r="4415" spans="1:4">
      <c r="A4415" s="4" t="s">
        <v>387</v>
      </c>
      <c r="B4415" s="2">
        <v>1050511</v>
      </c>
      <c r="C4415" s="2" t="s">
        <v>68</v>
      </c>
      <c r="D4415" s="3">
        <v>17647</v>
      </c>
    </row>
    <row r="4416" spans="1:4">
      <c r="A4416" s="4" t="s">
        <v>387</v>
      </c>
      <c r="B4416" s="2">
        <v>1050512</v>
      </c>
      <c r="C4416" s="2" t="s">
        <v>229</v>
      </c>
      <c r="D4416" s="3">
        <v>0</v>
      </c>
    </row>
    <row r="4417" spans="1:4">
      <c r="A4417" s="4" t="s">
        <v>387</v>
      </c>
      <c r="B4417" s="2">
        <v>1050521</v>
      </c>
      <c r="C4417" s="2" t="s">
        <v>70</v>
      </c>
      <c r="D4417" s="3">
        <v>14706</v>
      </c>
    </row>
    <row r="4418" spans="1:4">
      <c r="A4418" s="4" t="s">
        <v>387</v>
      </c>
      <c r="B4418" s="2">
        <v>1050531</v>
      </c>
      <c r="C4418" s="2" t="s">
        <v>72</v>
      </c>
      <c r="D4418" s="3">
        <v>21000</v>
      </c>
    </row>
    <row r="4419" spans="1:4">
      <c r="A4419" s="4" t="s">
        <v>387</v>
      </c>
      <c r="B4419" s="2">
        <v>1050541</v>
      </c>
      <c r="C4419" s="2" t="s">
        <v>74</v>
      </c>
      <c r="D4419" s="3">
        <v>11000</v>
      </c>
    </row>
    <row r="4420" spans="1:4">
      <c r="A4420" s="4" t="s">
        <v>387</v>
      </c>
      <c r="B4420" s="2">
        <v>1050551</v>
      </c>
      <c r="C4420" s="2" t="s">
        <v>76</v>
      </c>
      <c r="D4420" s="3">
        <v>54000</v>
      </c>
    </row>
    <row r="4421" spans="1:4">
      <c r="A4421" s="4" t="s">
        <v>387</v>
      </c>
      <c r="B4421" s="2">
        <v>1050561</v>
      </c>
      <c r="C4421" s="2" t="s">
        <v>78</v>
      </c>
      <c r="D4421" s="3">
        <v>77321</v>
      </c>
    </row>
    <row r="4422" spans="1:4">
      <c r="A4422" s="4" t="s">
        <v>387</v>
      </c>
      <c r="B4422" s="2">
        <v>1050571</v>
      </c>
      <c r="C4422" s="2" t="s">
        <v>80</v>
      </c>
      <c r="D4422" s="3">
        <v>58000</v>
      </c>
    </row>
    <row r="4423" spans="1:4">
      <c r="A4423" s="4" t="s">
        <v>387</v>
      </c>
      <c r="B4423" s="2">
        <v>1050581</v>
      </c>
      <c r="C4423" s="2" t="s">
        <v>82</v>
      </c>
      <c r="D4423" s="3">
        <v>60760</v>
      </c>
    </row>
    <row r="4424" spans="1:4">
      <c r="A4424" s="4" t="s">
        <v>387</v>
      </c>
      <c r="B4424" s="2">
        <v>1050591</v>
      </c>
      <c r="C4424" s="2" t="s">
        <v>84</v>
      </c>
      <c r="D4424" s="3">
        <v>97750</v>
      </c>
    </row>
    <row r="4425" spans="1:4">
      <c r="A4425" s="4" t="s">
        <v>387</v>
      </c>
      <c r="B4425" s="2">
        <v>1050601</v>
      </c>
      <c r="C4425" s="2" t="s">
        <v>86</v>
      </c>
      <c r="D4425" s="3">
        <v>6400</v>
      </c>
    </row>
    <row r="4426" spans="1:4">
      <c r="A4426" s="4" t="s">
        <v>387</v>
      </c>
      <c r="B4426" s="2">
        <v>1050701</v>
      </c>
      <c r="C4426" s="2" t="s">
        <v>88</v>
      </c>
      <c r="D4426" s="3">
        <v>6300</v>
      </c>
    </row>
    <row r="4427" spans="1:4">
      <c r="A4427" s="4" t="s">
        <v>387</v>
      </c>
      <c r="B4427" s="2">
        <v>1050702</v>
      </c>
      <c r="C4427" s="2" t="s">
        <v>90</v>
      </c>
      <c r="D4427" s="3">
        <v>6000</v>
      </c>
    </row>
    <row r="4428" spans="1:4">
      <c r="A4428" s="4" t="s">
        <v>387</v>
      </c>
      <c r="B4428" s="2">
        <v>1050711</v>
      </c>
      <c r="C4428" s="2" t="s">
        <v>92</v>
      </c>
      <c r="D4428" s="3">
        <v>2600</v>
      </c>
    </row>
    <row r="4429" spans="1:4">
      <c r="A4429" s="4" t="s">
        <v>387</v>
      </c>
      <c r="B4429" s="2">
        <v>1050721</v>
      </c>
      <c r="C4429" s="2" t="s">
        <v>94</v>
      </c>
      <c r="D4429" s="3">
        <v>13549</v>
      </c>
    </row>
    <row r="4430" spans="1:4">
      <c r="A4430" s="4" t="s">
        <v>387</v>
      </c>
      <c r="B4430" s="2">
        <v>1050801</v>
      </c>
      <c r="C4430" s="2" t="s">
        <v>7</v>
      </c>
      <c r="D4430" s="3">
        <v>882</v>
      </c>
    </row>
    <row r="4431" spans="1:4">
      <c r="A4431" s="4" t="s">
        <v>387</v>
      </c>
      <c r="B4431" s="2">
        <v>1050901</v>
      </c>
      <c r="C4431" s="2" t="s">
        <v>96</v>
      </c>
      <c r="D4431" s="3">
        <v>1216</v>
      </c>
    </row>
    <row r="4432" spans="1:4">
      <c r="A4432" s="4" t="s">
        <v>387</v>
      </c>
      <c r="B4432" s="2">
        <v>1060101</v>
      </c>
      <c r="C4432" s="2" t="s">
        <v>98</v>
      </c>
      <c r="D4432" s="3">
        <v>2200</v>
      </c>
    </row>
    <row r="4433" spans="1:4">
      <c r="A4433" s="4" t="s">
        <v>387</v>
      </c>
      <c r="B4433" s="2">
        <v>1060401</v>
      </c>
      <c r="C4433" s="2" t="s">
        <v>100</v>
      </c>
      <c r="D4433" s="3">
        <v>75000</v>
      </c>
    </row>
    <row r="4434" spans="1:4">
      <c r="A4434" s="4" t="s">
        <v>387</v>
      </c>
      <c r="B4434" s="2">
        <v>1060412</v>
      </c>
      <c r="C4434" s="2" t="s">
        <v>230</v>
      </c>
      <c r="D4434" s="3">
        <v>33000</v>
      </c>
    </row>
    <row r="4435" spans="1:4">
      <c r="A4435" s="4" t="s">
        <v>387</v>
      </c>
      <c r="B4435" s="2">
        <v>1060421</v>
      </c>
      <c r="C4435" s="2" t="s">
        <v>104</v>
      </c>
      <c r="D4435" s="3">
        <v>118000</v>
      </c>
    </row>
    <row r="4436" spans="1:4">
      <c r="A4436" s="4" t="s">
        <v>387</v>
      </c>
      <c r="B4436" s="2">
        <v>1060441</v>
      </c>
      <c r="C4436" s="2" t="s">
        <v>106</v>
      </c>
      <c r="D4436" s="3">
        <v>6471</v>
      </c>
    </row>
    <row r="4437" spans="1:4">
      <c r="A4437" s="4" t="s">
        <v>387</v>
      </c>
      <c r="B4437" s="2">
        <v>1060451</v>
      </c>
      <c r="C4437" s="2" t="s">
        <v>108</v>
      </c>
      <c r="D4437" s="3">
        <v>38235</v>
      </c>
    </row>
    <row r="4438" spans="1:4">
      <c r="A4438" s="4" t="s">
        <v>387</v>
      </c>
      <c r="B4438" s="2">
        <v>1070101</v>
      </c>
      <c r="C4438" s="2" t="s">
        <v>110</v>
      </c>
      <c r="D4438" s="3">
        <v>4150</v>
      </c>
    </row>
    <row r="4439" spans="1:4">
      <c r="A4439" s="4" t="s">
        <v>387</v>
      </c>
      <c r="B4439" s="2">
        <v>1070301</v>
      </c>
      <c r="C4439" s="2" t="s">
        <v>112</v>
      </c>
      <c r="D4439" s="3">
        <v>41000</v>
      </c>
    </row>
    <row r="4440" spans="1:4">
      <c r="A4440" s="4" t="s">
        <v>387</v>
      </c>
      <c r="B4440" s="2">
        <v>1070401</v>
      </c>
      <c r="C4440" s="2" t="s">
        <v>114</v>
      </c>
      <c r="D4440" s="3">
        <v>12000</v>
      </c>
    </row>
    <row r="4441" spans="1:4">
      <c r="A4441" s="4" t="s">
        <v>387</v>
      </c>
      <c r="B4441" s="2">
        <v>1070501</v>
      </c>
      <c r="C4441" s="2" t="s">
        <v>231</v>
      </c>
      <c r="D4441" s="3">
        <v>5500</v>
      </c>
    </row>
    <row r="4442" spans="1:4">
      <c r="A4442" s="4" t="s">
        <v>387</v>
      </c>
      <c r="B4442" s="2">
        <v>1070701</v>
      </c>
      <c r="C4442" s="2" t="s">
        <v>118</v>
      </c>
      <c r="D4442" s="3">
        <v>36000</v>
      </c>
    </row>
    <row r="4443" spans="1:4">
      <c r="A4443" s="4" t="s">
        <v>387</v>
      </c>
      <c r="B4443" s="2">
        <v>1070801</v>
      </c>
      <c r="C4443" s="2" t="s">
        <v>232</v>
      </c>
      <c r="D4443" s="3">
        <v>35000</v>
      </c>
    </row>
    <row r="4444" spans="1:4">
      <c r="A4444" s="4" t="s">
        <v>387</v>
      </c>
      <c r="B4444" s="2">
        <v>1080101</v>
      </c>
      <c r="C4444" s="2" t="s">
        <v>120</v>
      </c>
      <c r="D4444" s="3">
        <v>11000</v>
      </c>
    </row>
    <row r="4445" spans="1:4">
      <c r="A4445" s="4" t="s">
        <v>387</v>
      </c>
      <c r="B4445" s="2">
        <v>1080201</v>
      </c>
      <c r="C4445" s="2" t="s">
        <v>122</v>
      </c>
      <c r="D4445" s="3">
        <v>540</v>
      </c>
    </row>
    <row r="4446" spans="1:4">
      <c r="A4446" s="4" t="s">
        <v>387</v>
      </c>
      <c r="B4446" s="2">
        <v>1080301</v>
      </c>
      <c r="C4446" s="2" t="s">
        <v>124</v>
      </c>
      <c r="D4446" s="3">
        <v>1550</v>
      </c>
    </row>
    <row r="4447" spans="1:4">
      <c r="A4447" s="4" t="s">
        <v>387</v>
      </c>
      <c r="B4447" s="2">
        <v>1080401</v>
      </c>
      <c r="C4447" s="2" t="s">
        <v>233</v>
      </c>
      <c r="D4447" s="3">
        <v>3150</v>
      </c>
    </row>
    <row r="4448" spans="1:4">
      <c r="A4448" s="4" t="s">
        <v>387</v>
      </c>
      <c r="B4448" s="2">
        <v>1080411</v>
      </c>
      <c r="C4448" s="2" t="s">
        <v>128</v>
      </c>
      <c r="D4448" s="3">
        <v>3150</v>
      </c>
    </row>
    <row r="4449" spans="1:4">
      <c r="A4449" s="4" t="s">
        <v>387</v>
      </c>
      <c r="B4449" s="2">
        <v>1080501</v>
      </c>
      <c r="C4449" s="2" t="s">
        <v>130</v>
      </c>
      <c r="D4449" s="3">
        <v>3800</v>
      </c>
    </row>
    <row r="4450" spans="1:4">
      <c r="A4450" s="4" t="s">
        <v>387</v>
      </c>
      <c r="B4450" s="2">
        <v>1080602</v>
      </c>
      <c r="C4450" s="2" t="s">
        <v>234</v>
      </c>
      <c r="D4450" s="3">
        <v>38600</v>
      </c>
    </row>
    <row r="4451" spans="1:4">
      <c r="A4451" s="4" t="s">
        <v>387</v>
      </c>
      <c r="B4451" s="2">
        <v>1080604</v>
      </c>
      <c r="C4451" s="2" t="s">
        <v>235</v>
      </c>
      <c r="D4451" s="3">
        <v>0</v>
      </c>
    </row>
    <row r="4452" spans="1:4">
      <c r="A4452" s="4" t="s">
        <v>387</v>
      </c>
      <c r="B4452" s="2">
        <v>1080702</v>
      </c>
      <c r="C4452" s="2" t="s">
        <v>236</v>
      </c>
      <c r="D4452" s="3">
        <v>43500</v>
      </c>
    </row>
    <row r="4453" spans="1:4">
      <c r="A4453" s="4" t="s">
        <v>387</v>
      </c>
      <c r="B4453" s="2">
        <v>1080704</v>
      </c>
      <c r="C4453" s="2" t="s">
        <v>237</v>
      </c>
      <c r="D4453" s="3">
        <v>0</v>
      </c>
    </row>
    <row r="4454" spans="1:4">
      <c r="A4454" s="4" t="s">
        <v>387</v>
      </c>
      <c r="B4454" s="2">
        <v>1090104</v>
      </c>
      <c r="C4454" s="2" t="s">
        <v>136</v>
      </c>
      <c r="D4454" s="3">
        <v>40000</v>
      </c>
    </row>
    <row r="4455" spans="1:4">
      <c r="A4455" s="4" t="s">
        <v>387</v>
      </c>
      <c r="B4455" s="2">
        <v>1090112</v>
      </c>
      <c r="C4455" s="2" t="s">
        <v>138</v>
      </c>
      <c r="D4455" s="3">
        <v>35000</v>
      </c>
    </row>
    <row r="4456" spans="1:4">
      <c r="A4456" s="4" t="s">
        <v>387</v>
      </c>
      <c r="B4456" s="2">
        <v>1090201</v>
      </c>
      <c r="C4456" s="2" t="s">
        <v>140</v>
      </c>
      <c r="D4456" s="3">
        <v>15800</v>
      </c>
    </row>
    <row r="4457" spans="1:4">
      <c r="A4457" s="4" t="s">
        <v>387</v>
      </c>
      <c r="B4457" s="2">
        <v>1090202</v>
      </c>
      <c r="C4457" s="2" t="s">
        <v>142</v>
      </c>
      <c r="D4457" s="3">
        <v>98000</v>
      </c>
    </row>
    <row r="4458" spans="1:4">
      <c r="A4458" s="4" t="s">
        <v>387</v>
      </c>
      <c r="B4458" s="2">
        <v>1090203</v>
      </c>
      <c r="C4458" s="2" t="s">
        <v>144</v>
      </c>
      <c r="D4458" s="3">
        <v>23000</v>
      </c>
    </row>
    <row r="4459" spans="1:4">
      <c r="A4459" s="4" t="s">
        <v>387</v>
      </c>
      <c r="B4459" s="2">
        <v>1090211</v>
      </c>
      <c r="C4459" s="2" t="s">
        <v>146</v>
      </c>
      <c r="D4459" s="3">
        <v>64706</v>
      </c>
    </row>
    <row r="4460" spans="1:4">
      <c r="A4460" s="4" t="s">
        <v>387</v>
      </c>
      <c r="B4460" s="2">
        <v>1090301</v>
      </c>
      <c r="C4460" s="2" t="s">
        <v>238</v>
      </c>
      <c r="D4460" s="3">
        <v>32000</v>
      </c>
    </row>
    <row r="4461" spans="1:4">
      <c r="A4461" s="4" t="s">
        <v>387</v>
      </c>
      <c r="B4461" s="2">
        <v>1090311</v>
      </c>
      <c r="C4461" s="2" t="s">
        <v>150</v>
      </c>
      <c r="D4461" s="3">
        <v>37000</v>
      </c>
    </row>
    <row r="4462" spans="1:4">
      <c r="A4462" s="4" t="s">
        <v>387</v>
      </c>
      <c r="B4462" s="2">
        <v>1090321</v>
      </c>
      <c r="C4462" s="2" t="s">
        <v>152</v>
      </c>
      <c r="D4462" s="3">
        <v>66000</v>
      </c>
    </row>
    <row r="4463" spans="1:4">
      <c r="A4463" s="4" t="s">
        <v>387</v>
      </c>
      <c r="B4463" s="2">
        <v>1090401</v>
      </c>
      <c r="C4463" s="2" t="s">
        <v>154</v>
      </c>
      <c r="D4463" s="3">
        <v>9300</v>
      </c>
    </row>
    <row r="4464" spans="1:4">
      <c r="A4464" s="4" t="s">
        <v>387</v>
      </c>
      <c r="B4464" s="2">
        <v>1090411</v>
      </c>
      <c r="C4464" s="2" t="s">
        <v>156</v>
      </c>
      <c r="D4464" s="3">
        <v>45000</v>
      </c>
    </row>
    <row r="4465" spans="1:4">
      <c r="A4465" s="4" t="s">
        <v>387</v>
      </c>
      <c r="B4465" s="2">
        <v>1090421</v>
      </c>
      <c r="C4465" s="2" t="s">
        <v>158</v>
      </c>
      <c r="D4465" s="3">
        <v>36000</v>
      </c>
    </row>
    <row r="4466" spans="1:4">
      <c r="A4466" s="4" t="s">
        <v>387</v>
      </c>
      <c r="B4466" s="2">
        <v>1090551</v>
      </c>
      <c r="C4466" s="2" t="s">
        <v>239</v>
      </c>
      <c r="D4466" s="3">
        <v>4900</v>
      </c>
    </row>
    <row r="4467" spans="1:4">
      <c r="A4467" s="4" t="s">
        <v>387</v>
      </c>
      <c r="B4467" s="2">
        <v>1090602</v>
      </c>
      <c r="C4467" s="2" t="s">
        <v>162</v>
      </c>
      <c r="D4467" s="3">
        <v>5600</v>
      </c>
    </row>
    <row r="4468" spans="1:4">
      <c r="A4468" s="4" t="s">
        <v>387</v>
      </c>
      <c r="B4468" s="2">
        <v>1090611</v>
      </c>
      <c r="C4468" s="2" t="s">
        <v>164</v>
      </c>
      <c r="D4468" s="3">
        <v>4800</v>
      </c>
    </row>
    <row r="4469" spans="1:4">
      <c r="A4469" s="4" t="s">
        <v>387</v>
      </c>
      <c r="B4469" s="2">
        <v>1090701</v>
      </c>
      <c r="C4469" s="2" t="s">
        <v>166</v>
      </c>
      <c r="D4469" s="3">
        <v>21000</v>
      </c>
    </row>
    <row r="4470" spans="1:4">
      <c r="A4470" s="4" t="s">
        <v>387</v>
      </c>
      <c r="B4470" s="2">
        <v>1090901</v>
      </c>
      <c r="C4470" s="2" t="s">
        <v>168</v>
      </c>
      <c r="D4470" s="3">
        <v>4300</v>
      </c>
    </row>
    <row r="4471" spans="1:4">
      <c r="A4471" s="4" t="s">
        <v>387</v>
      </c>
      <c r="B4471" s="2">
        <v>1091001</v>
      </c>
      <c r="C4471" s="2" t="s">
        <v>170</v>
      </c>
      <c r="D4471" s="3">
        <v>7000</v>
      </c>
    </row>
    <row r="4472" spans="1:4">
      <c r="A4472" s="4" t="s">
        <v>387</v>
      </c>
      <c r="B4472" s="2">
        <v>1091002</v>
      </c>
      <c r="C4472" s="2" t="s">
        <v>172</v>
      </c>
      <c r="D4472" s="3">
        <v>4314</v>
      </c>
    </row>
    <row r="4473" spans="1:4">
      <c r="A4473" s="4" t="s">
        <v>387</v>
      </c>
      <c r="B4473" s="2">
        <v>1091003</v>
      </c>
      <c r="C4473" s="2" t="s">
        <v>174</v>
      </c>
      <c r="D4473" s="3">
        <v>13723</v>
      </c>
    </row>
    <row r="4474" spans="1:4">
      <c r="A4474" s="4" t="s">
        <v>387</v>
      </c>
      <c r="B4474" s="2">
        <v>1091004</v>
      </c>
      <c r="C4474" s="2" t="s">
        <v>240</v>
      </c>
      <c r="D4474" s="3">
        <v>0</v>
      </c>
    </row>
    <row r="4475" spans="1:4">
      <c r="A4475" s="4" t="s">
        <v>387</v>
      </c>
      <c r="B4475" s="2">
        <v>1091005</v>
      </c>
      <c r="C4475" s="2" t="s">
        <v>241</v>
      </c>
      <c r="D4475" s="3">
        <v>0</v>
      </c>
    </row>
    <row r="4476" spans="1:4">
      <c r="A4476" s="4" t="s">
        <v>387</v>
      </c>
      <c r="B4476" s="2">
        <v>1091006</v>
      </c>
      <c r="C4476" s="2" t="s">
        <v>242</v>
      </c>
      <c r="D4476" s="3">
        <v>0</v>
      </c>
    </row>
    <row r="4477" spans="1:4">
      <c r="A4477" s="4" t="s">
        <v>387</v>
      </c>
      <c r="B4477" s="2">
        <v>1091007</v>
      </c>
      <c r="C4477" s="2" t="s">
        <v>243</v>
      </c>
      <c r="D4477" s="3">
        <v>2640</v>
      </c>
    </row>
    <row r="4478" spans="1:4">
      <c r="A4478" s="4" t="s">
        <v>387</v>
      </c>
      <c r="B4478" s="2">
        <v>1091008</v>
      </c>
      <c r="C4478" s="2" t="s">
        <v>176</v>
      </c>
      <c r="D4478" s="3">
        <v>450000</v>
      </c>
    </row>
    <row r="4479" spans="1:4">
      <c r="A4479" s="4" t="s">
        <v>387</v>
      </c>
      <c r="B4479" s="2">
        <v>1091009</v>
      </c>
      <c r="C4479" s="2" t="s">
        <v>178</v>
      </c>
      <c r="D4479" s="3">
        <v>190000</v>
      </c>
    </row>
    <row r="4480" spans="1:4">
      <c r="A4480" s="4" t="s">
        <v>387</v>
      </c>
      <c r="B4480" s="2">
        <v>1091010</v>
      </c>
      <c r="C4480" s="2" t="s">
        <v>180</v>
      </c>
      <c r="D4480" s="3">
        <v>27000</v>
      </c>
    </row>
    <row r="4481" spans="1:4">
      <c r="A4481" s="4" t="s">
        <v>387</v>
      </c>
      <c r="B4481" s="2">
        <v>1091011</v>
      </c>
      <c r="C4481" s="2" t="s">
        <v>182</v>
      </c>
      <c r="D4481" s="3">
        <v>33000</v>
      </c>
    </row>
    <row r="4482" spans="1:4">
      <c r="A4482" s="4" t="s">
        <v>387</v>
      </c>
      <c r="B4482" s="2">
        <v>1091012</v>
      </c>
      <c r="C4482" s="2" t="s">
        <v>184</v>
      </c>
      <c r="D4482" s="3">
        <v>47000</v>
      </c>
    </row>
    <row r="4483" spans="1:4">
      <c r="A4483" s="4" t="s">
        <v>387</v>
      </c>
      <c r="B4483" s="2">
        <v>1091013</v>
      </c>
      <c r="C4483" s="2" t="s">
        <v>186</v>
      </c>
      <c r="D4483" s="3">
        <v>33000</v>
      </c>
    </row>
    <row r="4484" spans="1:4">
      <c r="A4484" s="4" t="s">
        <v>387</v>
      </c>
      <c r="B4484" s="2">
        <v>1091014</v>
      </c>
      <c r="C4484" s="2" t="s">
        <v>244</v>
      </c>
      <c r="D4484" s="3">
        <v>6961</v>
      </c>
    </row>
    <row r="4485" spans="1:4">
      <c r="A4485" s="4" t="s">
        <v>387</v>
      </c>
      <c r="B4485" s="2">
        <v>1091015</v>
      </c>
      <c r="C4485" s="2" t="s">
        <v>245</v>
      </c>
      <c r="D4485" s="3">
        <v>25490</v>
      </c>
    </row>
    <row r="4486" spans="1:4">
      <c r="A4486" s="4" t="s">
        <v>387</v>
      </c>
      <c r="B4486" s="2">
        <v>1091016</v>
      </c>
      <c r="C4486" s="2" t="s">
        <v>246</v>
      </c>
      <c r="D4486" s="3">
        <v>50187</v>
      </c>
    </row>
    <row r="4487" spans="1:4">
      <c r="A4487" s="4" t="s">
        <v>387</v>
      </c>
      <c r="B4487" s="2">
        <v>1091017</v>
      </c>
      <c r="C4487" s="2" t="s">
        <v>247</v>
      </c>
      <c r="D4487" s="3">
        <v>74833</v>
      </c>
    </row>
    <row r="4488" spans="1:4">
      <c r="A4488" s="4" t="s">
        <v>387</v>
      </c>
      <c r="B4488" s="2">
        <v>1091018</v>
      </c>
      <c r="C4488" s="2" t="s">
        <v>248</v>
      </c>
      <c r="D4488" s="3">
        <v>33031</v>
      </c>
    </row>
    <row r="4489" spans="1:4">
      <c r="A4489" s="4" t="s">
        <v>387</v>
      </c>
      <c r="B4489" s="2">
        <v>1091019</v>
      </c>
      <c r="C4489" s="2" t="s">
        <v>249</v>
      </c>
      <c r="D4489" s="3">
        <v>53387</v>
      </c>
    </row>
    <row r="4490" spans="1:4">
      <c r="A4490" s="4" t="s">
        <v>387</v>
      </c>
      <c r="B4490" s="2">
        <v>1091020</v>
      </c>
      <c r="C4490" s="2" t="s">
        <v>250</v>
      </c>
      <c r="D4490" s="3">
        <v>100500</v>
      </c>
    </row>
    <row r="4491" spans="1:4">
      <c r="A4491" s="4" t="s">
        <v>387</v>
      </c>
      <c r="B4491" s="2">
        <v>1091021</v>
      </c>
      <c r="C4491" s="2" t="s">
        <v>251</v>
      </c>
      <c r="D4491" s="3">
        <v>50600</v>
      </c>
    </row>
    <row r="4492" spans="1:4">
      <c r="A4492" s="4" t="s">
        <v>387</v>
      </c>
      <c r="B4492" s="2">
        <v>1091022</v>
      </c>
      <c r="C4492" s="2" t="s">
        <v>252</v>
      </c>
      <c r="D4492" s="3">
        <v>3235</v>
      </c>
    </row>
    <row r="4493" spans="1:4">
      <c r="A4493" s="4" t="s">
        <v>387</v>
      </c>
      <c r="B4493" s="2">
        <v>1091023</v>
      </c>
      <c r="C4493" s="2" t="s">
        <v>253</v>
      </c>
      <c r="D4493" s="3">
        <v>4412</v>
      </c>
    </row>
    <row r="4494" spans="1:4">
      <c r="A4494" s="4" t="s">
        <v>387</v>
      </c>
      <c r="B4494" s="2">
        <v>1091024</v>
      </c>
      <c r="C4494" s="2" t="s">
        <v>254</v>
      </c>
      <c r="D4494" s="3">
        <v>3922</v>
      </c>
    </row>
    <row r="4495" spans="1:4">
      <c r="A4495" s="4" t="s">
        <v>387</v>
      </c>
      <c r="B4495" s="2">
        <v>1091025</v>
      </c>
      <c r="C4495" s="2" t="s">
        <v>255</v>
      </c>
      <c r="D4495" s="3">
        <v>6373</v>
      </c>
    </row>
    <row r="4496" spans="1:4">
      <c r="A4496" s="4" t="s">
        <v>387</v>
      </c>
      <c r="B4496" s="2">
        <v>1091026</v>
      </c>
      <c r="C4496" s="2" t="s">
        <v>256</v>
      </c>
      <c r="D4496" s="3">
        <v>30686</v>
      </c>
    </row>
    <row r="4497" spans="1:4">
      <c r="A4497" s="4" t="s">
        <v>387</v>
      </c>
      <c r="B4497" s="2">
        <v>1600101</v>
      </c>
      <c r="C4497" s="2" t="s">
        <v>188</v>
      </c>
      <c r="D4497" s="3">
        <v>2892</v>
      </c>
    </row>
    <row r="4498" spans="1:4">
      <c r="A4498" s="4" t="s">
        <v>387</v>
      </c>
      <c r="B4498" s="2">
        <v>1600102</v>
      </c>
      <c r="C4498" s="2" t="s">
        <v>257</v>
      </c>
      <c r="D4498" s="3">
        <v>26962</v>
      </c>
    </row>
    <row r="4499" spans="1:4">
      <c r="A4499" s="4" t="s">
        <v>387</v>
      </c>
      <c r="B4499" s="2">
        <v>1600103</v>
      </c>
      <c r="C4499" s="2" t="s">
        <v>258</v>
      </c>
      <c r="D4499" s="3">
        <v>19800</v>
      </c>
    </row>
    <row r="4500" spans="1:4">
      <c r="A4500" s="4" t="s">
        <v>387</v>
      </c>
      <c r="B4500" s="2">
        <v>1600104</v>
      </c>
      <c r="C4500" s="2" t="s">
        <v>259</v>
      </c>
      <c r="D4500" s="3">
        <v>75683</v>
      </c>
    </row>
    <row r="4501" spans="1:4">
      <c r="A4501" s="4" t="s">
        <v>387</v>
      </c>
      <c r="B4501" s="2">
        <v>1600105</v>
      </c>
      <c r="C4501" s="2" t="s">
        <v>260</v>
      </c>
      <c r="D4501" s="3">
        <v>83950</v>
      </c>
    </row>
    <row r="4502" spans="1:4">
      <c r="A4502" s="4" t="s">
        <v>387</v>
      </c>
      <c r="B4502" s="2">
        <v>1600106</v>
      </c>
      <c r="C4502" s="2" t="s">
        <v>261</v>
      </c>
      <c r="D4502" s="3">
        <v>108071</v>
      </c>
    </row>
    <row r="4503" spans="1:4">
      <c r="A4503" s="4" t="s">
        <v>387</v>
      </c>
      <c r="B4503" s="2">
        <v>1600107</v>
      </c>
      <c r="C4503" s="2" t="s">
        <v>262</v>
      </c>
      <c r="D4503" s="3">
        <v>86601</v>
      </c>
    </row>
    <row r="4504" spans="1:4">
      <c r="A4504" s="4" t="s">
        <v>387</v>
      </c>
      <c r="B4504" s="2">
        <v>1600108</v>
      </c>
      <c r="C4504" s="2" t="s">
        <v>263</v>
      </c>
      <c r="D4504" s="3">
        <v>73810</v>
      </c>
    </row>
    <row r="4505" spans="1:4">
      <c r="A4505" s="4" t="s">
        <v>387</v>
      </c>
      <c r="B4505" s="2">
        <v>1600109</v>
      </c>
      <c r="C4505" s="2" t="s">
        <v>264</v>
      </c>
      <c r="D4505" s="3">
        <v>5882</v>
      </c>
    </row>
    <row r="4506" spans="1:4">
      <c r="A4506" s="4" t="s">
        <v>387</v>
      </c>
      <c r="B4506" s="2">
        <v>1600110</v>
      </c>
      <c r="C4506" s="2" t="s">
        <v>265</v>
      </c>
      <c r="D4506" s="3">
        <v>7917</v>
      </c>
    </row>
    <row r="4507" spans="1:4">
      <c r="A4507" s="4" t="s">
        <v>387</v>
      </c>
      <c r="B4507" s="2">
        <v>1600111</v>
      </c>
      <c r="C4507" s="2" t="s">
        <v>266</v>
      </c>
      <c r="D4507" s="3">
        <v>4360</v>
      </c>
    </row>
    <row r="4508" spans="1:4">
      <c r="A4508" s="4" t="s">
        <v>387</v>
      </c>
      <c r="B4508" s="2">
        <v>1600112</v>
      </c>
      <c r="C4508" s="2" t="s">
        <v>190</v>
      </c>
      <c r="D4508" s="3">
        <v>5300</v>
      </c>
    </row>
    <row r="4509" spans="1:4">
      <c r="A4509" s="4" t="s">
        <v>387</v>
      </c>
      <c r="B4509" s="2">
        <v>1600113</v>
      </c>
      <c r="C4509" s="2" t="s">
        <v>267</v>
      </c>
      <c r="D4509" s="3">
        <v>0</v>
      </c>
    </row>
    <row r="4510" spans="1:4">
      <c r="A4510" s="4" t="s">
        <v>387</v>
      </c>
      <c r="B4510" s="2">
        <v>1600114</v>
      </c>
      <c r="C4510" s="2" t="s">
        <v>268</v>
      </c>
      <c r="D4510" s="3">
        <v>13333</v>
      </c>
    </row>
    <row r="4511" spans="1:4">
      <c r="A4511" s="4" t="s">
        <v>387</v>
      </c>
      <c r="B4511" s="2">
        <v>1700001</v>
      </c>
      <c r="C4511" s="2" t="s">
        <v>269</v>
      </c>
      <c r="D4511" s="3">
        <v>5004</v>
      </c>
    </row>
    <row r="4512" spans="1:4">
      <c r="A4512" s="4" t="s">
        <v>387</v>
      </c>
      <c r="B4512" s="2">
        <v>1700002</v>
      </c>
      <c r="C4512" s="2" t="s">
        <v>270</v>
      </c>
      <c r="D4512" s="3">
        <v>3726</v>
      </c>
    </row>
    <row r="4513" spans="1:4">
      <c r="A4513" s="4" t="s">
        <v>387</v>
      </c>
      <c r="B4513" s="2">
        <v>1700003</v>
      </c>
      <c r="C4513" s="2" t="s">
        <v>271</v>
      </c>
      <c r="D4513" s="3">
        <v>4902</v>
      </c>
    </row>
    <row r="4514" spans="1:4">
      <c r="A4514" s="4" t="s">
        <v>387</v>
      </c>
      <c r="B4514" s="2">
        <v>1700004</v>
      </c>
      <c r="C4514" s="2" t="s">
        <v>272</v>
      </c>
      <c r="D4514" s="3">
        <v>15784</v>
      </c>
    </row>
    <row r="4515" spans="1:4">
      <c r="A4515" s="4" t="s">
        <v>387</v>
      </c>
      <c r="B4515" s="2">
        <v>1700005</v>
      </c>
      <c r="C4515" s="2" t="s">
        <v>192</v>
      </c>
      <c r="D4515" s="3">
        <v>1765</v>
      </c>
    </row>
    <row r="4516" spans="1:4">
      <c r="A4516" s="4" t="s">
        <v>387</v>
      </c>
      <c r="B4516" s="2">
        <v>1700006</v>
      </c>
      <c r="C4516" s="2" t="s">
        <v>273</v>
      </c>
      <c r="D4516" s="3">
        <v>7176</v>
      </c>
    </row>
    <row r="4517" spans="1:4">
      <c r="A4517" s="4" t="s">
        <v>387</v>
      </c>
      <c r="B4517" s="2">
        <v>1700007</v>
      </c>
      <c r="C4517" s="2" t="s">
        <v>274</v>
      </c>
      <c r="D4517" s="3">
        <v>0</v>
      </c>
    </row>
    <row r="4518" spans="1:4">
      <c r="A4518" s="4" t="s">
        <v>387</v>
      </c>
      <c r="B4518" s="2">
        <v>1700008</v>
      </c>
      <c r="C4518" s="2" t="s">
        <v>275</v>
      </c>
      <c r="D4518" s="3">
        <v>0</v>
      </c>
    </row>
    <row r="4519" spans="1:4">
      <c r="A4519" s="4" t="s">
        <v>387</v>
      </c>
      <c r="B4519" s="2">
        <v>1700009</v>
      </c>
      <c r="C4519" s="2" t="s">
        <v>276</v>
      </c>
      <c r="D4519" s="3">
        <v>0</v>
      </c>
    </row>
    <row r="4520" spans="1:4">
      <c r="A4520" s="4" t="s">
        <v>387</v>
      </c>
      <c r="B4520" s="2">
        <v>1700010</v>
      </c>
      <c r="C4520" s="2" t="s">
        <v>277</v>
      </c>
      <c r="D4520" s="3">
        <v>3990</v>
      </c>
    </row>
    <row r="4521" spans="1:4">
      <c r="A4521" s="4" t="s">
        <v>387</v>
      </c>
      <c r="B4521" s="2">
        <v>1700011</v>
      </c>
      <c r="C4521" s="2" t="s">
        <v>278</v>
      </c>
      <c r="D4521" s="3">
        <v>13235</v>
      </c>
    </row>
    <row r="4522" spans="1:4">
      <c r="A4522" s="4" t="s">
        <v>387</v>
      </c>
      <c r="B4522" s="2">
        <v>1700012</v>
      </c>
      <c r="C4522" s="2" t="s">
        <v>279</v>
      </c>
      <c r="D4522" s="3">
        <v>15980</v>
      </c>
    </row>
    <row r="4523" spans="1:4">
      <c r="A4523" s="4" t="s">
        <v>387</v>
      </c>
      <c r="B4523" s="2">
        <v>1700013</v>
      </c>
      <c r="C4523" s="2" t="s">
        <v>280</v>
      </c>
      <c r="D4523" s="3">
        <v>18137</v>
      </c>
    </row>
    <row r="4524" spans="1:4">
      <c r="A4524" s="4" t="s">
        <v>387</v>
      </c>
      <c r="B4524" s="2">
        <v>1700014</v>
      </c>
      <c r="C4524" s="2" t="s">
        <v>194</v>
      </c>
      <c r="D4524" s="3">
        <v>2300</v>
      </c>
    </row>
    <row r="4525" spans="1:4">
      <c r="A4525" s="4" t="s">
        <v>387</v>
      </c>
      <c r="B4525" s="2">
        <v>1700015</v>
      </c>
      <c r="C4525" s="2" t="s">
        <v>281</v>
      </c>
      <c r="D4525" s="3">
        <v>4940</v>
      </c>
    </row>
    <row r="4526" spans="1:4">
      <c r="A4526" s="4" t="s">
        <v>387</v>
      </c>
      <c r="B4526" s="2">
        <v>1700016</v>
      </c>
      <c r="C4526" s="2" t="s">
        <v>282</v>
      </c>
      <c r="D4526" s="3">
        <v>3092</v>
      </c>
    </row>
    <row r="4527" spans="1:4">
      <c r="A4527" s="4" t="s">
        <v>387</v>
      </c>
      <c r="B4527" s="2">
        <v>1700017</v>
      </c>
      <c r="C4527" s="2" t="s">
        <v>283</v>
      </c>
      <c r="D4527" s="3">
        <v>12608</v>
      </c>
    </row>
    <row r="4528" spans="1:4">
      <c r="A4528" s="4" t="s">
        <v>387</v>
      </c>
      <c r="B4528" s="2">
        <v>1700018</v>
      </c>
      <c r="C4528" s="2" t="s">
        <v>284</v>
      </c>
      <c r="D4528" s="3">
        <v>3984</v>
      </c>
    </row>
    <row r="4529" spans="1:4">
      <c r="A4529" s="4" t="s">
        <v>387</v>
      </c>
      <c r="B4529" s="2">
        <v>1700019</v>
      </c>
      <c r="C4529" s="2" t="s">
        <v>285</v>
      </c>
      <c r="D4529" s="3">
        <v>0</v>
      </c>
    </row>
    <row r="4530" spans="1:4">
      <c r="A4530" s="4" t="s">
        <v>387</v>
      </c>
      <c r="B4530" s="2">
        <v>1700020</v>
      </c>
      <c r="C4530" s="2" t="s">
        <v>286</v>
      </c>
      <c r="D4530" s="3">
        <v>58824</v>
      </c>
    </row>
    <row r="4531" spans="1:4">
      <c r="A4531" s="4" t="s">
        <v>387</v>
      </c>
      <c r="B4531" s="2">
        <v>1700021</v>
      </c>
      <c r="C4531" s="2" t="s">
        <v>287</v>
      </c>
      <c r="D4531" s="3">
        <v>90020</v>
      </c>
    </row>
    <row r="4532" spans="1:4">
      <c r="A4532" s="4" t="s">
        <v>387</v>
      </c>
      <c r="B4532" s="2">
        <v>1700022</v>
      </c>
      <c r="C4532" s="2" t="s">
        <v>288</v>
      </c>
      <c r="D4532" s="3">
        <v>35412</v>
      </c>
    </row>
    <row r="4533" spans="1:4">
      <c r="A4533" s="4" t="s">
        <v>387</v>
      </c>
      <c r="B4533" s="2">
        <v>1700023</v>
      </c>
      <c r="C4533" s="2" t="s">
        <v>289</v>
      </c>
      <c r="D4533" s="3">
        <v>8059</v>
      </c>
    </row>
    <row r="4534" spans="1:4">
      <c r="A4534" s="4" t="s">
        <v>387</v>
      </c>
      <c r="B4534" s="2">
        <v>1700024</v>
      </c>
      <c r="C4534" s="2" t="s">
        <v>290</v>
      </c>
      <c r="D4534" s="3">
        <v>3080</v>
      </c>
    </row>
    <row r="4535" spans="1:4">
      <c r="A4535" s="4" t="s">
        <v>387</v>
      </c>
      <c r="B4535" s="2">
        <v>1700025</v>
      </c>
      <c r="C4535" s="2" t="s">
        <v>291</v>
      </c>
      <c r="D4535" s="3">
        <v>1961</v>
      </c>
    </row>
    <row r="4536" spans="1:4">
      <c r="A4536" s="4" t="s">
        <v>387</v>
      </c>
      <c r="B4536" s="2">
        <v>1700026</v>
      </c>
      <c r="C4536" s="2" t="s">
        <v>292</v>
      </c>
      <c r="D4536" s="3">
        <v>3922</v>
      </c>
    </row>
    <row r="4537" spans="1:4">
      <c r="A4537" s="4" t="s">
        <v>387</v>
      </c>
      <c r="B4537" s="2">
        <v>1700027</v>
      </c>
      <c r="C4537" s="2" t="s">
        <v>293</v>
      </c>
      <c r="D4537" s="3">
        <v>4902</v>
      </c>
    </row>
    <row r="4538" spans="1:4">
      <c r="A4538" s="4" t="s">
        <v>387</v>
      </c>
      <c r="B4538" s="2">
        <v>1700028</v>
      </c>
      <c r="C4538" s="2" t="s">
        <v>294</v>
      </c>
      <c r="D4538" s="3">
        <v>9500</v>
      </c>
    </row>
    <row r="4539" spans="1:4">
      <c r="A4539" s="4" t="s">
        <v>387</v>
      </c>
      <c r="B4539" s="2">
        <v>1700029</v>
      </c>
      <c r="C4539" s="2" t="s">
        <v>295</v>
      </c>
      <c r="D4539" s="3">
        <v>10670</v>
      </c>
    </row>
    <row r="4540" spans="1:4">
      <c r="A4540" s="4" t="s">
        <v>387</v>
      </c>
      <c r="B4540" s="2">
        <v>1700030</v>
      </c>
      <c r="C4540" s="2" t="s">
        <v>296</v>
      </c>
      <c r="D4540" s="3">
        <v>12720</v>
      </c>
    </row>
    <row r="4541" spans="1:4">
      <c r="A4541" s="4" t="s">
        <v>387</v>
      </c>
      <c r="B4541" s="2">
        <v>1700031</v>
      </c>
      <c r="C4541" s="2" t="s">
        <v>196</v>
      </c>
      <c r="D4541" s="3">
        <v>2069</v>
      </c>
    </row>
    <row r="4542" spans="1:4">
      <c r="A4542" s="4" t="s">
        <v>387</v>
      </c>
      <c r="B4542" s="2">
        <v>1700032</v>
      </c>
      <c r="C4542" s="2" t="s">
        <v>297</v>
      </c>
      <c r="D4542" s="3">
        <v>0</v>
      </c>
    </row>
    <row r="4543" spans="1:4">
      <c r="A4543" s="4" t="s">
        <v>387</v>
      </c>
      <c r="B4543" s="2">
        <v>1700033</v>
      </c>
      <c r="C4543" s="2" t="s">
        <v>298</v>
      </c>
      <c r="D4543" s="3">
        <v>0</v>
      </c>
    </row>
    <row r="4544" spans="1:4">
      <c r="A4544" s="4" t="s">
        <v>387</v>
      </c>
      <c r="B4544" s="2">
        <v>1700034</v>
      </c>
      <c r="C4544" s="2" t="s">
        <v>299</v>
      </c>
      <c r="D4544" s="3">
        <v>18700</v>
      </c>
    </row>
    <row r="4545" spans="1:4">
      <c r="A4545" s="4" t="s">
        <v>387</v>
      </c>
      <c r="B4545" s="2">
        <v>1700035</v>
      </c>
      <c r="C4545" s="2" t="s">
        <v>300</v>
      </c>
      <c r="D4545" s="3">
        <v>34000</v>
      </c>
    </row>
    <row r="4546" spans="1:4">
      <c r="A4546" s="4" t="s">
        <v>387</v>
      </c>
      <c r="B4546" s="2">
        <v>1700036</v>
      </c>
      <c r="C4546" s="2" t="s">
        <v>301</v>
      </c>
      <c r="D4546" s="3">
        <v>5200</v>
      </c>
    </row>
    <row r="4547" spans="1:4">
      <c r="A4547" s="4" t="s">
        <v>387</v>
      </c>
      <c r="B4547" s="2">
        <v>1700037</v>
      </c>
      <c r="C4547" s="2" t="s">
        <v>302</v>
      </c>
      <c r="D4547" s="3">
        <v>7733</v>
      </c>
    </row>
    <row r="4548" spans="1:4">
      <c r="A4548" s="4" t="s">
        <v>387</v>
      </c>
      <c r="B4548" s="2">
        <v>1700038</v>
      </c>
      <c r="C4548" s="2" t="s">
        <v>303</v>
      </c>
      <c r="D4548" s="3">
        <v>1804</v>
      </c>
    </row>
    <row r="4549" spans="1:4">
      <c r="A4549" s="4" t="s">
        <v>387</v>
      </c>
      <c r="B4549" s="2">
        <v>1700039</v>
      </c>
      <c r="C4549" s="2" t="s">
        <v>304</v>
      </c>
      <c r="D4549" s="3">
        <v>4060</v>
      </c>
    </row>
    <row r="4550" spans="1:4">
      <c r="A4550" s="4" t="s">
        <v>387</v>
      </c>
      <c r="B4550" s="2">
        <v>1700040</v>
      </c>
      <c r="C4550" s="2" t="s">
        <v>305</v>
      </c>
      <c r="D4550" s="3">
        <v>1967</v>
      </c>
    </row>
    <row r="4551" spans="1:4">
      <c r="A4551" s="4" t="s">
        <v>387</v>
      </c>
      <c r="B4551" s="2">
        <v>1700041</v>
      </c>
      <c r="C4551" s="2" t="s">
        <v>306</v>
      </c>
      <c r="D4551" s="3">
        <v>3000</v>
      </c>
    </row>
    <row r="4552" spans="1:4">
      <c r="A4552" s="4" t="s">
        <v>387</v>
      </c>
      <c r="B4552" s="2">
        <v>1700042</v>
      </c>
      <c r="C4552" s="2" t="s">
        <v>307</v>
      </c>
      <c r="D4552" s="3">
        <v>3344</v>
      </c>
    </row>
    <row r="4553" spans="1:4">
      <c r="A4553" s="4" t="s">
        <v>387</v>
      </c>
      <c r="B4553" s="2">
        <v>1700043</v>
      </c>
      <c r="C4553" s="2" t="s">
        <v>308</v>
      </c>
      <c r="D4553" s="3">
        <v>6843</v>
      </c>
    </row>
    <row r="4554" spans="1:4">
      <c r="A4554" s="4" t="s">
        <v>387</v>
      </c>
      <c r="B4554" s="2">
        <v>1700044</v>
      </c>
      <c r="C4554" s="2" t="s">
        <v>309</v>
      </c>
      <c r="D4554" s="3">
        <v>6000</v>
      </c>
    </row>
    <row r="4555" spans="1:4">
      <c r="A4555" s="4" t="s">
        <v>387</v>
      </c>
      <c r="B4555" s="2">
        <v>1700045</v>
      </c>
      <c r="C4555" s="2" t="s">
        <v>310</v>
      </c>
      <c r="D4555" s="3">
        <v>4419</v>
      </c>
    </row>
    <row r="4556" spans="1:4">
      <c r="A4556" s="4" t="s">
        <v>387</v>
      </c>
      <c r="B4556" s="2">
        <v>1700046</v>
      </c>
      <c r="C4556" s="2" t="s">
        <v>311</v>
      </c>
      <c r="D4556" s="3">
        <v>6863</v>
      </c>
    </row>
    <row r="4557" spans="1:4">
      <c r="A4557" s="4" t="s">
        <v>387</v>
      </c>
      <c r="B4557" s="2">
        <v>1700047</v>
      </c>
      <c r="C4557" s="2" t="s">
        <v>312</v>
      </c>
      <c r="D4557" s="3">
        <v>23800</v>
      </c>
    </row>
    <row r="4558" spans="1:4">
      <c r="A4558" s="4" t="s">
        <v>387</v>
      </c>
      <c r="B4558" s="2">
        <v>1700048</v>
      </c>
      <c r="C4558" s="2" t="s">
        <v>313</v>
      </c>
      <c r="D4558" s="3">
        <v>13330</v>
      </c>
    </row>
    <row r="4559" spans="1:4">
      <c r="A4559" s="4" t="s">
        <v>387</v>
      </c>
      <c r="B4559" s="2">
        <v>1700049</v>
      </c>
      <c r="C4559" s="2" t="s">
        <v>314</v>
      </c>
      <c r="D4559" s="3">
        <v>4062</v>
      </c>
    </row>
    <row r="4560" spans="1:4">
      <c r="A4560" s="4" t="s">
        <v>387</v>
      </c>
      <c r="B4560" s="2">
        <v>1700050</v>
      </c>
      <c r="C4560" s="2" t="s">
        <v>315</v>
      </c>
      <c r="D4560" s="3">
        <v>39000</v>
      </c>
    </row>
    <row r="4561" spans="1:4">
      <c r="A4561" s="4" t="s">
        <v>387</v>
      </c>
      <c r="B4561" s="2">
        <v>1700051</v>
      </c>
      <c r="C4561" s="2" t="s">
        <v>316</v>
      </c>
      <c r="D4561" s="3">
        <v>11500</v>
      </c>
    </row>
    <row r="4562" spans="1:4">
      <c r="A4562" s="4" t="s">
        <v>387</v>
      </c>
      <c r="B4562" s="2">
        <v>1700052</v>
      </c>
      <c r="C4562" s="2" t="s">
        <v>317</v>
      </c>
      <c r="D4562" s="3">
        <v>3444</v>
      </c>
    </row>
    <row r="4563" spans="1:4">
      <c r="A4563" s="4" t="s">
        <v>387</v>
      </c>
      <c r="B4563" s="2">
        <v>1700053</v>
      </c>
      <c r="C4563" s="2" t="s">
        <v>318</v>
      </c>
      <c r="D4563" s="3">
        <v>15530</v>
      </c>
    </row>
    <row r="4564" spans="1:4">
      <c r="A4564" s="4" t="s">
        <v>387</v>
      </c>
      <c r="B4564" s="2">
        <v>1700054</v>
      </c>
      <c r="C4564" s="2" t="s">
        <v>319</v>
      </c>
      <c r="D4564" s="3">
        <v>11670</v>
      </c>
    </row>
    <row r="4565" spans="1:4">
      <c r="A4565" s="4" t="s">
        <v>387</v>
      </c>
      <c r="B4565" s="2">
        <v>1700055</v>
      </c>
      <c r="C4565" s="2" t="s">
        <v>320</v>
      </c>
      <c r="D4565" s="3">
        <v>11940</v>
      </c>
    </row>
    <row r="4566" spans="1:4">
      <c r="A4566" s="4" t="s">
        <v>387</v>
      </c>
      <c r="B4566" s="2">
        <v>1700056</v>
      </c>
      <c r="C4566" s="2" t="s">
        <v>321</v>
      </c>
      <c r="D4566" s="3">
        <v>6226</v>
      </c>
    </row>
    <row r="4567" spans="1:4">
      <c r="A4567" s="4" t="s">
        <v>387</v>
      </c>
      <c r="B4567" s="2">
        <v>1700057</v>
      </c>
      <c r="C4567" s="2" t="s">
        <v>322</v>
      </c>
      <c r="D4567" s="3">
        <v>2098</v>
      </c>
    </row>
    <row r="4568" spans="1:4">
      <c r="A4568" s="4" t="s">
        <v>387</v>
      </c>
      <c r="B4568" s="2">
        <v>1700058</v>
      </c>
      <c r="C4568" s="2" t="s">
        <v>323</v>
      </c>
      <c r="D4568" s="3">
        <v>5800</v>
      </c>
    </row>
    <row r="4569" spans="1:4">
      <c r="A4569" s="4" t="s">
        <v>387</v>
      </c>
      <c r="B4569" s="2">
        <v>1700059</v>
      </c>
      <c r="C4569" s="2" t="s">
        <v>324</v>
      </c>
      <c r="D4569" s="3">
        <v>27667</v>
      </c>
    </row>
    <row r="4570" spans="1:4">
      <c r="A4570" s="4" t="s">
        <v>387</v>
      </c>
      <c r="B4570" s="2">
        <v>1700060</v>
      </c>
      <c r="C4570" s="2" t="s">
        <v>325</v>
      </c>
      <c r="D4570" s="3">
        <v>3441</v>
      </c>
    </row>
    <row r="4571" spans="1:4">
      <c r="A4571" s="4" t="s">
        <v>387</v>
      </c>
      <c r="B4571" s="2">
        <v>1700061</v>
      </c>
      <c r="C4571" s="2" t="s">
        <v>326</v>
      </c>
      <c r="D4571" s="3">
        <v>8920</v>
      </c>
    </row>
    <row r="4572" spans="1:4">
      <c r="A4572" s="4" t="s">
        <v>387</v>
      </c>
      <c r="B4572" s="2">
        <v>1700062</v>
      </c>
      <c r="C4572" s="2" t="s">
        <v>327</v>
      </c>
      <c r="D4572" s="3">
        <v>10520</v>
      </c>
    </row>
    <row r="4573" spans="1:4">
      <c r="A4573" s="4" t="s">
        <v>387</v>
      </c>
      <c r="B4573" s="2">
        <v>1700063</v>
      </c>
      <c r="C4573" s="2" t="s">
        <v>328</v>
      </c>
      <c r="D4573" s="3">
        <v>10550</v>
      </c>
    </row>
    <row r="4574" spans="1:4">
      <c r="A4574" s="4" t="s">
        <v>387</v>
      </c>
      <c r="B4574" s="2">
        <v>1700064</v>
      </c>
      <c r="C4574" s="2" t="s">
        <v>329</v>
      </c>
      <c r="D4574" s="3">
        <v>11060</v>
      </c>
    </row>
    <row r="4575" spans="1:4">
      <c r="A4575" s="4" t="s">
        <v>387</v>
      </c>
      <c r="B4575" s="2">
        <v>1700065</v>
      </c>
      <c r="C4575" s="2" t="s">
        <v>330</v>
      </c>
      <c r="D4575" s="3">
        <v>12760</v>
      </c>
    </row>
    <row r="4576" spans="1:4">
      <c r="A4576" s="4" t="s">
        <v>387</v>
      </c>
      <c r="B4576" s="2">
        <v>1700066</v>
      </c>
      <c r="C4576" s="2" t="s">
        <v>331</v>
      </c>
      <c r="D4576" s="3">
        <v>13200</v>
      </c>
    </row>
    <row r="4577" spans="1:4">
      <c r="A4577" s="4" t="s">
        <v>387</v>
      </c>
      <c r="B4577" s="2">
        <v>1700067</v>
      </c>
      <c r="C4577" s="2" t="s">
        <v>332</v>
      </c>
      <c r="D4577" s="3">
        <v>10720</v>
      </c>
    </row>
    <row r="4578" spans="1:4">
      <c r="A4578" s="4" t="s">
        <v>387</v>
      </c>
      <c r="B4578" s="2">
        <v>1700068</v>
      </c>
      <c r="C4578" s="2" t="s">
        <v>333</v>
      </c>
      <c r="D4578" s="3">
        <v>12720</v>
      </c>
    </row>
    <row r="4579" spans="1:4">
      <c r="A4579" s="4" t="s">
        <v>387</v>
      </c>
      <c r="B4579" s="2">
        <v>1700069</v>
      </c>
      <c r="C4579" s="2" t="s">
        <v>334</v>
      </c>
      <c r="D4579" s="3">
        <v>14000</v>
      </c>
    </row>
    <row r="4580" spans="1:4">
      <c r="A4580" s="4" t="s">
        <v>387</v>
      </c>
      <c r="B4580" s="2">
        <v>1700070</v>
      </c>
      <c r="C4580" s="2" t="s">
        <v>335</v>
      </c>
      <c r="D4580" s="3">
        <v>1618</v>
      </c>
    </row>
    <row r="4581" spans="1:4">
      <c r="A4581" s="4" t="s">
        <v>387</v>
      </c>
      <c r="B4581" s="2">
        <v>1700071</v>
      </c>
      <c r="C4581" s="2" t="s">
        <v>336</v>
      </c>
      <c r="D4581" s="3">
        <v>12190</v>
      </c>
    </row>
    <row r="4582" spans="1:4">
      <c r="A4582" s="4" t="s">
        <v>387</v>
      </c>
      <c r="B4582" s="2">
        <v>1700072</v>
      </c>
      <c r="C4582" s="2" t="s">
        <v>337</v>
      </c>
      <c r="D4582" s="3">
        <v>10180</v>
      </c>
    </row>
    <row r="4583" spans="1:4">
      <c r="A4583" s="4" t="s">
        <v>387</v>
      </c>
      <c r="B4583" s="2">
        <v>1700073</v>
      </c>
      <c r="C4583" s="2" t="s">
        <v>338</v>
      </c>
      <c r="D4583" s="3">
        <v>9020</v>
      </c>
    </row>
    <row r="4584" spans="1:4">
      <c r="A4584" s="4" t="s">
        <v>387</v>
      </c>
      <c r="B4584" s="2">
        <v>1700076</v>
      </c>
      <c r="C4584" s="2" t="s">
        <v>339</v>
      </c>
      <c r="D4584" s="3">
        <v>2451</v>
      </c>
    </row>
    <row r="4585" spans="1:4">
      <c r="A4585" s="4" t="s">
        <v>387</v>
      </c>
      <c r="B4585" s="2">
        <v>1700077</v>
      </c>
      <c r="C4585" s="2" t="s">
        <v>340</v>
      </c>
      <c r="D4585" s="3">
        <v>2353</v>
      </c>
    </row>
    <row r="4586" spans="1:4">
      <c r="A4586" s="4" t="s">
        <v>387</v>
      </c>
      <c r="B4586" s="2">
        <v>1700078</v>
      </c>
      <c r="C4586" s="2" t="s">
        <v>341</v>
      </c>
      <c r="D4586" s="3">
        <v>4706</v>
      </c>
    </row>
    <row r="4587" spans="1:4">
      <c r="A4587" s="4" t="s">
        <v>387</v>
      </c>
      <c r="B4587" s="2">
        <v>1700080</v>
      </c>
      <c r="C4587" s="2" t="s">
        <v>342</v>
      </c>
      <c r="D4587" s="3">
        <v>3922</v>
      </c>
    </row>
    <row r="4588" spans="1:4">
      <c r="A4588" s="4" t="s">
        <v>387</v>
      </c>
      <c r="B4588" s="2">
        <v>1700083</v>
      </c>
      <c r="C4588" s="2" t="s">
        <v>343</v>
      </c>
      <c r="D4588" s="3">
        <v>8333</v>
      </c>
    </row>
    <row r="4589" spans="1:4">
      <c r="A4589" s="4" t="s">
        <v>387</v>
      </c>
      <c r="B4589" s="2">
        <v>1700084</v>
      </c>
      <c r="C4589" s="2" t="s">
        <v>344</v>
      </c>
      <c r="D4589" s="3">
        <v>6435</v>
      </c>
    </row>
    <row r="4590" spans="1:4">
      <c r="A4590" s="4" t="s">
        <v>387</v>
      </c>
      <c r="B4590" s="2">
        <v>1700085</v>
      </c>
      <c r="C4590" s="2" t="s">
        <v>345</v>
      </c>
      <c r="D4590" s="3">
        <v>8600</v>
      </c>
    </row>
    <row r="4591" spans="1:4">
      <c r="A4591" s="4" t="s">
        <v>387</v>
      </c>
      <c r="B4591" s="2">
        <v>1700086</v>
      </c>
      <c r="C4591" s="2" t="s">
        <v>346</v>
      </c>
      <c r="D4591" s="3">
        <v>2637</v>
      </c>
    </row>
    <row r="4592" spans="1:4">
      <c r="A4592" s="4" t="s">
        <v>387</v>
      </c>
      <c r="B4592" s="2">
        <v>1700087</v>
      </c>
      <c r="C4592" s="2" t="s">
        <v>347</v>
      </c>
      <c r="D4592" s="3">
        <v>4890</v>
      </c>
    </row>
    <row r="4593" spans="1:4">
      <c r="A4593" s="4" t="s">
        <v>387</v>
      </c>
      <c r="B4593" s="2">
        <v>1700088</v>
      </c>
      <c r="C4593" s="2" t="s">
        <v>348</v>
      </c>
      <c r="D4593" s="3">
        <v>15500</v>
      </c>
    </row>
    <row r="4594" spans="1:4">
      <c r="A4594" s="4" t="s">
        <v>387</v>
      </c>
      <c r="B4594" s="2">
        <v>1700089</v>
      </c>
      <c r="C4594" s="2" t="s">
        <v>349</v>
      </c>
      <c r="D4594" s="3">
        <v>18500</v>
      </c>
    </row>
    <row r="4595" spans="1:4">
      <c r="A4595" s="4" t="s">
        <v>387</v>
      </c>
      <c r="B4595" s="2">
        <v>1700090</v>
      </c>
      <c r="C4595" s="2" t="s">
        <v>350</v>
      </c>
      <c r="D4595" s="3">
        <v>32843</v>
      </c>
    </row>
    <row r="4596" spans="1:4">
      <c r="A4596" s="4" t="s">
        <v>387</v>
      </c>
      <c r="B4596" s="2">
        <v>1700091</v>
      </c>
      <c r="C4596" s="2" t="s">
        <v>351</v>
      </c>
      <c r="D4596" s="3">
        <v>18353</v>
      </c>
    </row>
    <row r="4597" spans="1:4">
      <c r="A4597" s="4" t="s">
        <v>387</v>
      </c>
      <c r="B4597" s="2">
        <v>1700092</v>
      </c>
      <c r="C4597" s="2" t="s">
        <v>352</v>
      </c>
      <c r="D4597" s="3">
        <v>1314</v>
      </c>
    </row>
    <row r="4598" spans="1:4">
      <c r="A4598" s="4" t="s">
        <v>387</v>
      </c>
      <c r="B4598" s="2">
        <v>1700093</v>
      </c>
      <c r="C4598" s="2" t="s">
        <v>353</v>
      </c>
      <c r="D4598" s="3">
        <v>12430</v>
      </c>
    </row>
    <row r="4599" spans="1:4">
      <c r="A4599" s="4" t="s">
        <v>387</v>
      </c>
      <c r="B4599" s="2">
        <v>1700094</v>
      </c>
      <c r="C4599" s="2" t="s">
        <v>354</v>
      </c>
      <c r="D4599" s="3">
        <v>14020</v>
      </c>
    </row>
    <row r="4600" spans="1:4">
      <c r="A4600" s="4" t="s">
        <v>387</v>
      </c>
      <c r="B4600" s="2">
        <v>1700095</v>
      </c>
      <c r="C4600" s="2" t="s">
        <v>355</v>
      </c>
      <c r="D4600" s="3">
        <v>4500</v>
      </c>
    </row>
    <row r="4601" spans="1:4">
      <c r="A4601" s="4" t="s">
        <v>387</v>
      </c>
      <c r="B4601" s="2">
        <v>1700096</v>
      </c>
      <c r="C4601" s="2" t="s">
        <v>356</v>
      </c>
      <c r="D4601" s="3">
        <v>24510</v>
      </c>
    </row>
    <row r="4602" spans="1:4">
      <c r="A4602" s="4" t="s">
        <v>387</v>
      </c>
      <c r="B4602" s="2">
        <v>1700097</v>
      </c>
      <c r="C4602" s="2" t="s">
        <v>357</v>
      </c>
      <c r="D4602" s="3">
        <v>19608</v>
      </c>
    </row>
    <row r="4603" spans="1:4">
      <c r="A4603" s="4" t="s">
        <v>387</v>
      </c>
      <c r="B4603" s="2">
        <v>1700098</v>
      </c>
      <c r="C4603" s="2" t="s">
        <v>358</v>
      </c>
      <c r="D4603" s="3">
        <v>19608</v>
      </c>
    </row>
    <row r="4604" spans="1:4">
      <c r="A4604" s="4" t="s">
        <v>387</v>
      </c>
      <c r="B4604" s="2">
        <v>1700099</v>
      </c>
      <c r="C4604" s="2" t="s">
        <v>359</v>
      </c>
      <c r="D4604" s="3">
        <v>9833</v>
      </c>
    </row>
    <row r="4605" spans="1:4">
      <c r="A4605" s="4" t="s">
        <v>387</v>
      </c>
      <c r="B4605" s="2">
        <v>1700100</v>
      </c>
      <c r="C4605" s="2" t="s">
        <v>360</v>
      </c>
      <c r="D4605" s="3">
        <v>4160</v>
      </c>
    </row>
    <row r="4606" spans="1:4">
      <c r="A4606" s="4" t="s">
        <v>387</v>
      </c>
      <c r="B4606" s="2">
        <v>1700101</v>
      </c>
      <c r="C4606" s="2" t="s">
        <v>361</v>
      </c>
      <c r="D4606" s="3">
        <v>7647</v>
      </c>
    </row>
    <row r="4607" spans="1:4">
      <c r="A4607" s="4" t="s">
        <v>387</v>
      </c>
      <c r="B4607" s="2">
        <v>1700102</v>
      </c>
      <c r="C4607" s="2" t="s">
        <v>362</v>
      </c>
      <c r="D4607" s="3">
        <v>40196</v>
      </c>
    </row>
    <row r="4608" spans="1:4">
      <c r="A4608" s="4" t="s">
        <v>387</v>
      </c>
      <c r="B4608" s="2">
        <v>1700103</v>
      </c>
      <c r="C4608" s="2" t="s">
        <v>363</v>
      </c>
      <c r="D4608" s="3">
        <v>9000</v>
      </c>
    </row>
    <row r="4609" spans="1:4">
      <c r="A4609" s="4" t="s">
        <v>387</v>
      </c>
      <c r="B4609" s="2">
        <v>1700104</v>
      </c>
      <c r="C4609" s="2" t="s">
        <v>364</v>
      </c>
      <c r="D4609" s="3">
        <v>25000</v>
      </c>
    </row>
    <row r="4610" spans="1:4">
      <c r="A4610" s="4" t="s">
        <v>387</v>
      </c>
      <c r="B4610" s="2">
        <v>1700105</v>
      </c>
      <c r="C4610" s="2" t="s">
        <v>365</v>
      </c>
      <c r="D4610" s="3">
        <v>10588</v>
      </c>
    </row>
    <row r="4611" spans="1:4">
      <c r="A4611" s="4" t="s">
        <v>387</v>
      </c>
      <c r="B4611" s="2">
        <v>1700106</v>
      </c>
      <c r="C4611" s="2" t="s">
        <v>366</v>
      </c>
      <c r="D4611" s="3">
        <v>14020</v>
      </c>
    </row>
    <row r="4612" spans="1:4">
      <c r="A4612" s="4" t="s">
        <v>387</v>
      </c>
      <c r="B4612" s="2">
        <v>1700107</v>
      </c>
      <c r="C4612" s="2" t="s">
        <v>367</v>
      </c>
      <c r="D4612" s="3">
        <v>9020</v>
      </c>
    </row>
    <row r="4613" spans="1:4">
      <c r="A4613" s="4" t="s">
        <v>387</v>
      </c>
      <c r="B4613" s="2">
        <v>1800002</v>
      </c>
      <c r="C4613" s="2" t="s">
        <v>368</v>
      </c>
      <c r="D4613" s="3">
        <v>9520</v>
      </c>
    </row>
    <row r="4614" spans="1:4">
      <c r="A4614" s="4" t="s">
        <v>387</v>
      </c>
      <c r="B4614" s="2">
        <v>1800004</v>
      </c>
      <c r="C4614" s="2" t="s">
        <v>369</v>
      </c>
      <c r="D4614" s="3">
        <v>0</v>
      </c>
    </row>
    <row r="4615" spans="1:4">
      <c r="A4615" s="4" t="s">
        <v>387</v>
      </c>
      <c r="B4615" s="2">
        <v>1800005</v>
      </c>
      <c r="C4615" s="2" t="s">
        <v>370</v>
      </c>
      <c r="D4615" s="3">
        <v>0</v>
      </c>
    </row>
    <row r="4616" spans="1:4">
      <c r="A4616" s="4" t="s">
        <v>387</v>
      </c>
      <c r="B4616" s="2">
        <v>1800006</v>
      </c>
      <c r="C4616" s="2" t="s">
        <v>371</v>
      </c>
      <c r="D4616" s="3">
        <v>0</v>
      </c>
    </row>
    <row r="4617" spans="1:4">
      <c r="A4617" s="4" t="s">
        <v>387</v>
      </c>
      <c r="B4617" s="2">
        <v>1800007</v>
      </c>
      <c r="C4617" s="2" t="s">
        <v>372</v>
      </c>
      <c r="D4617" s="3">
        <v>10000</v>
      </c>
    </row>
    <row r="4618" spans="1:4">
      <c r="A4618" s="4" t="s">
        <v>387</v>
      </c>
      <c r="B4618" s="2">
        <v>1800008</v>
      </c>
      <c r="C4618" s="2" t="s">
        <v>373</v>
      </c>
      <c r="D4618" s="3">
        <v>10230</v>
      </c>
    </row>
    <row r="4619" spans="1:4">
      <c r="A4619" s="4" t="s">
        <v>387</v>
      </c>
      <c r="B4619" s="2">
        <v>1800009</v>
      </c>
      <c r="C4619" s="2" t="s">
        <v>374</v>
      </c>
      <c r="D4619" s="3">
        <v>11800</v>
      </c>
    </row>
    <row r="4620" spans="1:4">
      <c r="A4620" s="4" t="s">
        <v>387</v>
      </c>
      <c r="B4620" s="2">
        <v>1800010</v>
      </c>
      <c r="C4620" s="2" t="s">
        <v>375</v>
      </c>
      <c r="D4620" s="3">
        <v>6863</v>
      </c>
    </row>
    <row r="4621" spans="1:4">
      <c r="A4621" s="4" t="s">
        <v>387</v>
      </c>
      <c r="B4621" s="2">
        <v>1800011</v>
      </c>
      <c r="C4621" s="2" t="s">
        <v>376</v>
      </c>
      <c r="D4621" s="3">
        <v>13235</v>
      </c>
    </row>
    <row r="4622" spans="1:4">
      <c r="A4622" s="4" t="s">
        <v>387</v>
      </c>
      <c r="B4622" s="2">
        <v>1800012</v>
      </c>
      <c r="C4622" s="2" t="s">
        <v>377</v>
      </c>
      <c r="D4622" s="3">
        <v>8235</v>
      </c>
    </row>
    <row r="4623" spans="1:4">
      <c r="A4623" s="4" t="s">
        <v>387</v>
      </c>
      <c r="B4623" s="2">
        <v>1800013</v>
      </c>
      <c r="C4623" s="2" t="s">
        <v>378</v>
      </c>
      <c r="D4623" s="3">
        <v>49100</v>
      </c>
    </row>
    <row r="4624" spans="1:4">
      <c r="A4624" s="4" t="s">
        <v>387</v>
      </c>
      <c r="B4624" s="2">
        <v>1800014</v>
      </c>
      <c r="C4624" s="2" t="s">
        <v>379</v>
      </c>
      <c r="D4624" s="3">
        <v>70000</v>
      </c>
    </row>
    <row r="4625" spans="1:5">
      <c r="A4625" s="4" t="s">
        <v>387</v>
      </c>
      <c r="B4625" s="2">
        <v>1800015</v>
      </c>
      <c r="C4625" s="2" t="s">
        <v>380</v>
      </c>
      <c r="D4625" s="3">
        <v>66700</v>
      </c>
    </row>
    <row r="4626" spans="1:5">
      <c r="A4626" s="4" t="s">
        <v>387</v>
      </c>
      <c r="B4626" s="2">
        <v>1900013</v>
      </c>
      <c r="C4626" s="2" t="s">
        <v>381</v>
      </c>
      <c r="D4626" s="3">
        <v>0</v>
      </c>
    </row>
    <row r="4627" spans="1:5">
      <c r="A4627" s="4" t="s">
        <v>387</v>
      </c>
      <c r="B4627" s="2">
        <v>1900018</v>
      </c>
      <c r="C4627" s="2" t="s">
        <v>382</v>
      </c>
      <c r="D4627" s="3">
        <v>0</v>
      </c>
    </row>
    <row r="4628" spans="1:5">
      <c r="A4628" s="4" t="s">
        <v>388</v>
      </c>
      <c r="B4628" s="2">
        <v>1010101</v>
      </c>
      <c r="C4628" s="2" t="s">
        <v>5</v>
      </c>
      <c r="D4628" s="3">
        <v>701</v>
      </c>
    </row>
    <row r="4629" spans="1:5">
      <c r="A4629" s="4" t="s">
        <v>388</v>
      </c>
      <c r="B4629" s="2">
        <v>1010111</v>
      </c>
      <c r="C4629" s="2" t="s">
        <v>9</v>
      </c>
      <c r="D4629" s="3">
        <v>19100</v>
      </c>
      <c r="E4629" s="15"/>
    </row>
    <row r="4630" spans="1:5">
      <c r="A4630" s="4" t="s">
        <v>388</v>
      </c>
      <c r="B4630" s="2">
        <v>1010201</v>
      </c>
      <c r="C4630" s="2" t="s">
        <v>11</v>
      </c>
      <c r="D4630" s="3">
        <v>1373</v>
      </c>
      <c r="E4630" s="15"/>
    </row>
    <row r="4631" spans="1:5">
      <c r="A4631" s="4" t="s">
        <v>388</v>
      </c>
      <c r="B4631" s="2">
        <v>1010300</v>
      </c>
      <c r="C4631" s="2" t="s">
        <v>213</v>
      </c>
      <c r="D4631" s="3">
        <v>9608</v>
      </c>
      <c r="E4631" s="15"/>
    </row>
    <row r="4632" spans="1:5">
      <c r="A4632" s="4" t="s">
        <v>388</v>
      </c>
      <c r="B4632" s="2">
        <v>1010301</v>
      </c>
      <c r="C4632" s="2" t="s">
        <v>214</v>
      </c>
      <c r="D4632" s="3">
        <v>6373</v>
      </c>
      <c r="E4632" s="15"/>
    </row>
    <row r="4633" spans="1:5">
      <c r="A4633" s="4" t="s">
        <v>388</v>
      </c>
      <c r="B4633" s="2">
        <v>1010302</v>
      </c>
      <c r="C4633" s="2" t="s">
        <v>16</v>
      </c>
      <c r="D4633" s="3">
        <v>4314</v>
      </c>
      <c r="E4633" s="15"/>
    </row>
    <row r="4634" spans="1:5">
      <c r="A4634" s="4" t="s">
        <v>388</v>
      </c>
      <c r="B4634" s="2">
        <v>1010303</v>
      </c>
      <c r="C4634" s="2" t="s">
        <v>18</v>
      </c>
      <c r="D4634" s="3">
        <v>882</v>
      </c>
    </row>
    <row r="4635" spans="1:5">
      <c r="A4635" s="4" t="s">
        <v>388</v>
      </c>
      <c r="B4635" s="2">
        <v>1010304</v>
      </c>
      <c r="C4635" s="2" t="s">
        <v>215</v>
      </c>
      <c r="D4635" s="3">
        <v>1422</v>
      </c>
      <c r="E4635" s="15"/>
    </row>
    <row r="4636" spans="1:5">
      <c r="A4636" s="4" t="s">
        <v>388</v>
      </c>
      <c r="B4636" s="2">
        <v>1010401</v>
      </c>
      <c r="C4636" s="2" t="s">
        <v>20</v>
      </c>
      <c r="D4636" s="3">
        <v>3627</v>
      </c>
      <c r="E4636" s="15"/>
    </row>
    <row r="4637" spans="1:5">
      <c r="A4637" s="4" t="s">
        <v>388</v>
      </c>
      <c r="B4637" s="2">
        <v>1010405</v>
      </c>
      <c r="C4637" s="2" t="s">
        <v>22</v>
      </c>
      <c r="D4637" s="3">
        <v>9975</v>
      </c>
      <c r="E4637" s="15"/>
    </row>
    <row r="4638" spans="1:5">
      <c r="A4638" s="4" t="s">
        <v>388</v>
      </c>
      <c r="B4638" s="2">
        <v>1010501</v>
      </c>
      <c r="C4638" s="2" t="s">
        <v>24</v>
      </c>
      <c r="D4638" s="3">
        <v>980</v>
      </c>
    </row>
    <row r="4639" spans="1:5">
      <c r="A4639" s="4" t="s">
        <v>388</v>
      </c>
      <c r="B4639" s="2">
        <v>1010502</v>
      </c>
      <c r="C4639" s="2" t="s">
        <v>216</v>
      </c>
      <c r="D4639" s="3">
        <v>0</v>
      </c>
    </row>
    <row r="4640" spans="1:5">
      <c r="A4640" s="4" t="s">
        <v>388</v>
      </c>
      <c r="B4640" s="2">
        <v>1010601</v>
      </c>
      <c r="C4640" s="2" t="s">
        <v>26</v>
      </c>
      <c r="D4640" s="3">
        <v>4902</v>
      </c>
      <c r="E4640" s="15"/>
    </row>
    <row r="4641" spans="1:5">
      <c r="A4641" s="4" t="s">
        <v>388</v>
      </c>
      <c r="B4641" s="2">
        <v>1010701</v>
      </c>
      <c r="C4641" s="2" t="s">
        <v>28</v>
      </c>
      <c r="D4641" s="3">
        <v>686</v>
      </c>
    </row>
    <row r="4642" spans="1:5">
      <c r="A4642" s="4" t="s">
        <v>388</v>
      </c>
      <c r="B4642" s="2">
        <v>1010801</v>
      </c>
      <c r="C4642" s="2" t="s">
        <v>30</v>
      </c>
      <c r="D4642" s="3">
        <v>9449</v>
      </c>
      <c r="E4642" s="15"/>
    </row>
    <row r="4643" spans="1:5">
      <c r="A4643" s="4" t="s">
        <v>388</v>
      </c>
      <c r="B4643" s="2">
        <v>1010901</v>
      </c>
      <c r="C4643" s="2" t="s">
        <v>32</v>
      </c>
      <c r="D4643" s="3">
        <v>4804</v>
      </c>
      <c r="E4643" s="15"/>
    </row>
    <row r="4644" spans="1:5">
      <c r="A4644" s="4" t="s">
        <v>388</v>
      </c>
      <c r="B4644" s="2">
        <v>1020101</v>
      </c>
      <c r="C4644" s="2" t="s">
        <v>34</v>
      </c>
      <c r="D4644" s="3">
        <v>11667</v>
      </c>
      <c r="E4644" s="15"/>
    </row>
    <row r="4645" spans="1:5">
      <c r="A4645" s="4" t="s">
        <v>388</v>
      </c>
      <c r="B4645" s="2">
        <v>1020201</v>
      </c>
      <c r="C4645" s="2" t="s">
        <v>217</v>
      </c>
      <c r="D4645" s="3">
        <v>5600</v>
      </c>
      <c r="E4645" s="15"/>
    </row>
    <row r="4646" spans="1:5">
      <c r="A4646" s="4" t="s">
        <v>388</v>
      </c>
      <c r="B4646" s="2">
        <v>1020301</v>
      </c>
      <c r="C4646" s="2" t="s">
        <v>38</v>
      </c>
      <c r="D4646" s="3">
        <v>2575</v>
      </c>
      <c r="E4646" s="15"/>
    </row>
    <row r="4647" spans="1:5">
      <c r="A4647" s="4" t="s">
        <v>388</v>
      </c>
      <c r="B4647" s="2">
        <v>1020401</v>
      </c>
      <c r="C4647" s="2" t="s">
        <v>40</v>
      </c>
      <c r="D4647" s="3">
        <v>3400</v>
      </c>
      <c r="E4647" s="15"/>
    </row>
    <row r="4648" spans="1:5">
      <c r="A4648" s="4" t="s">
        <v>388</v>
      </c>
      <c r="B4648" s="2">
        <v>1030102</v>
      </c>
      <c r="C4648" s="2" t="s">
        <v>218</v>
      </c>
      <c r="D4648" s="3">
        <v>0</v>
      </c>
    </row>
    <row r="4649" spans="1:5">
      <c r="A4649" s="4" t="s">
        <v>388</v>
      </c>
      <c r="B4649" s="2">
        <v>1030201</v>
      </c>
      <c r="C4649" s="2" t="s">
        <v>42</v>
      </c>
      <c r="D4649" s="3">
        <v>2843</v>
      </c>
      <c r="E4649" s="15"/>
    </row>
    <row r="4650" spans="1:5">
      <c r="A4650" s="4" t="s">
        <v>388</v>
      </c>
      <c r="B4650" s="2">
        <v>1030203</v>
      </c>
      <c r="C4650" s="2" t="s">
        <v>219</v>
      </c>
      <c r="D4650" s="3">
        <v>0</v>
      </c>
    </row>
    <row r="4651" spans="1:5">
      <c r="A4651" s="4" t="s">
        <v>388</v>
      </c>
      <c r="B4651" s="2">
        <v>1030204</v>
      </c>
      <c r="C4651" s="2" t="s">
        <v>220</v>
      </c>
      <c r="D4651" s="3">
        <v>0</v>
      </c>
    </row>
    <row r="4652" spans="1:5">
      <c r="A4652" s="4" t="s">
        <v>388</v>
      </c>
      <c r="B4652" s="2">
        <v>1030205</v>
      </c>
      <c r="C4652" s="2" t="s">
        <v>44</v>
      </c>
      <c r="D4652" s="3">
        <v>5000</v>
      </c>
      <c r="E4652" s="15"/>
    </row>
    <row r="4653" spans="1:5">
      <c r="A4653" s="4" t="s">
        <v>388</v>
      </c>
      <c r="B4653" s="2">
        <v>1030206</v>
      </c>
      <c r="C4653" s="2" t="s">
        <v>46</v>
      </c>
      <c r="D4653" s="3">
        <v>6200</v>
      </c>
      <c r="E4653" s="15"/>
    </row>
    <row r="4654" spans="1:5">
      <c r="A4654" s="4" t="s">
        <v>388</v>
      </c>
      <c r="B4654" s="2">
        <v>1030207</v>
      </c>
      <c r="C4654" s="2" t="s">
        <v>48</v>
      </c>
      <c r="D4654" s="3">
        <v>4600</v>
      </c>
      <c r="E4654" s="15"/>
    </row>
    <row r="4655" spans="1:5">
      <c r="A4655" s="4" t="s">
        <v>388</v>
      </c>
      <c r="B4655" s="2">
        <v>1030501</v>
      </c>
      <c r="C4655" s="2" t="s">
        <v>50</v>
      </c>
      <c r="D4655" s="3">
        <v>1127</v>
      </c>
      <c r="E4655" s="15"/>
    </row>
    <row r="4656" spans="1:5">
      <c r="A4656" s="4" t="s">
        <v>388</v>
      </c>
      <c r="B4656" s="2">
        <v>1030601</v>
      </c>
      <c r="C4656" s="2" t="s">
        <v>52</v>
      </c>
      <c r="D4656" s="3">
        <v>3000</v>
      </c>
      <c r="E4656" s="15"/>
    </row>
    <row r="4657" spans="1:5">
      <c r="A4657" s="4" t="s">
        <v>388</v>
      </c>
      <c r="B4657" s="2">
        <v>1030701</v>
      </c>
      <c r="C4657" s="2" t="s">
        <v>221</v>
      </c>
      <c r="D4657" s="3">
        <v>3000</v>
      </c>
      <c r="E4657" s="15"/>
    </row>
    <row r="4658" spans="1:5">
      <c r="A4658" s="4" t="s">
        <v>388</v>
      </c>
      <c r="B4658" s="2">
        <v>1030705</v>
      </c>
      <c r="C4658" s="2" t="s">
        <v>222</v>
      </c>
      <c r="D4658" s="3">
        <v>0</v>
      </c>
    </row>
    <row r="4659" spans="1:5">
      <c r="A4659" s="4" t="s">
        <v>388</v>
      </c>
      <c r="B4659" s="2">
        <v>1030801</v>
      </c>
      <c r="C4659" s="2" t="s">
        <v>54</v>
      </c>
      <c r="D4659" s="3">
        <v>1176</v>
      </c>
      <c r="E4659" s="15"/>
    </row>
    <row r="4660" spans="1:5">
      <c r="A4660" s="4" t="s">
        <v>388</v>
      </c>
      <c r="B4660" s="2">
        <v>1030901</v>
      </c>
      <c r="C4660" s="2" t="s">
        <v>223</v>
      </c>
      <c r="D4660" s="3">
        <v>0</v>
      </c>
    </row>
    <row r="4661" spans="1:5">
      <c r="A4661" s="4" t="s">
        <v>388</v>
      </c>
      <c r="B4661" s="2">
        <v>1040201</v>
      </c>
      <c r="C4661" s="2" t="s">
        <v>56</v>
      </c>
      <c r="D4661" s="3">
        <v>1450</v>
      </c>
      <c r="E4661" s="15"/>
    </row>
    <row r="4662" spans="1:5">
      <c r="A4662" s="4" t="s">
        <v>388</v>
      </c>
      <c r="B4662" s="2">
        <v>1040202</v>
      </c>
      <c r="C4662" s="2" t="s">
        <v>224</v>
      </c>
      <c r="D4662" s="3">
        <v>0</v>
      </c>
    </row>
    <row r="4663" spans="1:5">
      <c r="A4663" s="4" t="s">
        <v>388</v>
      </c>
      <c r="B4663" s="2">
        <v>1040203</v>
      </c>
      <c r="C4663" s="2" t="s">
        <v>225</v>
      </c>
      <c r="D4663" s="3">
        <v>0</v>
      </c>
    </row>
    <row r="4664" spans="1:5">
      <c r="A4664" s="4" t="s">
        <v>388</v>
      </c>
      <c r="B4664" s="2">
        <v>1040204</v>
      </c>
      <c r="C4664" s="2" t="s">
        <v>226</v>
      </c>
      <c r="D4664" s="3">
        <v>8583</v>
      </c>
      <c r="E4664" s="15"/>
    </row>
    <row r="4665" spans="1:5">
      <c r="A4665" s="4" t="s">
        <v>388</v>
      </c>
      <c r="B4665" s="2">
        <v>1040301</v>
      </c>
      <c r="C4665" s="2" t="s">
        <v>58</v>
      </c>
      <c r="D4665" s="3">
        <v>1617</v>
      </c>
      <c r="E4665" s="15"/>
    </row>
    <row r="4666" spans="1:5">
      <c r="A4666" s="4" t="s">
        <v>388</v>
      </c>
      <c r="B4666" s="2">
        <v>1040401</v>
      </c>
      <c r="C4666" s="2" t="s">
        <v>227</v>
      </c>
      <c r="D4666" s="3">
        <v>3350</v>
      </c>
      <c r="E4666" s="15"/>
    </row>
    <row r="4667" spans="1:5">
      <c r="A4667" s="4" t="s">
        <v>388</v>
      </c>
      <c r="B4667" s="2">
        <v>1050102</v>
      </c>
      <c r="C4667" s="2" t="s">
        <v>60</v>
      </c>
      <c r="D4667" s="3">
        <v>31000</v>
      </c>
      <c r="E4667" s="15"/>
    </row>
    <row r="4668" spans="1:5">
      <c r="A4668" s="4" t="s">
        <v>388</v>
      </c>
      <c r="B4668" s="2">
        <v>1050103</v>
      </c>
      <c r="C4668" s="2" t="s">
        <v>228</v>
      </c>
      <c r="D4668" s="3">
        <v>11275</v>
      </c>
      <c r="E4668" s="15"/>
    </row>
    <row r="4669" spans="1:5">
      <c r="A4669" s="4" t="s">
        <v>388</v>
      </c>
      <c r="B4669" s="2">
        <v>1050301</v>
      </c>
      <c r="C4669" s="2" t="s">
        <v>62</v>
      </c>
      <c r="D4669" s="3">
        <v>9804</v>
      </c>
      <c r="E4669" s="15"/>
    </row>
    <row r="4670" spans="1:5">
      <c r="A4670" s="4" t="s">
        <v>388</v>
      </c>
      <c r="B4670" s="2">
        <v>1050401</v>
      </c>
      <c r="C4670" s="2" t="s">
        <v>64</v>
      </c>
      <c r="D4670" s="3">
        <v>8824</v>
      </c>
      <c r="E4670" s="15"/>
    </row>
    <row r="4671" spans="1:5">
      <c r="A4671" s="4" t="s">
        <v>388</v>
      </c>
      <c r="B4671" s="2">
        <v>1050501</v>
      </c>
      <c r="C4671" s="2" t="s">
        <v>66</v>
      </c>
      <c r="D4671" s="3">
        <v>10784</v>
      </c>
      <c r="E4671" s="15"/>
    </row>
    <row r="4672" spans="1:5">
      <c r="A4672" s="4" t="s">
        <v>388</v>
      </c>
      <c r="B4672" s="2">
        <v>1050511</v>
      </c>
      <c r="C4672" s="2" t="s">
        <v>68</v>
      </c>
      <c r="D4672" s="3">
        <v>17647</v>
      </c>
      <c r="E4672" s="15"/>
    </row>
    <row r="4673" spans="1:5">
      <c r="A4673" s="4" t="s">
        <v>388</v>
      </c>
      <c r="B4673" s="2">
        <v>1050512</v>
      </c>
      <c r="C4673" s="2" t="s">
        <v>229</v>
      </c>
      <c r="D4673" s="3">
        <v>0</v>
      </c>
    </row>
    <row r="4674" spans="1:5">
      <c r="A4674" s="4" t="s">
        <v>388</v>
      </c>
      <c r="B4674" s="2">
        <v>1050521</v>
      </c>
      <c r="C4674" s="2" t="s">
        <v>70</v>
      </c>
      <c r="D4674" s="3">
        <v>14706</v>
      </c>
      <c r="E4674" s="15"/>
    </row>
    <row r="4675" spans="1:5">
      <c r="A4675" s="4" t="s">
        <v>388</v>
      </c>
      <c r="B4675" s="2">
        <v>1050531</v>
      </c>
      <c r="C4675" s="2" t="s">
        <v>72</v>
      </c>
      <c r="D4675" s="3">
        <v>21000</v>
      </c>
      <c r="E4675" s="15"/>
    </row>
    <row r="4676" spans="1:5">
      <c r="A4676" s="4" t="s">
        <v>388</v>
      </c>
      <c r="B4676" s="2">
        <v>1050541</v>
      </c>
      <c r="C4676" s="2" t="s">
        <v>74</v>
      </c>
      <c r="D4676" s="3">
        <v>11000</v>
      </c>
      <c r="E4676" s="15"/>
    </row>
    <row r="4677" spans="1:5">
      <c r="A4677" s="4" t="s">
        <v>388</v>
      </c>
      <c r="B4677" s="2">
        <v>1050551</v>
      </c>
      <c r="C4677" s="2" t="s">
        <v>76</v>
      </c>
      <c r="D4677" s="3">
        <v>54000</v>
      </c>
      <c r="E4677" s="15"/>
    </row>
    <row r="4678" spans="1:5">
      <c r="A4678" s="4" t="s">
        <v>388</v>
      </c>
      <c r="B4678" s="2">
        <v>1050561</v>
      </c>
      <c r="C4678" s="2" t="s">
        <v>78</v>
      </c>
      <c r="D4678" s="3">
        <v>77321</v>
      </c>
      <c r="E4678" s="15"/>
    </row>
    <row r="4679" spans="1:5">
      <c r="A4679" s="4" t="s">
        <v>388</v>
      </c>
      <c r="B4679" s="2">
        <v>1050571</v>
      </c>
      <c r="C4679" s="2" t="s">
        <v>80</v>
      </c>
      <c r="D4679" s="3">
        <v>58000</v>
      </c>
      <c r="E4679" s="15"/>
    </row>
    <row r="4680" spans="1:5">
      <c r="A4680" s="4" t="s">
        <v>388</v>
      </c>
      <c r="B4680" s="2">
        <v>1050581</v>
      </c>
      <c r="C4680" s="2" t="s">
        <v>82</v>
      </c>
      <c r="D4680" s="3">
        <v>60760</v>
      </c>
      <c r="E4680" s="15"/>
    </row>
    <row r="4681" spans="1:5">
      <c r="A4681" s="4" t="s">
        <v>388</v>
      </c>
      <c r="B4681" s="2">
        <v>1050591</v>
      </c>
      <c r="C4681" s="2" t="s">
        <v>84</v>
      </c>
      <c r="D4681" s="3">
        <v>97750</v>
      </c>
      <c r="E4681" s="15"/>
    </row>
    <row r="4682" spans="1:5">
      <c r="A4682" s="4" t="s">
        <v>388</v>
      </c>
      <c r="B4682" s="2">
        <v>1050601</v>
      </c>
      <c r="C4682" s="2" t="s">
        <v>86</v>
      </c>
      <c r="D4682" s="3">
        <v>6400</v>
      </c>
      <c r="E4682" s="15"/>
    </row>
    <row r="4683" spans="1:5">
      <c r="A4683" s="4" t="s">
        <v>388</v>
      </c>
      <c r="B4683" s="2">
        <v>1050701</v>
      </c>
      <c r="C4683" s="2" t="s">
        <v>88</v>
      </c>
      <c r="D4683" s="3">
        <v>6300</v>
      </c>
      <c r="E4683" s="15"/>
    </row>
    <row r="4684" spans="1:5">
      <c r="A4684" s="4" t="s">
        <v>388</v>
      </c>
      <c r="B4684" s="2">
        <v>1050702</v>
      </c>
      <c r="C4684" s="2" t="s">
        <v>90</v>
      </c>
      <c r="D4684" s="3">
        <v>6000</v>
      </c>
      <c r="E4684" s="15"/>
    </row>
    <row r="4685" spans="1:5">
      <c r="A4685" s="4" t="s">
        <v>388</v>
      </c>
      <c r="B4685" s="2">
        <v>1050711</v>
      </c>
      <c r="C4685" s="2" t="s">
        <v>92</v>
      </c>
      <c r="D4685" s="3">
        <v>2600</v>
      </c>
      <c r="E4685" s="15"/>
    </row>
    <row r="4686" spans="1:5">
      <c r="A4686" s="4" t="s">
        <v>388</v>
      </c>
      <c r="B4686" s="2">
        <v>1050721</v>
      </c>
      <c r="C4686" s="2" t="s">
        <v>94</v>
      </c>
      <c r="D4686" s="3">
        <v>14510</v>
      </c>
      <c r="E4686" s="15"/>
    </row>
    <row r="4687" spans="1:5">
      <c r="A4687" s="4" t="s">
        <v>388</v>
      </c>
      <c r="B4687" s="2">
        <v>1050801</v>
      </c>
      <c r="C4687" s="2" t="s">
        <v>7</v>
      </c>
      <c r="D4687" s="3">
        <v>885</v>
      </c>
    </row>
    <row r="4688" spans="1:5">
      <c r="A4688" s="4" t="s">
        <v>388</v>
      </c>
      <c r="B4688" s="2">
        <v>1050901</v>
      </c>
      <c r="C4688" s="2" t="s">
        <v>96</v>
      </c>
      <c r="D4688" s="3">
        <v>1216</v>
      </c>
      <c r="E4688" s="15"/>
    </row>
    <row r="4689" spans="1:5">
      <c r="A4689" s="4" t="s">
        <v>388</v>
      </c>
      <c r="B4689" s="2">
        <v>1060101</v>
      </c>
      <c r="C4689" s="2" t="s">
        <v>98</v>
      </c>
      <c r="D4689" s="3">
        <v>2200</v>
      </c>
      <c r="E4689" s="15"/>
    </row>
    <row r="4690" spans="1:5">
      <c r="A4690" s="4" t="s">
        <v>388</v>
      </c>
      <c r="B4690" s="2">
        <v>1060401</v>
      </c>
      <c r="C4690" s="2" t="s">
        <v>100</v>
      </c>
      <c r="D4690" s="3">
        <v>75000</v>
      </c>
      <c r="E4690" s="15"/>
    </row>
    <row r="4691" spans="1:5">
      <c r="A4691" s="4" t="s">
        <v>388</v>
      </c>
      <c r="B4691" s="2">
        <v>1060412</v>
      </c>
      <c r="C4691" s="2" t="s">
        <v>230</v>
      </c>
      <c r="D4691" s="3">
        <v>33000</v>
      </c>
      <c r="E4691" s="15"/>
    </row>
    <row r="4692" spans="1:5">
      <c r="A4692" s="4" t="s">
        <v>388</v>
      </c>
      <c r="B4692" s="2">
        <v>1060421</v>
      </c>
      <c r="C4692" s="2" t="s">
        <v>104</v>
      </c>
      <c r="D4692" s="3">
        <v>118000</v>
      </c>
      <c r="E4692" s="15"/>
    </row>
    <row r="4693" spans="1:5">
      <c r="A4693" s="4" t="s">
        <v>388</v>
      </c>
      <c r="B4693" s="2">
        <v>1060441</v>
      </c>
      <c r="C4693" s="2" t="s">
        <v>106</v>
      </c>
      <c r="D4693" s="3">
        <v>6471</v>
      </c>
      <c r="E4693" s="15"/>
    </row>
    <row r="4694" spans="1:5">
      <c r="A4694" s="4" t="s">
        <v>388</v>
      </c>
      <c r="B4694" s="2">
        <v>1060451</v>
      </c>
      <c r="C4694" s="2" t="s">
        <v>108</v>
      </c>
      <c r="D4694" s="3">
        <v>38235</v>
      </c>
      <c r="E4694" s="15"/>
    </row>
    <row r="4695" spans="1:5">
      <c r="A4695" s="4" t="s">
        <v>388</v>
      </c>
      <c r="B4695" s="2">
        <v>1070101</v>
      </c>
      <c r="C4695" s="2" t="s">
        <v>110</v>
      </c>
      <c r="D4695" s="3">
        <v>4000</v>
      </c>
      <c r="E4695" s="15"/>
    </row>
    <row r="4696" spans="1:5">
      <c r="A4696" s="4" t="s">
        <v>388</v>
      </c>
      <c r="B4696" s="2">
        <v>1070301</v>
      </c>
      <c r="C4696" s="2" t="s">
        <v>112</v>
      </c>
      <c r="D4696" s="3">
        <v>43000</v>
      </c>
      <c r="E4696" s="15"/>
    </row>
    <row r="4697" spans="1:5">
      <c r="A4697" s="4" t="s">
        <v>388</v>
      </c>
      <c r="B4697" s="2">
        <v>1070401</v>
      </c>
      <c r="C4697" s="2" t="s">
        <v>114</v>
      </c>
      <c r="D4697" s="3">
        <v>15478</v>
      </c>
      <c r="E4697" s="15"/>
    </row>
    <row r="4698" spans="1:5">
      <c r="A4698" s="4" t="s">
        <v>388</v>
      </c>
      <c r="B4698" s="2">
        <v>1070501</v>
      </c>
      <c r="C4698" s="2" t="s">
        <v>231</v>
      </c>
      <c r="D4698" s="3">
        <v>5500</v>
      </c>
      <c r="E4698" s="15"/>
    </row>
    <row r="4699" spans="1:5">
      <c r="A4699" s="4" t="s">
        <v>388</v>
      </c>
      <c r="B4699" s="2">
        <v>1070701</v>
      </c>
      <c r="C4699" s="2" t="s">
        <v>118</v>
      </c>
      <c r="D4699" s="3">
        <v>36000</v>
      </c>
      <c r="E4699" s="15"/>
    </row>
    <row r="4700" spans="1:5">
      <c r="A4700" s="4" t="s">
        <v>388</v>
      </c>
      <c r="B4700" s="2">
        <v>1070801</v>
      </c>
      <c r="C4700" s="2" t="s">
        <v>232</v>
      </c>
      <c r="D4700" s="3">
        <v>35000</v>
      </c>
      <c r="E4700" s="15"/>
    </row>
    <row r="4701" spans="1:5">
      <c r="A4701" s="4" t="s">
        <v>388</v>
      </c>
      <c r="B4701" s="2">
        <v>1080101</v>
      </c>
      <c r="C4701" s="2" t="s">
        <v>120</v>
      </c>
      <c r="D4701" s="3">
        <v>12000</v>
      </c>
      <c r="E4701" s="15"/>
    </row>
    <row r="4702" spans="1:5">
      <c r="A4702" s="4" t="s">
        <v>388</v>
      </c>
      <c r="B4702" s="2">
        <v>1080201</v>
      </c>
      <c r="C4702" s="2" t="s">
        <v>122</v>
      </c>
      <c r="D4702" s="3">
        <v>540</v>
      </c>
    </row>
    <row r="4703" spans="1:5">
      <c r="A4703" s="4" t="s">
        <v>388</v>
      </c>
      <c r="B4703" s="2">
        <v>1080301</v>
      </c>
      <c r="C4703" s="2" t="s">
        <v>124</v>
      </c>
      <c r="D4703" s="3">
        <v>1550</v>
      </c>
      <c r="E4703" s="15"/>
    </row>
    <row r="4704" spans="1:5">
      <c r="A4704" s="4" t="s">
        <v>388</v>
      </c>
      <c r="B4704" s="2">
        <v>1080401</v>
      </c>
      <c r="C4704" s="2" t="s">
        <v>233</v>
      </c>
      <c r="D4704" s="3">
        <v>3150</v>
      </c>
      <c r="E4704" s="15"/>
    </row>
    <row r="4705" spans="1:5">
      <c r="A4705" s="4" t="s">
        <v>388</v>
      </c>
      <c r="B4705" s="2">
        <v>1080411</v>
      </c>
      <c r="C4705" s="2" t="s">
        <v>128</v>
      </c>
      <c r="D4705" s="3">
        <v>3150</v>
      </c>
      <c r="E4705" s="15"/>
    </row>
    <row r="4706" spans="1:5">
      <c r="A4706" s="4" t="s">
        <v>388</v>
      </c>
      <c r="B4706" s="2">
        <v>1080501</v>
      </c>
      <c r="C4706" s="2" t="s">
        <v>130</v>
      </c>
      <c r="D4706" s="3">
        <v>4200</v>
      </c>
      <c r="E4706" s="15"/>
    </row>
    <row r="4707" spans="1:5">
      <c r="A4707" s="4" t="s">
        <v>388</v>
      </c>
      <c r="B4707" s="2">
        <v>1080602</v>
      </c>
      <c r="C4707" s="2" t="s">
        <v>234</v>
      </c>
      <c r="D4707" s="3">
        <v>38600</v>
      </c>
      <c r="E4707" s="15"/>
    </row>
    <row r="4708" spans="1:5">
      <c r="A4708" s="4" t="s">
        <v>388</v>
      </c>
      <c r="B4708" s="2">
        <v>1080604</v>
      </c>
      <c r="C4708" s="2" t="s">
        <v>235</v>
      </c>
      <c r="D4708" s="3">
        <v>0</v>
      </c>
    </row>
    <row r="4709" spans="1:5">
      <c r="A4709" s="4" t="s">
        <v>388</v>
      </c>
      <c r="B4709" s="2">
        <v>1080702</v>
      </c>
      <c r="C4709" s="2" t="s">
        <v>236</v>
      </c>
      <c r="D4709" s="3">
        <v>43500</v>
      </c>
      <c r="E4709" s="15"/>
    </row>
    <row r="4710" spans="1:5">
      <c r="A4710" s="4" t="s">
        <v>388</v>
      </c>
      <c r="B4710" s="2">
        <v>1080704</v>
      </c>
      <c r="C4710" s="2" t="s">
        <v>237</v>
      </c>
      <c r="D4710" s="3">
        <v>0</v>
      </c>
    </row>
    <row r="4711" spans="1:5">
      <c r="A4711" s="4" t="s">
        <v>388</v>
      </c>
      <c r="B4711" s="2">
        <v>1090104</v>
      </c>
      <c r="C4711" s="2" t="s">
        <v>136</v>
      </c>
      <c r="D4711" s="3">
        <v>40000</v>
      </c>
      <c r="E4711" s="15"/>
    </row>
    <row r="4712" spans="1:5">
      <c r="A4712" s="4" t="s">
        <v>388</v>
      </c>
      <c r="B4712" s="2">
        <v>1090112</v>
      </c>
      <c r="C4712" s="2" t="s">
        <v>138</v>
      </c>
      <c r="D4712" s="3">
        <v>35000</v>
      </c>
      <c r="E4712" s="15"/>
    </row>
    <row r="4713" spans="1:5">
      <c r="A4713" s="4" t="s">
        <v>388</v>
      </c>
      <c r="B4713" s="2">
        <v>1090201</v>
      </c>
      <c r="C4713" s="2" t="s">
        <v>140</v>
      </c>
      <c r="D4713" s="3">
        <v>15800</v>
      </c>
      <c r="E4713" s="15"/>
    </row>
    <row r="4714" spans="1:5">
      <c r="A4714" s="4" t="s">
        <v>388</v>
      </c>
      <c r="B4714" s="2">
        <v>1090202</v>
      </c>
      <c r="C4714" s="2" t="s">
        <v>142</v>
      </c>
      <c r="D4714" s="3">
        <v>98000</v>
      </c>
      <c r="E4714" s="15"/>
    </row>
    <row r="4715" spans="1:5">
      <c r="A4715" s="4" t="s">
        <v>388</v>
      </c>
      <c r="B4715" s="2">
        <v>1090203</v>
      </c>
      <c r="C4715" s="2" t="s">
        <v>144</v>
      </c>
      <c r="D4715" s="3">
        <v>23000</v>
      </c>
      <c r="E4715" s="15"/>
    </row>
    <row r="4716" spans="1:5">
      <c r="A4716" s="4" t="s">
        <v>388</v>
      </c>
      <c r="B4716" s="2">
        <v>1090211</v>
      </c>
      <c r="C4716" s="2" t="s">
        <v>146</v>
      </c>
      <c r="D4716" s="3">
        <v>64706</v>
      </c>
      <c r="E4716" s="15"/>
    </row>
    <row r="4717" spans="1:5">
      <c r="A4717" s="4" t="s">
        <v>388</v>
      </c>
      <c r="B4717" s="2">
        <v>1090301</v>
      </c>
      <c r="C4717" s="2" t="s">
        <v>238</v>
      </c>
      <c r="D4717" s="3">
        <v>32000</v>
      </c>
      <c r="E4717" s="15"/>
    </row>
    <row r="4718" spans="1:5">
      <c r="A4718" s="4" t="s">
        <v>388</v>
      </c>
      <c r="B4718" s="2">
        <v>1090311</v>
      </c>
      <c r="C4718" s="2" t="s">
        <v>150</v>
      </c>
      <c r="D4718" s="3">
        <v>37000</v>
      </c>
      <c r="E4718" s="15"/>
    </row>
    <row r="4719" spans="1:5">
      <c r="A4719" s="4" t="s">
        <v>388</v>
      </c>
      <c r="B4719" s="2">
        <v>1090321</v>
      </c>
      <c r="C4719" s="2" t="s">
        <v>152</v>
      </c>
      <c r="D4719" s="3">
        <v>66000</v>
      </c>
      <c r="E4719" s="15"/>
    </row>
    <row r="4720" spans="1:5">
      <c r="A4720" s="4" t="s">
        <v>388</v>
      </c>
      <c r="B4720" s="2">
        <v>1090401</v>
      </c>
      <c r="C4720" s="2" t="s">
        <v>154</v>
      </c>
      <c r="D4720" s="3">
        <v>9300</v>
      </c>
      <c r="E4720" s="15"/>
    </row>
    <row r="4721" spans="1:5">
      <c r="A4721" s="4" t="s">
        <v>388</v>
      </c>
      <c r="B4721" s="2">
        <v>1090411</v>
      </c>
      <c r="C4721" s="2" t="s">
        <v>156</v>
      </c>
      <c r="D4721" s="3">
        <v>45000</v>
      </c>
      <c r="E4721" s="15"/>
    </row>
    <row r="4722" spans="1:5">
      <c r="A4722" s="4" t="s">
        <v>388</v>
      </c>
      <c r="B4722" s="2">
        <v>1090421</v>
      </c>
      <c r="C4722" s="2" t="s">
        <v>158</v>
      </c>
      <c r="D4722" s="3">
        <v>36000</v>
      </c>
      <c r="E4722" s="15"/>
    </row>
    <row r="4723" spans="1:5">
      <c r="A4723" s="4" t="s">
        <v>388</v>
      </c>
      <c r="B4723" s="2">
        <v>1090551</v>
      </c>
      <c r="C4723" s="2" t="s">
        <v>239</v>
      </c>
      <c r="D4723" s="3">
        <v>5400</v>
      </c>
      <c r="E4723" s="15"/>
    </row>
    <row r="4724" spans="1:5">
      <c r="A4724" s="4" t="s">
        <v>388</v>
      </c>
      <c r="B4724" s="2">
        <v>1090602</v>
      </c>
      <c r="C4724" s="2" t="s">
        <v>162</v>
      </c>
      <c r="D4724" s="3">
        <v>5600</v>
      </c>
      <c r="E4724" s="15"/>
    </row>
    <row r="4725" spans="1:5">
      <c r="A4725" s="4" t="s">
        <v>388</v>
      </c>
      <c r="B4725" s="2">
        <v>1090611</v>
      </c>
      <c r="C4725" s="2" t="s">
        <v>164</v>
      </c>
      <c r="D4725" s="3">
        <v>4800</v>
      </c>
      <c r="E4725" s="15"/>
    </row>
    <row r="4726" spans="1:5">
      <c r="A4726" s="4" t="s">
        <v>388</v>
      </c>
      <c r="B4726" s="2">
        <v>1090701</v>
      </c>
      <c r="C4726" s="2" t="s">
        <v>166</v>
      </c>
      <c r="D4726" s="3">
        <v>21000</v>
      </c>
      <c r="E4726" s="15"/>
    </row>
    <row r="4727" spans="1:5">
      <c r="A4727" s="4" t="s">
        <v>388</v>
      </c>
      <c r="B4727" s="2">
        <v>1090901</v>
      </c>
      <c r="C4727" s="2" t="s">
        <v>168</v>
      </c>
      <c r="D4727" s="3">
        <v>4300</v>
      </c>
      <c r="E4727" s="15"/>
    </row>
    <row r="4728" spans="1:5">
      <c r="A4728" s="4" t="s">
        <v>388</v>
      </c>
      <c r="B4728" s="2">
        <v>1091001</v>
      </c>
      <c r="C4728" s="2" t="s">
        <v>170</v>
      </c>
      <c r="D4728" s="3">
        <v>7000</v>
      </c>
      <c r="E4728" s="15"/>
    </row>
    <row r="4729" spans="1:5">
      <c r="A4729" s="4" t="s">
        <v>388</v>
      </c>
      <c r="B4729" s="2">
        <v>1091002</v>
      </c>
      <c r="C4729" s="2" t="s">
        <v>172</v>
      </c>
      <c r="D4729" s="3">
        <v>4402</v>
      </c>
      <c r="E4729" s="15"/>
    </row>
    <row r="4730" spans="1:5">
      <c r="A4730" s="4" t="s">
        <v>388</v>
      </c>
      <c r="B4730" s="2">
        <v>1091003</v>
      </c>
      <c r="C4730" s="2" t="s">
        <v>174</v>
      </c>
      <c r="D4730" s="3">
        <v>14014</v>
      </c>
      <c r="E4730" s="15"/>
    </row>
    <row r="4731" spans="1:5">
      <c r="A4731" s="4" t="s">
        <v>388</v>
      </c>
      <c r="B4731" s="2">
        <v>1091004</v>
      </c>
      <c r="C4731" s="2" t="s">
        <v>240</v>
      </c>
      <c r="D4731" s="3">
        <v>0</v>
      </c>
    </row>
    <row r="4732" spans="1:5">
      <c r="A4732" s="4" t="s">
        <v>388</v>
      </c>
      <c r="B4732" s="2">
        <v>1091005</v>
      </c>
      <c r="C4732" s="2" t="s">
        <v>241</v>
      </c>
      <c r="D4732" s="3">
        <v>0</v>
      </c>
    </row>
    <row r="4733" spans="1:5">
      <c r="A4733" s="4" t="s">
        <v>388</v>
      </c>
      <c r="B4733" s="2">
        <v>1091006</v>
      </c>
      <c r="C4733" s="2" t="s">
        <v>242</v>
      </c>
      <c r="D4733" s="3">
        <v>0</v>
      </c>
    </row>
    <row r="4734" spans="1:5">
      <c r="A4734" s="4" t="s">
        <v>388</v>
      </c>
      <c r="B4734" s="2">
        <v>1091007</v>
      </c>
      <c r="C4734" s="2" t="s">
        <v>243</v>
      </c>
      <c r="D4734" s="3">
        <v>2470</v>
      </c>
      <c r="E4734" s="15"/>
    </row>
    <row r="4735" spans="1:5">
      <c r="A4735" s="4" t="s">
        <v>388</v>
      </c>
      <c r="B4735" s="2">
        <v>1091008</v>
      </c>
      <c r="C4735" s="2" t="s">
        <v>176</v>
      </c>
      <c r="D4735" s="3">
        <v>450000</v>
      </c>
      <c r="E4735" s="15"/>
    </row>
    <row r="4736" spans="1:5">
      <c r="A4736" s="4" t="s">
        <v>388</v>
      </c>
      <c r="B4736" s="2">
        <v>1091009</v>
      </c>
      <c r="C4736" s="2" t="s">
        <v>178</v>
      </c>
      <c r="D4736" s="3">
        <v>190000</v>
      </c>
      <c r="E4736" s="15"/>
    </row>
    <row r="4737" spans="1:5">
      <c r="A4737" s="4" t="s">
        <v>388</v>
      </c>
      <c r="B4737" s="2">
        <v>1091010</v>
      </c>
      <c r="C4737" s="2" t="s">
        <v>180</v>
      </c>
      <c r="D4737" s="3">
        <v>27000</v>
      </c>
      <c r="E4737" s="15"/>
    </row>
    <row r="4738" spans="1:5">
      <c r="A4738" s="4" t="s">
        <v>388</v>
      </c>
      <c r="B4738" s="2">
        <v>1091011</v>
      </c>
      <c r="C4738" s="2" t="s">
        <v>182</v>
      </c>
      <c r="D4738" s="3">
        <v>33000</v>
      </c>
      <c r="E4738" s="15"/>
    </row>
    <row r="4739" spans="1:5">
      <c r="A4739" s="4" t="s">
        <v>388</v>
      </c>
      <c r="B4739" s="2">
        <v>1091012</v>
      </c>
      <c r="C4739" s="2" t="s">
        <v>184</v>
      </c>
      <c r="D4739" s="3">
        <v>47000</v>
      </c>
      <c r="E4739" s="15"/>
    </row>
    <row r="4740" spans="1:5">
      <c r="A4740" s="4" t="s">
        <v>388</v>
      </c>
      <c r="B4740" s="2">
        <v>1091013</v>
      </c>
      <c r="C4740" s="2" t="s">
        <v>186</v>
      </c>
      <c r="D4740" s="3">
        <v>33000</v>
      </c>
      <c r="E4740" s="15"/>
    </row>
    <row r="4741" spans="1:5">
      <c r="A4741" s="4" t="s">
        <v>388</v>
      </c>
      <c r="B4741" s="2">
        <v>1091014</v>
      </c>
      <c r="C4741" s="2" t="s">
        <v>244</v>
      </c>
      <c r="D4741" s="3">
        <v>6961</v>
      </c>
      <c r="E4741" s="15"/>
    </row>
    <row r="4742" spans="1:5">
      <c r="A4742" s="4" t="s">
        <v>388</v>
      </c>
      <c r="B4742" s="2">
        <v>1091015</v>
      </c>
      <c r="C4742" s="2" t="s">
        <v>245</v>
      </c>
      <c r="D4742" s="3">
        <v>25490</v>
      </c>
      <c r="E4742" s="15"/>
    </row>
    <row r="4743" spans="1:5">
      <c r="A4743" s="4" t="s">
        <v>388</v>
      </c>
      <c r="B4743" s="2">
        <v>1091016</v>
      </c>
      <c r="C4743" s="2" t="s">
        <v>246</v>
      </c>
      <c r="D4743" s="3">
        <v>50187</v>
      </c>
      <c r="E4743" s="15"/>
    </row>
    <row r="4744" spans="1:5">
      <c r="A4744" s="4" t="s">
        <v>388</v>
      </c>
      <c r="B4744" s="2">
        <v>1091017</v>
      </c>
      <c r="C4744" s="2" t="s">
        <v>247</v>
      </c>
      <c r="D4744" s="3">
        <v>74833</v>
      </c>
      <c r="E4744" s="15"/>
    </row>
    <row r="4745" spans="1:5">
      <c r="A4745" s="4" t="s">
        <v>388</v>
      </c>
      <c r="B4745" s="2">
        <v>1091018</v>
      </c>
      <c r="C4745" s="2" t="s">
        <v>248</v>
      </c>
      <c r="D4745" s="3">
        <v>33031</v>
      </c>
      <c r="E4745" s="15"/>
    </row>
    <row r="4746" spans="1:5">
      <c r="A4746" s="4" t="s">
        <v>388</v>
      </c>
      <c r="B4746" s="2">
        <v>1091019</v>
      </c>
      <c r="C4746" s="2" t="s">
        <v>249</v>
      </c>
      <c r="D4746" s="3">
        <v>53387</v>
      </c>
      <c r="E4746" s="15"/>
    </row>
    <row r="4747" spans="1:5">
      <c r="A4747" s="4" t="s">
        <v>388</v>
      </c>
      <c r="B4747" s="2">
        <v>1091020</v>
      </c>
      <c r="C4747" s="2" t="s">
        <v>250</v>
      </c>
      <c r="D4747" s="3">
        <v>100500</v>
      </c>
      <c r="E4747" s="15"/>
    </row>
    <row r="4748" spans="1:5">
      <c r="A4748" s="4" t="s">
        <v>388</v>
      </c>
      <c r="B4748" s="2">
        <v>1091021</v>
      </c>
      <c r="C4748" s="2" t="s">
        <v>251</v>
      </c>
      <c r="D4748" s="3">
        <v>50600</v>
      </c>
      <c r="E4748" s="15"/>
    </row>
    <row r="4749" spans="1:5">
      <c r="A4749" s="4" t="s">
        <v>388</v>
      </c>
      <c r="B4749" s="2">
        <v>1091022</v>
      </c>
      <c r="C4749" s="2" t="s">
        <v>252</v>
      </c>
      <c r="D4749" s="3">
        <v>3235</v>
      </c>
      <c r="E4749" s="15"/>
    </row>
    <row r="4750" spans="1:5">
      <c r="A4750" s="4" t="s">
        <v>388</v>
      </c>
      <c r="B4750" s="2">
        <v>1091023</v>
      </c>
      <c r="C4750" s="2" t="s">
        <v>253</v>
      </c>
      <c r="D4750" s="3">
        <v>4412</v>
      </c>
      <c r="E4750" s="15"/>
    </row>
    <row r="4751" spans="1:5">
      <c r="A4751" s="4" t="s">
        <v>388</v>
      </c>
      <c r="B4751" s="2">
        <v>1091024</v>
      </c>
      <c r="C4751" s="2" t="s">
        <v>254</v>
      </c>
      <c r="D4751" s="3">
        <v>3922</v>
      </c>
      <c r="E4751" s="15"/>
    </row>
    <row r="4752" spans="1:5">
      <c r="A4752" s="4" t="s">
        <v>388</v>
      </c>
      <c r="B4752" s="2">
        <v>1091025</v>
      </c>
      <c r="C4752" s="2" t="s">
        <v>255</v>
      </c>
      <c r="D4752" s="3">
        <v>7843</v>
      </c>
      <c r="E4752" s="15"/>
    </row>
    <row r="4753" spans="1:5">
      <c r="A4753" s="4" t="s">
        <v>388</v>
      </c>
      <c r="B4753" s="2">
        <v>1091026</v>
      </c>
      <c r="C4753" s="2" t="s">
        <v>256</v>
      </c>
      <c r="D4753" s="3">
        <v>30686</v>
      </c>
      <c r="E4753" s="15"/>
    </row>
    <row r="4754" spans="1:5">
      <c r="A4754" s="4" t="s">
        <v>388</v>
      </c>
      <c r="B4754" s="2">
        <v>1600101</v>
      </c>
      <c r="C4754" s="2" t="s">
        <v>188</v>
      </c>
      <c r="D4754" s="3">
        <v>2892</v>
      </c>
      <c r="E4754" s="15"/>
    </row>
    <row r="4755" spans="1:5">
      <c r="A4755" s="4" t="s">
        <v>388</v>
      </c>
      <c r="B4755" s="2">
        <v>1600102</v>
      </c>
      <c r="C4755" s="2" t="s">
        <v>257</v>
      </c>
      <c r="D4755" s="3">
        <v>26962</v>
      </c>
      <c r="E4755" s="15"/>
    </row>
    <row r="4756" spans="1:5">
      <c r="A4756" s="4" t="s">
        <v>388</v>
      </c>
      <c r="B4756" s="2">
        <v>1600103</v>
      </c>
      <c r="C4756" s="2" t="s">
        <v>258</v>
      </c>
      <c r="D4756" s="3">
        <v>19800</v>
      </c>
      <c r="E4756" s="15"/>
    </row>
    <row r="4757" spans="1:5">
      <c r="A4757" s="4" t="s">
        <v>388</v>
      </c>
      <c r="B4757" s="2">
        <v>1600104</v>
      </c>
      <c r="C4757" s="2" t="s">
        <v>259</v>
      </c>
      <c r="D4757" s="3">
        <v>75683</v>
      </c>
      <c r="E4757" s="15"/>
    </row>
    <row r="4758" spans="1:5">
      <c r="A4758" s="4" t="s">
        <v>388</v>
      </c>
      <c r="B4758" s="2">
        <v>1600105</v>
      </c>
      <c r="C4758" s="2" t="s">
        <v>260</v>
      </c>
      <c r="D4758" s="3">
        <v>83950</v>
      </c>
      <c r="E4758" s="15"/>
    </row>
    <row r="4759" spans="1:5">
      <c r="A4759" s="4" t="s">
        <v>388</v>
      </c>
      <c r="B4759" s="2">
        <v>1600106</v>
      </c>
      <c r="C4759" s="2" t="s">
        <v>261</v>
      </c>
      <c r="D4759" s="3">
        <v>108071</v>
      </c>
      <c r="E4759" s="15"/>
    </row>
    <row r="4760" spans="1:5">
      <c r="A4760" s="4" t="s">
        <v>388</v>
      </c>
      <c r="B4760" s="2">
        <v>1600107</v>
      </c>
      <c r="C4760" s="2" t="s">
        <v>262</v>
      </c>
      <c r="D4760" s="3">
        <v>86601</v>
      </c>
      <c r="E4760" s="15"/>
    </row>
    <row r="4761" spans="1:5">
      <c r="A4761" s="4" t="s">
        <v>388</v>
      </c>
      <c r="B4761" s="2">
        <v>1600108</v>
      </c>
      <c r="C4761" s="2" t="s">
        <v>263</v>
      </c>
      <c r="D4761" s="3">
        <v>75683</v>
      </c>
      <c r="E4761" s="15"/>
    </row>
    <row r="4762" spans="1:5">
      <c r="A4762" s="4" t="s">
        <v>388</v>
      </c>
      <c r="B4762" s="2">
        <v>1600109</v>
      </c>
      <c r="C4762" s="2" t="s">
        <v>264</v>
      </c>
      <c r="D4762" s="3">
        <v>3922</v>
      </c>
      <c r="E4762" s="15"/>
    </row>
    <row r="4763" spans="1:5">
      <c r="A4763" s="4" t="s">
        <v>388</v>
      </c>
      <c r="B4763" s="2">
        <v>1600110</v>
      </c>
      <c r="C4763" s="2" t="s">
        <v>265</v>
      </c>
      <c r="D4763" s="3">
        <v>7917</v>
      </c>
      <c r="E4763" s="15"/>
    </row>
    <row r="4764" spans="1:5">
      <c r="A4764" s="4" t="s">
        <v>388</v>
      </c>
      <c r="B4764" s="2">
        <v>1600111</v>
      </c>
      <c r="C4764" s="2" t="s">
        <v>266</v>
      </c>
      <c r="D4764" s="3">
        <v>4360</v>
      </c>
      <c r="E4764" s="15"/>
    </row>
    <row r="4765" spans="1:5">
      <c r="A4765" s="4" t="s">
        <v>388</v>
      </c>
      <c r="B4765" s="2">
        <v>1600112</v>
      </c>
      <c r="C4765" s="2" t="s">
        <v>190</v>
      </c>
      <c r="D4765" s="3">
        <v>5300</v>
      </c>
      <c r="E4765" s="15"/>
    </row>
    <row r="4766" spans="1:5">
      <c r="A4766" s="4" t="s">
        <v>388</v>
      </c>
      <c r="B4766" s="2">
        <v>1600113</v>
      </c>
      <c r="C4766" s="2" t="s">
        <v>267</v>
      </c>
      <c r="D4766" s="3">
        <v>0</v>
      </c>
    </row>
    <row r="4767" spans="1:5">
      <c r="A4767" s="4" t="s">
        <v>388</v>
      </c>
      <c r="B4767" s="2">
        <v>1600114</v>
      </c>
      <c r="C4767" s="2" t="s">
        <v>268</v>
      </c>
      <c r="D4767" s="3">
        <v>13333</v>
      </c>
      <c r="E4767" s="15"/>
    </row>
    <row r="4768" spans="1:5">
      <c r="A4768" s="4" t="s">
        <v>388</v>
      </c>
      <c r="B4768" s="2">
        <v>1700001</v>
      </c>
      <c r="C4768" s="2" t="s">
        <v>269</v>
      </c>
      <c r="D4768" s="3">
        <v>5274</v>
      </c>
      <c r="E4768" s="15"/>
    </row>
    <row r="4769" spans="1:5">
      <c r="A4769" s="4" t="s">
        <v>388</v>
      </c>
      <c r="B4769" s="2">
        <v>1700002</v>
      </c>
      <c r="C4769" s="2" t="s">
        <v>270</v>
      </c>
      <c r="D4769" s="3">
        <v>3726</v>
      </c>
      <c r="E4769" s="15"/>
    </row>
    <row r="4770" spans="1:5">
      <c r="A4770" s="4" t="s">
        <v>388</v>
      </c>
      <c r="B4770" s="2">
        <v>1700003</v>
      </c>
      <c r="C4770" s="2" t="s">
        <v>271</v>
      </c>
      <c r="D4770" s="3">
        <v>5098</v>
      </c>
      <c r="E4770" s="15"/>
    </row>
    <row r="4771" spans="1:5">
      <c r="A4771" s="4" t="s">
        <v>388</v>
      </c>
      <c r="B4771" s="2">
        <v>1700004</v>
      </c>
      <c r="C4771" s="2" t="s">
        <v>272</v>
      </c>
      <c r="D4771" s="3">
        <v>15784</v>
      </c>
      <c r="E4771" s="15"/>
    </row>
    <row r="4772" spans="1:5">
      <c r="A4772" s="4" t="s">
        <v>388</v>
      </c>
      <c r="B4772" s="2">
        <v>1700005</v>
      </c>
      <c r="C4772" s="2" t="s">
        <v>192</v>
      </c>
      <c r="D4772" s="3">
        <v>1765</v>
      </c>
      <c r="E4772" s="15"/>
    </row>
    <row r="4773" spans="1:5">
      <c r="A4773" s="4" t="s">
        <v>388</v>
      </c>
      <c r="B4773" s="2">
        <v>1700006</v>
      </c>
      <c r="C4773" s="2" t="s">
        <v>273</v>
      </c>
      <c r="D4773" s="3">
        <v>7176</v>
      </c>
      <c r="E4773" s="15"/>
    </row>
    <row r="4774" spans="1:5">
      <c r="A4774" s="4" t="s">
        <v>388</v>
      </c>
      <c r="B4774" s="2">
        <v>1700007</v>
      </c>
      <c r="C4774" s="2" t="s">
        <v>274</v>
      </c>
      <c r="D4774" s="3">
        <v>0</v>
      </c>
    </row>
    <row r="4775" spans="1:5">
      <c r="A4775" s="4" t="s">
        <v>388</v>
      </c>
      <c r="B4775" s="2">
        <v>1700008</v>
      </c>
      <c r="C4775" s="2" t="s">
        <v>275</v>
      </c>
      <c r="D4775" s="3">
        <v>0</v>
      </c>
    </row>
    <row r="4776" spans="1:5">
      <c r="A4776" s="4" t="s">
        <v>388</v>
      </c>
      <c r="B4776" s="2">
        <v>1700009</v>
      </c>
      <c r="C4776" s="2" t="s">
        <v>276</v>
      </c>
      <c r="D4776" s="3">
        <v>0</v>
      </c>
    </row>
    <row r="4777" spans="1:5">
      <c r="A4777" s="4" t="s">
        <v>388</v>
      </c>
      <c r="B4777" s="2">
        <v>1700010</v>
      </c>
      <c r="C4777" s="2" t="s">
        <v>277</v>
      </c>
      <c r="D4777" s="3">
        <v>4330</v>
      </c>
      <c r="E4777" s="15"/>
    </row>
    <row r="4778" spans="1:5">
      <c r="A4778" s="4" t="s">
        <v>388</v>
      </c>
      <c r="B4778" s="2">
        <v>1700011</v>
      </c>
      <c r="C4778" s="2" t="s">
        <v>278</v>
      </c>
      <c r="D4778" s="3">
        <v>13235</v>
      </c>
      <c r="E4778" s="15"/>
    </row>
    <row r="4779" spans="1:5">
      <c r="A4779" s="4" t="s">
        <v>388</v>
      </c>
      <c r="B4779" s="2">
        <v>1700012</v>
      </c>
      <c r="C4779" s="2" t="s">
        <v>279</v>
      </c>
      <c r="D4779" s="3">
        <v>15980</v>
      </c>
      <c r="E4779" s="15"/>
    </row>
    <row r="4780" spans="1:5">
      <c r="A4780" s="4" t="s">
        <v>388</v>
      </c>
      <c r="B4780" s="2">
        <v>1700013</v>
      </c>
      <c r="C4780" s="2" t="s">
        <v>280</v>
      </c>
      <c r="D4780" s="3">
        <v>18137</v>
      </c>
      <c r="E4780" s="15"/>
    </row>
    <row r="4781" spans="1:5">
      <c r="A4781" s="4" t="s">
        <v>388</v>
      </c>
      <c r="B4781" s="2">
        <v>1700014</v>
      </c>
      <c r="C4781" s="2" t="s">
        <v>194</v>
      </c>
      <c r="D4781" s="3">
        <v>2300</v>
      </c>
      <c r="E4781" s="15"/>
    </row>
    <row r="4782" spans="1:5">
      <c r="A4782" s="4" t="s">
        <v>388</v>
      </c>
      <c r="B4782" s="2">
        <v>1700015</v>
      </c>
      <c r="C4782" s="2" t="s">
        <v>281</v>
      </c>
      <c r="D4782" s="3">
        <v>5000</v>
      </c>
      <c r="E4782" s="15"/>
    </row>
    <row r="4783" spans="1:5">
      <c r="A4783" s="4" t="s">
        <v>388</v>
      </c>
      <c r="B4783" s="2">
        <v>1700016</v>
      </c>
      <c r="C4783" s="2" t="s">
        <v>282</v>
      </c>
      <c r="D4783" s="3">
        <v>4043</v>
      </c>
      <c r="E4783" s="15"/>
    </row>
    <row r="4784" spans="1:5">
      <c r="A4784" s="4" t="s">
        <v>388</v>
      </c>
      <c r="B4784" s="2">
        <v>1700017</v>
      </c>
      <c r="C4784" s="2" t="s">
        <v>283</v>
      </c>
      <c r="D4784" s="3">
        <v>12608</v>
      </c>
      <c r="E4784" s="15"/>
    </row>
    <row r="4785" spans="1:5">
      <c r="A4785" s="4" t="s">
        <v>388</v>
      </c>
      <c r="B4785" s="2">
        <v>1700018</v>
      </c>
      <c r="C4785" s="2" t="s">
        <v>284</v>
      </c>
      <c r="D4785" s="3">
        <v>4472</v>
      </c>
      <c r="E4785" s="15"/>
    </row>
    <row r="4786" spans="1:5">
      <c r="A4786" s="4" t="s">
        <v>388</v>
      </c>
      <c r="B4786" s="2">
        <v>1700019</v>
      </c>
      <c r="C4786" s="2" t="s">
        <v>285</v>
      </c>
      <c r="D4786" s="3">
        <v>0</v>
      </c>
    </row>
    <row r="4787" spans="1:5">
      <c r="A4787" s="4" t="s">
        <v>388</v>
      </c>
      <c r="B4787" s="2">
        <v>1700020</v>
      </c>
      <c r="C4787" s="2" t="s">
        <v>286</v>
      </c>
      <c r="D4787" s="3">
        <v>58824</v>
      </c>
      <c r="E4787" s="15"/>
    </row>
    <row r="4788" spans="1:5">
      <c r="A4788" s="4" t="s">
        <v>388</v>
      </c>
      <c r="B4788" s="2">
        <v>1700021</v>
      </c>
      <c r="C4788" s="2" t="s">
        <v>287</v>
      </c>
      <c r="D4788" s="3">
        <v>90684</v>
      </c>
      <c r="E4788" s="15"/>
    </row>
    <row r="4789" spans="1:5">
      <c r="A4789" s="4" t="s">
        <v>388</v>
      </c>
      <c r="B4789" s="2">
        <v>1700022</v>
      </c>
      <c r="C4789" s="2" t="s">
        <v>288</v>
      </c>
      <c r="D4789" s="3">
        <v>35853</v>
      </c>
      <c r="E4789" s="15"/>
    </row>
    <row r="4790" spans="1:5">
      <c r="A4790" s="4" t="s">
        <v>388</v>
      </c>
      <c r="B4790" s="2">
        <v>1700023</v>
      </c>
      <c r="C4790" s="2" t="s">
        <v>289</v>
      </c>
      <c r="D4790" s="3">
        <v>8136</v>
      </c>
      <c r="E4790" s="15"/>
    </row>
    <row r="4791" spans="1:5">
      <c r="A4791" s="4" t="s">
        <v>388</v>
      </c>
      <c r="B4791" s="2">
        <v>1700024</v>
      </c>
      <c r="C4791" s="2" t="s">
        <v>290</v>
      </c>
      <c r="D4791" s="3">
        <v>3080</v>
      </c>
      <c r="E4791" s="15"/>
    </row>
    <row r="4792" spans="1:5">
      <c r="A4792" s="4" t="s">
        <v>388</v>
      </c>
      <c r="B4792" s="2">
        <v>1700025</v>
      </c>
      <c r="C4792" s="2" t="s">
        <v>291</v>
      </c>
      <c r="D4792" s="3">
        <v>2157</v>
      </c>
      <c r="E4792" s="15"/>
    </row>
    <row r="4793" spans="1:5">
      <c r="A4793" s="4" t="s">
        <v>388</v>
      </c>
      <c r="B4793" s="2">
        <v>1700026</v>
      </c>
      <c r="C4793" s="2" t="s">
        <v>292</v>
      </c>
      <c r="D4793" s="3">
        <v>4412</v>
      </c>
      <c r="E4793" s="15"/>
    </row>
    <row r="4794" spans="1:5">
      <c r="A4794" s="4" t="s">
        <v>388</v>
      </c>
      <c r="B4794" s="2">
        <v>1700027</v>
      </c>
      <c r="C4794" s="2" t="s">
        <v>293</v>
      </c>
      <c r="D4794" s="3">
        <v>4902</v>
      </c>
      <c r="E4794" s="15"/>
    </row>
    <row r="4795" spans="1:5">
      <c r="A4795" s="4" t="s">
        <v>388</v>
      </c>
      <c r="B4795" s="2">
        <v>1700028</v>
      </c>
      <c r="C4795" s="2" t="s">
        <v>294</v>
      </c>
      <c r="D4795" s="3">
        <v>9500</v>
      </c>
      <c r="E4795" s="15"/>
    </row>
    <row r="4796" spans="1:5">
      <c r="A4796" s="4" t="s">
        <v>388</v>
      </c>
      <c r="B4796" s="2">
        <v>1700029</v>
      </c>
      <c r="C4796" s="2" t="s">
        <v>295</v>
      </c>
      <c r="D4796" s="3">
        <v>10670</v>
      </c>
      <c r="E4796" s="15"/>
    </row>
    <row r="4797" spans="1:5">
      <c r="A4797" s="4" t="s">
        <v>388</v>
      </c>
      <c r="B4797" s="2">
        <v>1700030</v>
      </c>
      <c r="C4797" s="2" t="s">
        <v>296</v>
      </c>
      <c r="D4797" s="3">
        <v>12720</v>
      </c>
      <c r="E4797" s="15"/>
    </row>
    <row r="4798" spans="1:5">
      <c r="A4798" s="4" t="s">
        <v>388</v>
      </c>
      <c r="B4798" s="2">
        <v>1700031</v>
      </c>
      <c r="C4798" s="2" t="s">
        <v>196</v>
      </c>
      <c r="D4798" s="3">
        <v>2069</v>
      </c>
      <c r="E4798" s="15"/>
    </row>
    <row r="4799" spans="1:5">
      <c r="A4799" s="4" t="s">
        <v>388</v>
      </c>
      <c r="B4799" s="2">
        <v>1700032</v>
      </c>
      <c r="C4799" s="2" t="s">
        <v>297</v>
      </c>
      <c r="D4799" s="3">
        <v>0</v>
      </c>
    </row>
    <row r="4800" spans="1:5">
      <c r="A4800" s="4" t="s">
        <v>388</v>
      </c>
      <c r="B4800" s="2">
        <v>1700033</v>
      </c>
      <c r="C4800" s="2" t="s">
        <v>298</v>
      </c>
      <c r="D4800" s="3">
        <v>0</v>
      </c>
    </row>
    <row r="4801" spans="1:5">
      <c r="A4801" s="4" t="s">
        <v>388</v>
      </c>
      <c r="B4801" s="2">
        <v>1700034</v>
      </c>
      <c r="C4801" s="2" t="s">
        <v>299</v>
      </c>
      <c r="D4801" s="3">
        <v>18700</v>
      </c>
      <c r="E4801" s="15"/>
    </row>
    <row r="4802" spans="1:5">
      <c r="A4802" s="4" t="s">
        <v>388</v>
      </c>
      <c r="B4802" s="2">
        <v>1700035</v>
      </c>
      <c r="C4802" s="2" t="s">
        <v>300</v>
      </c>
      <c r="D4802" s="3">
        <v>34000</v>
      </c>
      <c r="E4802" s="15"/>
    </row>
    <row r="4803" spans="1:5">
      <c r="A4803" s="4" t="s">
        <v>388</v>
      </c>
      <c r="B4803" s="2">
        <v>1700036</v>
      </c>
      <c r="C4803" s="2" t="s">
        <v>301</v>
      </c>
      <c r="D4803" s="3">
        <v>5200</v>
      </c>
      <c r="E4803" s="15"/>
    </row>
    <row r="4804" spans="1:5">
      <c r="A4804" s="4" t="s">
        <v>388</v>
      </c>
      <c r="B4804" s="2">
        <v>1700037</v>
      </c>
      <c r="C4804" s="2" t="s">
        <v>302</v>
      </c>
      <c r="D4804" s="3">
        <v>7733</v>
      </c>
      <c r="E4804" s="15"/>
    </row>
    <row r="4805" spans="1:5">
      <c r="A4805" s="4" t="s">
        <v>388</v>
      </c>
      <c r="B4805" s="2">
        <v>1700038</v>
      </c>
      <c r="C4805" s="2" t="s">
        <v>303</v>
      </c>
      <c r="D4805" s="3">
        <v>1804</v>
      </c>
      <c r="E4805" s="15"/>
    </row>
    <row r="4806" spans="1:5">
      <c r="A4806" s="4" t="s">
        <v>388</v>
      </c>
      <c r="B4806" s="2">
        <v>1700039</v>
      </c>
      <c r="C4806" s="2" t="s">
        <v>304</v>
      </c>
      <c r="D4806" s="3">
        <v>4060</v>
      </c>
      <c r="E4806" s="15"/>
    </row>
    <row r="4807" spans="1:5">
      <c r="A4807" s="4" t="s">
        <v>388</v>
      </c>
      <c r="B4807" s="2">
        <v>1700040</v>
      </c>
      <c r="C4807" s="2" t="s">
        <v>305</v>
      </c>
      <c r="D4807" s="3">
        <v>1967</v>
      </c>
      <c r="E4807" s="15"/>
    </row>
    <row r="4808" spans="1:5">
      <c r="A4808" s="4" t="s">
        <v>388</v>
      </c>
      <c r="B4808" s="2">
        <v>1700041</v>
      </c>
      <c r="C4808" s="2" t="s">
        <v>306</v>
      </c>
      <c r="D4808" s="3">
        <v>3000</v>
      </c>
      <c r="E4808" s="15"/>
    </row>
    <row r="4809" spans="1:5">
      <c r="A4809" s="4" t="s">
        <v>388</v>
      </c>
      <c r="B4809" s="2">
        <v>1700042</v>
      </c>
      <c r="C4809" s="2" t="s">
        <v>307</v>
      </c>
      <c r="D4809" s="3">
        <v>3402</v>
      </c>
      <c r="E4809" s="15"/>
    </row>
    <row r="4810" spans="1:5">
      <c r="A4810" s="4" t="s">
        <v>388</v>
      </c>
      <c r="B4810" s="2">
        <v>1700043</v>
      </c>
      <c r="C4810" s="2" t="s">
        <v>308</v>
      </c>
      <c r="D4810" s="3">
        <v>6843</v>
      </c>
      <c r="E4810" s="15"/>
    </row>
    <row r="4811" spans="1:5">
      <c r="A4811" s="4" t="s">
        <v>388</v>
      </c>
      <c r="B4811" s="2">
        <v>1700044</v>
      </c>
      <c r="C4811" s="2" t="s">
        <v>309</v>
      </c>
      <c r="D4811" s="3">
        <v>6000</v>
      </c>
      <c r="E4811" s="15"/>
    </row>
    <row r="4812" spans="1:5">
      <c r="A4812" s="4" t="s">
        <v>388</v>
      </c>
      <c r="B4812" s="2">
        <v>1700045</v>
      </c>
      <c r="C4812" s="2" t="s">
        <v>310</v>
      </c>
      <c r="D4812" s="3">
        <v>5265</v>
      </c>
      <c r="E4812" s="15"/>
    </row>
    <row r="4813" spans="1:5">
      <c r="A4813" s="4" t="s">
        <v>388</v>
      </c>
      <c r="B4813" s="2">
        <v>1700046</v>
      </c>
      <c r="C4813" s="2" t="s">
        <v>311</v>
      </c>
      <c r="D4813" s="3">
        <v>6863</v>
      </c>
      <c r="E4813" s="15"/>
    </row>
    <row r="4814" spans="1:5">
      <c r="A4814" s="4" t="s">
        <v>388</v>
      </c>
      <c r="B4814" s="2">
        <v>1700047</v>
      </c>
      <c r="C4814" s="2" t="s">
        <v>312</v>
      </c>
      <c r="D4814" s="3">
        <v>23800</v>
      </c>
      <c r="E4814" s="15"/>
    </row>
    <row r="4815" spans="1:5">
      <c r="A4815" s="4" t="s">
        <v>388</v>
      </c>
      <c r="B4815" s="2">
        <v>1700048</v>
      </c>
      <c r="C4815" s="2" t="s">
        <v>313</v>
      </c>
      <c r="D4815" s="3">
        <v>13330</v>
      </c>
      <c r="E4815" s="15"/>
    </row>
    <row r="4816" spans="1:5">
      <c r="A4816" s="4" t="s">
        <v>388</v>
      </c>
      <c r="B4816" s="2">
        <v>1700049</v>
      </c>
      <c r="C4816" s="2" t="s">
        <v>314</v>
      </c>
      <c r="D4816" s="3">
        <v>4062</v>
      </c>
      <c r="E4816" s="15"/>
    </row>
    <row r="4817" spans="1:5">
      <c r="A4817" s="4" t="s">
        <v>388</v>
      </c>
      <c r="B4817" s="2">
        <v>1700050</v>
      </c>
      <c r="C4817" s="2" t="s">
        <v>315</v>
      </c>
      <c r="D4817" s="3">
        <v>39000</v>
      </c>
      <c r="E4817" s="15"/>
    </row>
    <row r="4818" spans="1:5">
      <c r="A4818" s="4" t="s">
        <v>388</v>
      </c>
      <c r="B4818" s="2">
        <v>1700051</v>
      </c>
      <c r="C4818" s="2" t="s">
        <v>316</v>
      </c>
      <c r="D4818" s="3">
        <v>11500</v>
      </c>
      <c r="E4818" s="15"/>
    </row>
    <row r="4819" spans="1:5">
      <c r="A4819" s="4" t="s">
        <v>388</v>
      </c>
      <c r="B4819" s="2">
        <v>1700052</v>
      </c>
      <c r="C4819" s="2" t="s">
        <v>317</v>
      </c>
      <c r="D4819" s="3">
        <v>3444</v>
      </c>
      <c r="E4819" s="15"/>
    </row>
    <row r="4820" spans="1:5">
      <c r="A4820" s="4" t="s">
        <v>388</v>
      </c>
      <c r="B4820" s="2">
        <v>1700053</v>
      </c>
      <c r="C4820" s="2" t="s">
        <v>318</v>
      </c>
      <c r="D4820" s="3">
        <v>15530</v>
      </c>
      <c r="E4820" s="15"/>
    </row>
    <row r="4821" spans="1:5">
      <c r="A4821" s="4" t="s">
        <v>388</v>
      </c>
      <c r="B4821" s="2">
        <v>1700054</v>
      </c>
      <c r="C4821" s="2" t="s">
        <v>319</v>
      </c>
      <c r="D4821" s="3">
        <v>11670</v>
      </c>
      <c r="E4821" s="15"/>
    </row>
    <row r="4822" spans="1:5">
      <c r="A4822" s="4" t="s">
        <v>388</v>
      </c>
      <c r="B4822" s="2">
        <v>1700055</v>
      </c>
      <c r="C4822" s="2" t="s">
        <v>320</v>
      </c>
      <c r="D4822" s="3">
        <v>11940</v>
      </c>
      <c r="E4822" s="15"/>
    </row>
    <row r="4823" spans="1:5">
      <c r="A4823" s="4" t="s">
        <v>388</v>
      </c>
      <c r="B4823" s="2">
        <v>1700056</v>
      </c>
      <c r="C4823" s="2" t="s">
        <v>321</v>
      </c>
      <c r="D4823" s="3">
        <v>6226</v>
      </c>
      <c r="E4823" s="15"/>
    </row>
    <row r="4824" spans="1:5">
      <c r="A4824" s="4" t="s">
        <v>388</v>
      </c>
      <c r="B4824" s="2">
        <v>1700057</v>
      </c>
      <c r="C4824" s="2" t="s">
        <v>322</v>
      </c>
      <c r="D4824" s="3">
        <v>2098</v>
      </c>
      <c r="E4824" s="15"/>
    </row>
    <row r="4825" spans="1:5">
      <c r="A4825" s="4" t="s">
        <v>388</v>
      </c>
      <c r="B4825" s="2">
        <v>1700058</v>
      </c>
      <c r="C4825" s="2" t="s">
        <v>323</v>
      </c>
      <c r="D4825" s="3">
        <v>5800</v>
      </c>
      <c r="E4825" s="15"/>
    </row>
    <row r="4826" spans="1:5">
      <c r="A4826" s="4" t="s">
        <v>388</v>
      </c>
      <c r="B4826" s="2">
        <v>1700059</v>
      </c>
      <c r="C4826" s="2" t="s">
        <v>324</v>
      </c>
      <c r="D4826" s="3">
        <v>27667</v>
      </c>
      <c r="E4826" s="15"/>
    </row>
    <row r="4827" spans="1:5">
      <c r="A4827" s="4" t="s">
        <v>388</v>
      </c>
      <c r="B4827" s="2">
        <v>1700060</v>
      </c>
      <c r="C4827" s="2" t="s">
        <v>325</v>
      </c>
      <c r="D4827" s="3">
        <v>3441</v>
      </c>
      <c r="E4827" s="15"/>
    </row>
    <row r="4828" spans="1:5">
      <c r="A4828" s="4" t="s">
        <v>388</v>
      </c>
      <c r="B4828" s="2">
        <v>1700061</v>
      </c>
      <c r="C4828" s="2" t="s">
        <v>326</v>
      </c>
      <c r="D4828" s="3">
        <v>8920</v>
      </c>
      <c r="E4828" s="15"/>
    </row>
    <row r="4829" spans="1:5">
      <c r="A4829" s="4" t="s">
        <v>388</v>
      </c>
      <c r="B4829" s="2">
        <v>1700062</v>
      </c>
      <c r="C4829" s="2" t="s">
        <v>327</v>
      </c>
      <c r="D4829" s="3">
        <v>10520</v>
      </c>
      <c r="E4829" s="15"/>
    </row>
    <row r="4830" spans="1:5">
      <c r="A4830" s="4" t="s">
        <v>388</v>
      </c>
      <c r="B4830" s="2">
        <v>1700063</v>
      </c>
      <c r="C4830" s="2" t="s">
        <v>328</v>
      </c>
      <c r="D4830" s="3">
        <v>10550</v>
      </c>
      <c r="E4830" s="15"/>
    </row>
    <row r="4831" spans="1:5">
      <c r="A4831" s="4" t="s">
        <v>388</v>
      </c>
      <c r="B4831" s="2">
        <v>1700064</v>
      </c>
      <c r="C4831" s="2" t="s">
        <v>329</v>
      </c>
      <c r="D4831" s="3">
        <v>11060</v>
      </c>
      <c r="E4831" s="15"/>
    </row>
    <row r="4832" spans="1:5">
      <c r="A4832" s="4" t="s">
        <v>388</v>
      </c>
      <c r="B4832" s="2">
        <v>1700065</v>
      </c>
      <c r="C4832" s="2" t="s">
        <v>330</v>
      </c>
      <c r="D4832" s="3">
        <v>12760</v>
      </c>
      <c r="E4832" s="15"/>
    </row>
    <row r="4833" spans="1:5">
      <c r="A4833" s="4" t="s">
        <v>388</v>
      </c>
      <c r="B4833" s="2">
        <v>1700066</v>
      </c>
      <c r="C4833" s="2" t="s">
        <v>331</v>
      </c>
      <c r="D4833" s="3">
        <v>13200</v>
      </c>
      <c r="E4833" s="15"/>
    </row>
    <row r="4834" spans="1:5">
      <c r="A4834" s="4" t="s">
        <v>388</v>
      </c>
      <c r="B4834" s="2">
        <v>1700067</v>
      </c>
      <c r="C4834" s="2" t="s">
        <v>332</v>
      </c>
      <c r="D4834" s="3">
        <v>10720</v>
      </c>
      <c r="E4834" s="15"/>
    </row>
    <row r="4835" spans="1:5">
      <c r="A4835" s="4" t="s">
        <v>388</v>
      </c>
      <c r="B4835" s="2">
        <v>1700068</v>
      </c>
      <c r="C4835" s="2" t="s">
        <v>333</v>
      </c>
      <c r="D4835" s="3">
        <v>12720</v>
      </c>
      <c r="E4835" s="15"/>
    </row>
    <row r="4836" spans="1:5">
      <c r="A4836" s="4" t="s">
        <v>388</v>
      </c>
      <c r="B4836" s="2">
        <v>1700069</v>
      </c>
      <c r="C4836" s="2" t="s">
        <v>334</v>
      </c>
      <c r="D4836" s="3">
        <v>14000</v>
      </c>
      <c r="E4836" s="15"/>
    </row>
    <row r="4837" spans="1:5">
      <c r="A4837" s="4" t="s">
        <v>388</v>
      </c>
      <c r="B4837" s="2">
        <v>1700070</v>
      </c>
      <c r="C4837" s="2" t="s">
        <v>335</v>
      </c>
      <c r="D4837" s="3">
        <v>1618</v>
      </c>
      <c r="E4837" s="15"/>
    </row>
    <row r="4838" spans="1:5">
      <c r="A4838" s="4" t="s">
        <v>388</v>
      </c>
      <c r="B4838" s="2">
        <v>1700071</v>
      </c>
      <c r="C4838" s="2" t="s">
        <v>336</v>
      </c>
      <c r="D4838" s="3">
        <v>12190</v>
      </c>
      <c r="E4838" s="15"/>
    </row>
    <row r="4839" spans="1:5">
      <c r="A4839" s="4" t="s">
        <v>388</v>
      </c>
      <c r="B4839" s="2">
        <v>1700072</v>
      </c>
      <c r="C4839" s="2" t="s">
        <v>337</v>
      </c>
      <c r="D4839" s="3">
        <v>10180</v>
      </c>
      <c r="E4839" s="15"/>
    </row>
    <row r="4840" spans="1:5">
      <c r="A4840" s="4" t="s">
        <v>388</v>
      </c>
      <c r="B4840" s="2">
        <v>1700073</v>
      </c>
      <c r="C4840" s="2" t="s">
        <v>338</v>
      </c>
      <c r="D4840" s="3">
        <v>9020</v>
      </c>
      <c r="E4840" s="15"/>
    </row>
    <row r="4841" spans="1:5">
      <c r="A4841" s="4" t="s">
        <v>388</v>
      </c>
      <c r="B4841" s="2">
        <v>1700076</v>
      </c>
      <c r="C4841" s="2" t="s">
        <v>339</v>
      </c>
      <c r="D4841" s="3">
        <v>2693</v>
      </c>
      <c r="E4841" s="15"/>
    </row>
    <row r="4842" spans="1:5">
      <c r="A4842" s="4" t="s">
        <v>388</v>
      </c>
      <c r="B4842" s="2">
        <v>1700077</v>
      </c>
      <c r="C4842" s="2" t="s">
        <v>340</v>
      </c>
      <c r="D4842" s="3">
        <v>2591</v>
      </c>
      <c r="E4842" s="15"/>
    </row>
    <row r="4843" spans="1:5">
      <c r="A4843" s="4" t="s">
        <v>388</v>
      </c>
      <c r="B4843" s="2">
        <v>1700078</v>
      </c>
      <c r="C4843" s="2" t="s">
        <v>341</v>
      </c>
      <c r="D4843" s="3">
        <v>4706</v>
      </c>
      <c r="E4843" s="15"/>
    </row>
    <row r="4844" spans="1:5">
      <c r="A4844" s="4" t="s">
        <v>388</v>
      </c>
      <c r="B4844" s="2">
        <v>1700080</v>
      </c>
      <c r="C4844" s="2" t="s">
        <v>342</v>
      </c>
      <c r="D4844" s="3">
        <v>3922</v>
      </c>
      <c r="E4844" s="15"/>
    </row>
    <row r="4845" spans="1:5">
      <c r="A4845" s="4" t="s">
        <v>388</v>
      </c>
      <c r="B4845" s="2">
        <v>1700083</v>
      </c>
      <c r="C4845" s="2" t="s">
        <v>343</v>
      </c>
      <c r="D4845" s="3">
        <v>8333</v>
      </c>
      <c r="E4845" s="15"/>
    </row>
    <row r="4846" spans="1:5">
      <c r="A4846" s="4" t="s">
        <v>388</v>
      </c>
      <c r="B4846" s="2">
        <v>1700084</v>
      </c>
      <c r="C4846" s="2" t="s">
        <v>344</v>
      </c>
      <c r="D4846" s="3">
        <v>6435</v>
      </c>
      <c r="E4846" s="15"/>
    </row>
    <row r="4847" spans="1:5">
      <c r="A4847" s="4" t="s">
        <v>388</v>
      </c>
      <c r="B4847" s="2">
        <v>1700085</v>
      </c>
      <c r="C4847" s="2" t="s">
        <v>345</v>
      </c>
      <c r="D4847" s="3">
        <v>8720</v>
      </c>
      <c r="E4847" s="15"/>
    </row>
    <row r="4848" spans="1:5">
      <c r="A4848" s="4" t="s">
        <v>388</v>
      </c>
      <c r="B4848" s="2">
        <v>1700086</v>
      </c>
      <c r="C4848" s="2" t="s">
        <v>346</v>
      </c>
      <c r="D4848" s="3">
        <v>2637</v>
      </c>
      <c r="E4848" s="15"/>
    </row>
    <row r="4849" spans="1:5">
      <c r="A4849" s="4" t="s">
        <v>388</v>
      </c>
      <c r="B4849" s="2">
        <v>1700087</v>
      </c>
      <c r="C4849" s="2" t="s">
        <v>347</v>
      </c>
      <c r="D4849" s="3">
        <v>4890</v>
      </c>
      <c r="E4849" s="15"/>
    </row>
    <row r="4850" spans="1:5">
      <c r="A4850" s="4" t="s">
        <v>388</v>
      </c>
      <c r="B4850" s="2">
        <v>1700088</v>
      </c>
      <c r="C4850" s="2" t="s">
        <v>348</v>
      </c>
      <c r="D4850" s="3">
        <v>15500</v>
      </c>
      <c r="E4850" s="15"/>
    </row>
    <row r="4851" spans="1:5">
      <c r="A4851" s="4" t="s">
        <v>388</v>
      </c>
      <c r="B4851" s="2">
        <v>1700089</v>
      </c>
      <c r="C4851" s="2" t="s">
        <v>349</v>
      </c>
      <c r="D4851" s="3">
        <v>18500</v>
      </c>
      <c r="E4851" s="15"/>
    </row>
    <row r="4852" spans="1:5">
      <c r="A4852" s="4" t="s">
        <v>388</v>
      </c>
      <c r="B4852" s="2">
        <v>1700090</v>
      </c>
      <c r="C4852" s="2" t="s">
        <v>350</v>
      </c>
      <c r="D4852" s="3">
        <v>32843</v>
      </c>
      <c r="E4852" s="15"/>
    </row>
    <row r="4853" spans="1:5">
      <c r="A4853" s="4" t="s">
        <v>388</v>
      </c>
      <c r="B4853" s="2">
        <v>1700091</v>
      </c>
      <c r="C4853" s="2" t="s">
        <v>351</v>
      </c>
      <c r="D4853" s="3">
        <v>18353</v>
      </c>
      <c r="E4853" s="15"/>
    </row>
    <row r="4854" spans="1:5">
      <c r="A4854" s="4" t="s">
        <v>388</v>
      </c>
      <c r="B4854" s="2">
        <v>1700092</v>
      </c>
      <c r="C4854" s="2" t="s">
        <v>352</v>
      </c>
      <c r="D4854" s="3">
        <v>1657</v>
      </c>
      <c r="E4854" s="15"/>
    </row>
    <row r="4855" spans="1:5">
      <c r="A4855" s="4" t="s">
        <v>388</v>
      </c>
      <c r="B4855" s="2">
        <v>1700093</v>
      </c>
      <c r="C4855" s="2" t="s">
        <v>353</v>
      </c>
      <c r="D4855" s="3">
        <v>12430</v>
      </c>
      <c r="E4855" s="15"/>
    </row>
    <row r="4856" spans="1:5">
      <c r="A4856" s="4" t="s">
        <v>388</v>
      </c>
      <c r="B4856" s="2">
        <v>1700094</v>
      </c>
      <c r="C4856" s="2" t="s">
        <v>354</v>
      </c>
      <c r="D4856" s="3">
        <v>14020</v>
      </c>
      <c r="E4856" s="15"/>
    </row>
    <row r="4857" spans="1:5">
      <c r="A4857" s="4" t="s">
        <v>388</v>
      </c>
      <c r="B4857" s="2">
        <v>1700095</v>
      </c>
      <c r="C4857" s="2" t="s">
        <v>355</v>
      </c>
      <c r="D4857" s="3">
        <v>4500</v>
      </c>
      <c r="E4857" s="15"/>
    </row>
    <row r="4858" spans="1:5">
      <c r="A4858" s="4" t="s">
        <v>388</v>
      </c>
      <c r="B4858" s="2">
        <v>1700096</v>
      </c>
      <c r="C4858" s="2" t="s">
        <v>356</v>
      </c>
      <c r="D4858" s="3">
        <v>24510</v>
      </c>
      <c r="E4858" s="15"/>
    </row>
    <row r="4859" spans="1:5">
      <c r="A4859" s="4" t="s">
        <v>388</v>
      </c>
      <c r="B4859" s="2">
        <v>1700097</v>
      </c>
      <c r="C4859" s="2" t="s">
        <v>357</v>
      </c>
      <c r="D4859" s="3">
        <v>19608</v>
      </c>
      <c r="E4859" s="15"/>
    </row>
    <row r="4860" spans="1:5">
      <c r="A4860" s="4" t="s">
        <v>388</v>
      </c>
      <c r="B4860" s="2">
        <v>1700098</v>
      </c>
      <c r="C4860" s="2" t="s">
        <v>358</v>
      </c>
      <c r="D4860" s="3">
        <v>19608</v>
      </c>
      <c r="E4860" s="15"/>
    </row>
    <row r="4861" spans="1:5">
      <c r="A4861" s="4" t="s">
        <v>388</v>
      </c>
      <c r="B4861" s="2">
        <v>1700099</v>
      </c>
      <c r="C4861" s="2" t="s">
        <v>359</v>
      </c>
      <c r="D4861" s="3">
        <v>9833</v>
      </c>
      <c r="E4861" s="15"/>
    </row>
    <row r="4862" spans="1:5">
      <c r="A4862" s="4" t="s">
        <v>388</v>
      </c>
      <c r="B4862" s="2">
        <v>1700100</v>
      </c>
      <c r="C4862" s="2" t="s">
        <v>360</v>
      </c>
      <c r="D4862" s="3">
        <v>4220</v>
      </c>
      <c r="E4862" s="15"/>
    </row>
    <row r="4863" spans="1:5">
      <c r="A4863" s="4" t="s">
        <v>388</v>
      </c>
      <c r="B4863" s="2">
        <v>1700101</v>
      </c>
      <c r="C4863" s="2" t="s">
        <v>361</v>
      </c>
      <c r="D4863" s="3">
        <v>7647</v>
      </c>
      <c r="E4863" s="15"/>
    </row>
    <row r="4864" spans="1:5">
      <c r="A4864" s="4" t="s">
        <v>388</v>
      </c>
      <c r="B4864" s="2">
        <v>1700102</v>
      </c>
      <c r="C4864" s="2" t="s">
        <v>362</v>
      </c>
      <c r="D4864" s="3">
        <v>40196</v>
      </c>
      <c r="E4864" s="15"/>
    </row>
    <row r="4865" spans="1:5">
      <c r="A4865" s="4" t="s">
        <v>388</v>
      </c>
      <c r="B4865" s="2">
        <v>1700103</v>
      </c>
      <c r="C4865" s="2" t="s">
        <v>363</v>
      </c>
      <c r="D4865" s="3">
        <v>9000</v>
      </c>
      <c r="E4865" s="15"/>
    </row>
    <row r="4866" spans="1:5">
      <c r="A4866" s="4" t="s">
        <v>388</v>
      </c>
      <c r="B4866" s="2">
        <v>1700104</v>
      </c>
      <c r="C4866" s="2" t="s">
        <v>364</v>
      </c>
      <c r="D4866" s="3">
        <v>25820</v>
      </c>
      <c r="E4866" s="15"/>
    </row>
    <row r="4867" spans="1:5">
      <c r="A4867" s="4" t="s">
        <v>388</v>
      </c>
      <c r="B4867" s="2">
        <v>1700105</v>
      </c>
      <c r="C4867" s="2" t="s">
        <v>365</v>
      </c>
      <c r="D4867" s="3">
        <v>10588</v>
      </c>
      <c r="E4867" s="15"/>
    </row>
    <row r="4868" spans="1:5">
      <c r="A4868" s="4" t="s">
        <v>388</v>
      </c>
      <c r="B4868" s="2">
        <v>1700106</v>
      </c>
      <c r="C4868" s="2" t="s">
        <v>366</v>
      </c>
      <c r="D4868" s="3">
        <v>14020</v>
      </c>
      <c r="E4868" s="15"/>
    </row>
    <row r="4869" spans="1:5">
      <c r="A4869" s="4" t="s">
        <v>388</v>
      </c>
      <c r="B4869" s="2">
        <v>1700107</v>
      </c>
      <c r="C4869" s="2" t="s">
        <v>367</v>
      </c>
      <c r="D4869" s="3">
        <v>9020</v>
      </c>
      <c r="E4869" s="15"/>
    </row>
    <row r="4870" spans="1:5">
      <c r="A4870" s="4" t="s">
        <v>388</v>
      </c>
      <c r="B4870" s="2">
        <v>1800002</v>
      </c>
      <c r="C4870" s="2" t="s">
        <v>368</v>
      </c>
      <c r="D4870" s="3">
        <v>9520</v>
      </c>
      <c r="E4870" s="15"/>
    </row>
    <row r="4871" spans="1:5">
      <c r="A4871" s="4" t="s">
        <v>388</v>
      </c>
      <c r="B4871" s="2">
        <v>1800004</v>
      </c>
      <c r="C4871" s="2" t="s">
        <v>369</v>
      </c>
      <c r="D4871" s="3">
        <v>0</v>
      </c>
    </row>
    <row r="4872" spans="1:5">
      <c r="A4872" s="4" t="s">
        <v>388</v>
      </c>
      <c r="B4872" s="2">
        <v>1800005</v>
      </c>
      <c r="C4872" s="2" t="s">
        <v>370</v>
      </c>
      <c r="D4872" s="3">
        <v>0</v>
      </c>
    </row>
    <row r="4873" spans="1:5">
      <c r="A4873" s="4" t="s">
        <v>388</v>
      </c>
      <c r="B4873" s="2">
        <v>1800006</v>
      </c>
      <c r="C4873" s="2" t="s">
        <v>371</v>
      </c>
      <c r="D4873" s="3">
        <v>0</v>
      </c>
    </row>
    <row r="4874" spans="1:5">
      <c r="A4874" s="4" t="s">
        <v>388</v>
      </c>
      <c r="B4874" s="2">
        <v>1800007</v>
      </c>
      <c r="C4874" s="2" t="s">
        <v>372</v>
      </c>
      <c r="D4874" s="3">
        <v>10000</v>
      </c>
      <c r="E4874" s="15"/>
    </row>
    <row r="4875" spans="1:5">
      <c r="A4875" s="4" t="s">
        <v>388</v>
      </c>
      <c r="B4875" s="2">
        <v>1800008</v>
      </c>
      <c r="C4875" s="2" t="s">
        <v>373</v>
      </c>
      <c r="D4875" s="3">
        <v>10230</v>
      </c>
      <c r="E4875" s="15"/>
    </row>
    <row r="4876" spans="1:5">
      <c r="A4876" s="4" t="s">
        <v>388</v>
      </c>
      <c r="B4876" s="2">
        <v>1800009</v>
      </c>
      <c r="C4876" s="2" t="s">
        <v>374</v>
      </c>
      <c r="D4876" s="3">
        <v>11800</v>
      </c>
      <c r="E4876" s="15"/>
    </row>
    <row r="4877" spans="1:5">
      <c r="A4877" s="4" t="s">
        <v>388</v>
      </c>
      <c r="B4877" s="2">
        <v>1800010</v>
      </c>
      <c r="C4877" s="2" t="s">
        <v>375</v>
      </c>
      <c r="D4877" s="3">
        <v>6863</v>
      </c>
      <c r="E4877" s="15"/>
    </row>
    <row r="4878" spans="1:5">
      <c r="A4878" s="4" t="s">
        <v>388</v>
      </c>
      <c r="B4878" s="2">
        <v>1800011</v>
      </c>
      <c r="C4878" s="2" t="s">
        <v>376</v>
      </c>
      <c r="D4878" s="3">
        <v>13235</v>
      </c>
      <c r="E4878" s="15"/>
    </row>
    <row r="4879" spans="1:5">
      <c r="A4879" s="4" t="s">
        <v>388</v>
      </c>
      <c r="B4879" s="2">
        <v>1800012</v>
      </c>
      <c r="C4879" s="2" t="s">
        <v>377</v>
      </c>
      <c r="D4879" s="3">
        <v>8235</v>
      </c>
      <c r="E4879" s="15"/>
    </row>
    <row r="4880" spans="1:5">
      <c r="A4880" s="4" t="s">
        <v>388</v>
      </c>
      <c r="B4880" s="2">
        <v>1800013</v>
      </c>
      <c r="C4880" s="2" t="s">
        <v>378</v>
      </c>
      <c r="D4880" s="3">
        <v>49100</v>
      </c>
      <c r="E4880" s="15"/>
    </row>
    <row r="4881" spans="1:7">
      <c r="A4881" s="4" t="s">
        <v>388</v>
      </c>
      <c r="B4881" s="2">
        <v>1800014</v>
      </c>
      <c r="C4881" s="2" t="s">
        <v>379</v>
      </c>
      <c r="D4881" s="3">
        <v>70000</v>
      </c>
      <c r="E4881" s="15"/>
    </row>
    <row r="4882" spans="1:7">
      <c r="A4882" s="4" t="s">
        <v>388</v>
      </c>
      <c r="B4882" s="2">
        <v>1800015</v>
      </c>
      <c r="C4882" s="2" t="s">
        <v>380</v>
      </c>
      <c r="D4882" s="3">
        <v>66700</v>
      </c>
      <c r="E4882" s="15"/>
    </row>
    <row r="4883" spans="1:7">
      <c r="A4883" s="4" t="s">
        <v>388</v>
      </c>
      <c r="B4883" s="2">
        <v>1900013</v>
      </c>
      <c r="C4883" s="2" t="s">
        <v>381</v>
      </c>
      <c r="D4883" s="3">
        <v>0</v>
      </c>
    </row>
    <row r="4884" spans="1:7">
      <c r="A4884" s="4" t="s">
        <v>388</v>
      </c>
      <c r="B4884" s="2">
        <v>1900018</v>
      </c>
      <c r="C4884" s="2" t="s">
        <v>382</v>
      </c>
      <c r="D4884" s="3">
        <v>0</v>
      </c>
    </row>
    <row r="4885" spans="1:7">
      <c r="A4885" s="4" t="s">
        <v>389</v>
      </c>
      <c r="B4885" s="5">
        <v>1010101</v>
      </c>
      <c r="C4885" s="5" t="s">
        <v>5</v>
      </c>
      <c r="D4885" s="3">
        <v>698</v>
      </c>
      <c r="E4885" s="16"/>
      <c r="G4885" s="16"/>
    </row>
    <row r="4886" spans="1:7">
      <c r="A4886" s="4" t="s">
        <v>389</v>
      </c>
      <c r="B4886" s="5">
        <v>1010111</v>
      </c>
      <c r="C4886" s="5" t="s">
        <v>9</v>
      </c>
      <c r="D4886" s="3">
        <v>19100</v>
      </c>
      <c r="E4886" s="16"/>
      <c r="G4886" s="16"/>
    </row>
    <row r="4887" spans="1:7">
      <c r="A4887" s="4" t="s">
        <v>389</v>
      </c>
      <c r="B4887" s="5">
        <v>1010201</v>
      </c>
      <c r="C4887" s="5" t="s">
        <v>11</v>
      </c>
      <c r="D4887" s="3">
        <v>1373</v>
      </c>
      <c r="E4887" s="16"/>
      <c r="G4887" s="16"/>
    </row>
    <row r="4888" spans="1:7">
      <c r="A4888" s="4" t="s">
        <v>389</v>
      </c>
      <c r="B4888" s="5">
        <v>1010300</v>
      </c>
      <c r="C4888" s="5" t="s">
        <v>213</v>
      </c>
      <c r="D4888" s="3">
        <v>9608</v>
      </c>
      <c r="E4888" s="16"/>
      <c r="G4888" s="16"/>
    </row>
    <row r="4889" spans="1:7">
      <c r="A4889" s="4" t="s">
        <v>389</v>
      </c>
      <c r="B4889" s="5">
        <v>1010301</v>
      </c>
      <c r="C4889" s="5" t="s">
        <v>214</v>
      </c>
      <c r="D4889" s="3">
        <v>6373</v>
      </c>
      <c r="E4889" s="16"/>
      <c r="G4889" s="16"/>
    </row>
    <row r="4890" spans="1:7">
      <c r="A4890" s="4" t="s">
        <v>389</v>
      </c>
      <c r="B4890" s="5">
        <v>1010302</v>
      </c>
      <c r="C4890" s="5" t="s">
        <v>16</v>
      </c>
      <c r="D4890" s="3">
        <v>4314</v>
      </c>
      <c r="E4890" s="16"/>
      <c r="G4890" s="16"/>
    </row>
    <row r="4891" spans="1:7">
      <c r="A4891" s="4" t="s">
        <v>389</v>
      </c>
      <c r="B4891" s="5">
        <v>1010303</v>
      </c>
      <c r="C4891" s="5" t="s">
        <v>18</v>
      </c>
      <c r="D4891" s="3">
        <v>882</v>
      </c>
      <c r="E4891" s="16"/>
      <c r="G4891" s="16"/>
    </row>
    <row r="4892" spans="1:7">
      <c r="A4892" s="4" t="s">
        <v>389</v>
      </c>
      <c r="B4892" s="5">
        <v>1010304</v>
      </c>
      <c r="C4892" s="5" t="s">
        <v>215</v>
      </c>
      <c r="D4892" s="3">
        <v>1422</v>
      </c>
      <c r="E4892" s="16"/>
      <c r="G4892" s="16"/>
    </row>
    <row r="4893" spans="1:7">
      <c r="A4893" s="4" t="s">
        <v>389</v>
      </c>
      <c r="B4893" s="5">
        <v>1010401</v>
      </c>
      <c r="C4893" s="5" t="s">
        <v>20</v>
      </c>
      <c r="D4893" s="3">
        <v>3824</v>
      </c>
      <c r="E4893" s="16"/>
      <c r="G4893" s="16"/>
    </row>
    <row r="4894" spans="1:7">
      <c r="A4894" s="4" t="s">
        <v>389</v>
      </c>
      <c r="B4894" s="5">
        <v>1010405</v>
      </c>
      <c r="C4894" s="5" t="s">
        <v>22</v>
      </c>
      <c r="D4894" s="3">
        <v>9975</v>
      </c>
      <c r="E4894" s="16"/>
      <c r="G4894" s="16"/>
    </row>
    <row r="4895" spans="1:7">
      <c r="A4895" s="4" t="s">
        <v>389</v>
      </c>
      <c r="B4895" s="5">
        <v>1010501</v>
      </c>
      <c r="C4895" s="5" t="s">
        <v>24</v>
      </c>
      <c r="D4895" s="3">
        <v>980</v>
      </c>
      <c r="E4895" s="16"/>
      <c r="G4895" s="16"/>
    </row>
    <row r="4896" spans="1:7">
      <c r="A4896" s="4" t="s">
        <v>389</v>
      </c>
      <c r="B4896" s="5">
        <v>1010502</v>
      </c>
      <c r="C4896" s="5" t="s">
        <v>216</v>
      </c>
      <c r="D4896" s="3">
        <v>0</v>
      </c>
      <c r="E4896" s="16"/>
      <c r="G4896" s="16"/>
    </row>
    <row r="4897" spans="1:7">
      <c r="A4897" s="4" t="s">
        <v>389</v>
      </c>
      <c r="B4897" s="5">
        <v>1010601</v>
      </c>
      <c r="C4897" s="5" t="s">
        <v>26</v>
      </c>
      <c r="D4897" s="3">
        <v>4902</v>
      </c>
      <c r="E4897" s="16"/>
      <c r="G4897" s="16"/>
    </row>
    <row r="4898" spans="1:7">
      <c r="A4898" s="4" t="s">
        <v>389</v>
      </c>
      <c r="B4898" s="5">
        <v>1010701</v>
      </c>
      <c r="C4898" s="5" t="s">
        <v>28</v>
      </c>
      <c r="D4898" s="3">
        <v>686</v>
      </c>
      <c r="E4898" s="16"/>
      <c r="G4898" s="16"/>
    </row>
    <row r="4899" spans="1:7">
      <c r="A4899" s="4" t="s">
        <v>389</v>
      </c>
      <c r="B4899" s="5">
        <v>1010801</v>
      </c>
      <c r="C4899" s="5" t="s">
        <v>30</v>
      </c>
      <c r="D4899" s="3">
        <v>9449</v>
      </c>
      <c r="E4899" s="16"/>
      <c r="G4899" s="16"/>
    </row>
    <row r="4900" spans="1:7">
      <c r="A4900" s="4" t="s">
        <v>389</v>
      </c>
      <c r="B4900" s="5">
        <v>1010901</v>
      </c>
      <c r="C4900" s="5" t="s">
        <v>32</v>
      </c>
      <c r="D4900" s="3">
        <v>4804</v>
      </c>
      <c r="E4900" s="16"/>
      <c r="G4900" s="16"/>
    </row>
    <row r="4901" spans="1:7">
      <c r="A4901" s="4" t="s">
        <v>389</v>
      </c>
      <c r="B4901" s="5">
        <v>1020101</v>
      </c>
      <c r="C4901" s="5" t="s">
        <v>34</v>
      </c>
      <c r="D4901" s="3">
        <v>11667</v>
      </c>
      <c r="E4901" s="16"/>
      <c r="G4901" s="16"/>
    </row>
    <row r="4902" spans="1:7">
      <c r="A4902" s="4" t="s">
        <v>389</v>
      </c>
      <c r="B4902" s="5">
        <v>1020201</v>
      </c>
      <c r="C4902" s="5" t="s">
        <v>217</v>
      </c>
      <c r="D4902" s="3">
        <v>5600</v>
      </c>
      <c r="E4902" s="16"/>
      <c r="G4902" s="16"/>
    </row>
    <row r="4903" spans="1:7">
      <c r="A4903" s="4" t="s">
        <v>389</v>
      </c>
      <c r="B4903" s="5">
        <v>1020301</v>
      </c>
      <c r="C4903" s="5" t="s">
        <v>38</v>
      </c>
      <c r="D4903" s="3">
        <v>2640</v>
      </c>
      <c r="E4903" s="16"/>
      <c r="G4903" s="16"/>
    </row>
    <row r="4904" spans="1:7">
      <c r="A4904" s="4" t="s">
        <v>389</v>
      </c>
      <c r="B4904" s="5">
        <v>1020401</v>
      </c>
      <c r="C4904" s="5" t="s">
        <v>40</v>
      </c>
      <c r="D4904" s="3">
        <v>3420</v>
      </c>
      <c r="E4904" s="16"/>
      <c r="G4904" s="16"/>
    </row>
    <row r="4905" spans="1:7">
      <c r="A4905" s="4" t="s">
        <v>389</v>
      </c>
      <c r="B4905" s="5">
        <v>1030102</v>
      </c>
      <c r="C4905" s="5" t="s">
        <v>218</v>
      </c>
      <c r="D4905" s="3">
        <v>0</v>
      </c>
      <c r="E4905" s="16"/>
      <c r="G4905" s="16"/>
    </row>
    <row r="4906" spans="1:7">
      <c r="A4906" s="4" t="s">
        <v>389</v>
      </c>
      <c r="B4906" s="5">
        <v>1030201</v>
      </c>
      <c r="C4906" s="5" t="s">
        <v>42</v>
      </c>
      <c r="D4906" s="3">
        <v>2843</v>
      </c>
      <c r="E4906" s="16"/>
      <c r="G4906" s="16"/>
    </row>
    <row r="4907" spans="1:7">
      <c r="A4907" s="4" t="s">
        <v>389</v>
      </c>
      <c r="B4907" s="5">
        <v>1030203</v>
      </c>
      <c r="C4907" s="5" t="s">
        <v>219</v>
      </c>
      <c r="D4907" s="3">
        <v>0</v>
      </c>
      <c r="E4907" s="16"/>
      <c r="G4907" s="16"/>
    </row>
    <row r="4908" spans="1:7">
      <c r="A4908" s="4" t="s">
        <v>389</v>
      </c>
      <c r="B4908" s="5">
        <v>1030204</v>
      </c>
      <c r="C4908" s="5" t="s">
        <v>220</v>
      </c>
      <c r="D4908" s="3">
        <v>0</v>
      </c>
      <c r="E4908" s="16"/>
      <c r="G4908" s="16"/>
    </row>
    <row r="4909" spans="1:7">
      <c r="A4909" s="4" t="s">
        <v>389</v>
      </c>
      <c r="B4909" s="5">
        <v>1030205</v>
      </c>
      <c r="C4909" s="5" t="s">
        <v>44</v>
      </c>
      <c r="D4909" s="3">
        <v>5000</v>
      </c>
      <c r="E4909" s="16"/>
      <c r="G4909" s="16"/>
    </row>
    <row r="4910" spans="1:7">
      <c r="A4910" s="4" t="s">
        <v>389</v>
      </c>
      <c r="B4910" s="5">
        <v>1030206</v>
      </c>
      <c r="C4910" s="5" t="s">
        <v>46</v>
      </c>
      <c r="D4910" s="3">
        <v>6200</v>
      </c>
      <c r="E4910" s="16"/>
      <c r="G4910" s="16"/>
    </row>
    <row r="4911" spans="1:7">
      <c r="A4911" s="4" t="s">
        <v>389</v>
      </c>
      <c r="B4911" s="5">
        <v>1030207</v>
      </c>
      <c r="C4911" s="5" t="s">
        <v>48</v>
      </c>
      <c r="D4911" s="3">
        <v>4600</v>
      </c>
      <c r="E4911" s="16"/>
      <c r="G4911" s="16"/>
    </row>
    <row r="4912" spans="1:7">
      <c r="A4912" s="4" t="s">
        <v>389</v>
      </c>
      <c r="B4912" s="5">
        <v>1030501</v>
      </c>
      <c r="C4912" s="5" t="s">
        <v>50</v>
      </c>
      <c r="D4912" s="3">
        <v>1141</v>
      </c>
      <c r="E4912" s="16"/>
      <c r="G4912" s="16"/>
    </row>
    <row r="4913" spans="1:7">
      <c r="A4913" s="4" t="s">
        <v>389</v>
      </c>
      <c r="B4913" s="5">
        <v>1030601</v>
      </c>
      <c r="C4913" s="5" t="s">
        <v>52</v>
      </c>
      <c r="D4913" s="3">
        <v>3000</v>
      </c>
      <c r="E4913" s="16"/>
      <c r="G4913" s="16"/>
    </row>
    <row r="4914" spans="1:7">
      <c r="A4914" s="4" t="s">
        <v>389</v>
      </c>
      <c r="B4914" s="5">
        <v>1030701</v>
      </c>
      <c r="C4914" s="5" t="s">
        <v>221</v>
      </c>
      <c r="D4914" s="3">
        <v>3000</v>
      </c>
      <c r="E4914" s="16"/>
      <c r="G4914" s="16"/>
    </row>
    <row r="4915" spans="1:7">
      <c r="A4915" s="4" t="s">
        <v>389</v>
      </c>
      <c r="B4915" s="5">
        <v>1030705</v>
      </c>
      <c r="C4915" s="5" t="s">
        <v>222</v>
      </c>
      <c r="D4915" s="3">
        <v>0</v>
      </c>
      <c r="E4915" s="16"/>
      <c r="G4915" s="16"/>
    </row>
    <row r="4916" spans="1:7">
      <c r="A4916" s="4" t="s">
        <v>389</v>
      </c>
      <c r="B4916" s="5">
        <v>1030801</v>
      </c>
      <c r="C4916" s="5" t="s">
        <v>54</v>
      </c>
      <c r="D4916" s="3">
        <v>1176</v>
      </c>
      <c r="E4916" s="16"/>
      <c r="G4916" s="16"/>
    </row>
    <row r="4917" spans="1:7">
      <c r="A4917" s="4" t="s">
        <v>389</v>
      </c>
      <c r="B4917" s="5">
        <v>1030901</v>
      </c>
      <c r="C4917" s="5" t="s">
        <v>223</v>
      </c>
      <c r="D4917" s="3">
        <v>0</v>
      </c>
      <c r="E4917" s="16"/>
      <c r="G4917" s="16"/>
    </row>
    <row r="4918" spans="1:7">
      <c r="A4918" s="4" t="s">
        <v>389</v>
      </c>
      <c r="B4918" s="5">
        <v>1040201</v>
      </c>
      <c r="C4918" s="5" t="s">
        <v>56</v>
      </c>
      <c r="D4918" s="3">
        <v>1459</v>
      </c>
      <c r="E4918" s="16"/>
      <c r="G4918" s="16"/>
    </row>
    <row r="4919" spans="1:7">
      <c r="A4919" s="4" t="s">
        <v>389</v>
      </c>
      <c r="B4919" s="5">
        <v>1040202</v>
      </c>
      <c r="C4919" s="5" t="s">
        <v>224</v>
      </c>
      <c r="D4919" s="3">
        <v>0</v>
      </c>
      <c r="E4919" s="16"/>
      <c r="G4919" s="16"/>
    </row>
    <row r="4920" spans="1:7">
      <c r="A4920" s="4" t="s">
        <v>389</v>
      </c>
      <c r="B4920" s="5">
        <v>1040203</v>
      </c>
      <c r="C4920" s="5" t="s">
        <v>225</v>
      </c>
      <c r="D4920" s="3">
        <v>0</v>
      </c>
      <c r="E4920" s="16"/>
      <c r="G4920" s="16"/>
    </row>
    <row r="4921" spans="1:7">
      <c r="A4921" s="4" t="s">
        <v>389</v>
      </c>
      <c r="B4921" s="5">
        <v>1040204</v>
      </c>
      <c r="C4921" s="5" t="s">
        <v>226</v>
      </c>
      <c r="D4921" s="3">
        <v>8583</v>
      </c>
      <c r="E4921" s="16"/>
      <c r="G4921" s="16"/>
    </row>
    <row r="4922" spans="1:7">
      <c r="A4922" s="4" t="s">
        <v>389</v>
      </c>
      <c r="B4922" s="5">
        <v>1040301</v>
      </c>
      <c r="C4922" s="5" t="s">
        <v>58</v>
      </c>
      <c r="D4922" s="3">
        <v>1619</v>
      </c>
      <c r="E4922" s="16"/>
      <c r="G4922" s="16"/>
    </row>
    <row r="4923" spans="1:7">
      <c r="A4923" s="4" t="s">
        <v>389</v>
      </c>
      <c r="B4923" s="5">
        <v>1040401</v>
      </c>
      <c r="C4923" s="5" t="s">
        <v>227</v>
      </c>
      <c r="D4923" s="3">
        <v>3350</v>
      </c>
      <c r="E4923" s="16"/>
      <c r="G4923" s="16"/>
    </row>
    <row r="4924" spans="1:7">
      <c r="A4924" s="4" t="s">
        <v>389</v>
      </c>
      <c r="B4924" s="5">
        <v>1050102</v>
      </c>
      <c r="C4924" s="5" t="s">
        <v>60</v>
      </c>
      <c r="D4924" s="3">
        <v>31475</v>
      </c>
      <c r="E4924" s="16"/>
      <c r="G4924" s="16"/>
    </row>
    <row r="4925" spans="1:7">
      <c r="A4925" s="4" t="s">
        <v>389</v>
      </c>
      <c r="B4925" s="5">
        <v>1050103</v>
      </c>
      <c r="C4925" s="5" t="s">
        <v>228</v>
      </c>
      <c r="D4925" s="3">
        <v>11275</v>
      </c>
      <c r="E4925" s="16"/>
      <c r="G4925" s="16"/>
    </row>
    <row r="4926" spans="1:7">
      <c r="A4926" s="4" t="s">
        <v>389</v>
      </c>
      <c r="B4926" s="5">
        <v>1050301</v>
      </c>
      <c r="C4926" s="5" t="s">
        <v>62</v>
      </c>
      <c r="D4926" s="3">
        <v>9804</v>
      </c>
      <c r="E4926" s="16"/>
      <c r="G4926" s="16"/>
    </row>
    <row r="4927" spans="1:7">
      <c r="A4927" s="4" t="s">
        <v>389</v>
      </c>
      <c r="B4927" s="5">
        <v>1050401</v>
      </c>
      <c r="C4927" s="5" t="s">
        <v>64</v>
      </c>
      <c r="D4927" s="3">
        <v>8824</v>
      </c>
      <c r="E4927" s="16"/>
      <c r="G4927" s="16"/>
    </row>
    <row r="4928" spans="1:7">
      <c r="A4928" s="4" t="s">
        <v>389</v>
      </c>
      <c r="B4928" s="5">
        <v>1050501</v>
      </c>
      <c r="C4928" s="5" t="s">
        <v>66</v>
      </c>
      <c r="D4928" s="3">
        <v>10784</v>
      </c>
      <c r="E4928" s="16"/>
      <c r="G4928" s="16"/>
    </row>
    <row r="4929" spans="1:7">
      <c r="A4929" s="4" t="s">
        <v>389</v>
      </c>
      <c r="B4929" s="5">
        <v>1050511</v>
      </c>
      <c r="C4929" s="5" t="s">
        <v>68</v>
      </c>
      <c r="D4929" s="3">
        <v>17647</v>
      </c>
      <c r="E4929" s="16"/>
      <c r="G4929" s="16"/>
    </row>
    <row r="4930" spans="1:7">
      <c r="A4930" s="4" t="s">
        <v>389</v>
      </c>
      <c r="B4930" s="5">
        <v>1050512</v>
      </c>
      <c r="C4930" s="5" t="s">
        <v>229</v>
      </c>
      <c r="D4930" s="3">
        <v>0</v>
      </c>
      <c r="E4930" s="16"/>
      <c r="G4930" s="16"/>
    </row>
    <row r="4931" spans="1:7">
      <c r="A4931" s="4" t="s">
        <v>389</v>
      </c>
      <c r="B4931" s="5">
        <v>1050521</v>
      </c>
      <c r="C4931" s="5" t="s">
        <v>70</v>
      </c>
      <c r="D4931" s="3">
        <v>14706</v>
      </c>
      <c r="E4931" s="16"/>
      <c r="G4931" s="16"/>
    </row>
    <row r="4932" spans="1:7">
      <c r="A4932" s="4" t="s">
        <v>389</v>
      </c>
      <c r="B4932" s="5">
        <v>1050531</v>
      </c>
      <c r="C4932" s="5" t="s">
        <v>72</v>
      </c>
      <c r="D4932" s="3">
        <v>21000</v>
      </c>
      <c r="E4932" s="16"/>
      <c r="G4932" s="16"/>
    </row>
    <row r="4933" spans="1:7">
      <c r="A4933" s="4" t="s">
        <v>389</v>
      </c>
      <c r="B4933" s="5">
        <v>1050541</v>
      </c>
      <c r="C4933" s="5" t="s">
        <v>74</v>
      </c>
      <c r="D4933" s="3">
        <v>11000</v>
      </c>
      <c r="E4933" s="16"/>
      <c r="G4933" s="16"/>
    </row>
    <row r="4934" spans="1:7">
      <c r="A4934" s="4" t="s">
        <v>389</v>
      </c>
      <c r="B4934" s="5">
        <v>1050551</v>
      </c>
      <c r="C4934" s="5" t="s">
        <v>76</v>
      </c>
      <c r="D4934" s="3">
        <v>54000</v>
      </c>
      <c r="E4934" s="16"/>
      <c r="G4934" s="16"/>
    </row>
    <row r="4935" spans="1:7">
      <c r="A4935" s="4" t="s">
        <v>389</v>
      </c>
      <c r="B4935" s="5">
        <v>1050561</v>
      </c>
      <c r="C4935" s="5" t="s">
        <v>78</v>
      </c>
      <c r="D4935" s="3">
        <v>77321</v>
      </c>
      <c r="E4935" s="16"/>
      <c r="G4935" s="16"/>
    </row>
    <row r="4936" spans="1:7">
      <c r="A4936" s="4" t="s">
        <v>389</v>
      </c>
      <c r="B4936" s="5">
        <v>1050571</v>
      </c>
      <c r="C4936" s="5" t="s">
        <v>80</v>
      </c>
      <c r="D4936" s="3">
        <v>58000</v>
      </c>
      <c r="E4936" s="16"/>
      <c r="G4936" s="16"/>
    </row>
    <row r="4937" spans="1:7">
      <c r="A4937" s="4" t="s">
        <v>389</v>
      </c>
      <c r="B4937" s="5">
        <v>1050581</v>
      </c>
      <c r="C4937" s="5" t="s">
        <v>82</v>
      </c>
      <c r="D4937" s="3">
        <v>60760</v>
      </c>
      <c r="E4937" s="16"/>
      <c r="G4937" s="16"/>
    </row>
    <row r="4938" spans="1:7">
      <c r="A4938" s="4" t="s">
        <v>389</v>
      </c>
      <c r="B4938" s="5">
        <v>1050591</v>
      </c>
      <c r="C4938" s="5" t="s">
        <v>84</v>
      </c>
      <c r="D4938" s="3">
        <v>97750</v>
      </c>
      <c r="E4938" s="16"/>
      <c r="G4938" s="16"/>
    </row>
    <row r="4939" spans="1:7">
      <c r="A4939" s="4" t="s">
        <v>389</v>
      </c>
      <c r="B4939" s="5">
        <v>1050601</v>
      </c>
      <c r="C4939" s="5" t="s">
        <v>86</v>
      </c>
      <c r="D4939" s="3">
        <v>6400</v>
      </c>
      <c r="E4939" s="16"/>
      <c r="G4939" s="16"/>
    </row>
    <row r="4940" spans="1:7">
      <c r="A4940" s="4" t="s">
        <v>389</v>
      </c>
      <c r="B4940" s="5">
        <v>1050701</v>
      </c>
      <c r="C4940" s="5" t="s">
        <v>88</v>
      </c>
      <c r="D4940" s="3">
        <v>6300</v>
      </c>
      <c r="E4940" s="16"/>
      <c r="G4940" s="16"/>
    </row>
    <row r="4941" spans="1:7">
      <c r="A4941" s="4" t="s">
        <v>389</v>
      </c>
      <c r="B4941" s="5">
        <v>1050702</v>
      </c>
      <c r="C4941" s="5" t="s">
        <v>90</v>
      </c>
      <c r="D4941" s="3">
        <v>6000</v>
      </c>
      <c r="E4941" s="16"/>
      <c r="G4941" s="16"/>
    </row>
    <row r="4942" spans="1:7">
      <c r="A4942" s="4" t="s">
        <v>389</v>
      </c>
      <c r="B4942" s="5">
        <v>1050711</v>
      </c>
      <c r="C4942" s="5" t="s">
        <v>92</v>
      </c>
      <c r="D4942" s="3">
        <v>2600</v>
      </c>
      <c r="E4942" s="16"/>
      <c r="G4942" s="16"/>
    </row>
    <row r="4943" spans="1:7">
      <c r="A4943" s="4" t="s">
        <v>389</v>
      </c>
      <c r="B4943" s="5">
        <v>1050721</v>
      </c>
      <c r="C4943" s="5" t="s">
        <v>94</v>
      </c>
      <c r="D4943" s="3">
        <v>14510</v>
      </c>
      <c r="E4943" s="16"/>
      <c r="G4943" s="16"/>
    </row>
    <row r="4944" spans="1:7">
      <c r="A4944" s="4" t="s">
        <v>389</v>
      </c>
      <c r="B4944" s="5">
        <v>1050801</v>
      </c>
      <c r="C4944" s="5" t="s">
        <v>7</v>
      </c>
      <c r="D4944" s="3">
        <v>882</v>
      </c>
      <c r="E4944" s="16"/>
      <c r="G4944" s="16"/>
    </row>
    <row r="4945" spans="1:7">
      <c r="A4945" s="4" t="s">
        <v>389</v>
      </c>
      <c r="B4945" s="5">
        <v>1050901</v>
      </c>
      <c r="C4945" s="5" t="s">
        <v>96</v>
      </c>
      <c r="D4945" s="3">
        <v>1216</v>
      </c>
      <c r="E4945" s="16"/>
      <c r="G4945" s="16"/>
    </row>
    <row r="4946" spans="1:7">
      <c r="A4946" s="4" t="s">
        <v>389</v>
      </c>
      <c r="B4946" s="5">
        <v>1060101</v>
      </c>
      <c r="C4946" s="5" t="s">
        <v>98</v>
      </c>
      <c r="D4946" s="3">
        <v>2200</v>
      </c>
      <c r="E4946" s="16"/>
      <c r="G4946" s="16"/>
    </row>
    <row r="4947" spans="1:7">
      <c r="A4947" s="4" t="s">
        <v>389</v>
      </c>
      <c r="B4947" s="5">
        <v>1060401</v>
      </c>
      <c r="C4947" s="5" t="s">
        <v>100</v>
      </c>
      <c r="D4947" s="3">
        <v>75000</v>
      </c>
      <c r="E4947" s="16"/>
      <c r="G4947" s="16"/>
    </row>
    <row r="4948" spans="1:7">
      <c r="A4948" s="4" t="s">
        <v>389</v>
      </c>
      <c r="B4948" s="5">
        <v>1060412</v>
      </c>
      <c r="C4948" s="5" t="s">
        <v>230</v>
      </c>
      <c r="D4948" s="3">
        <v>33000</v>
      </c>
      <c r="E4948" s="16"/>
      <c r="G4948" s="16"/>
    </row>
    <row r="4949" spans="1:7">
      <c r="A4949" s="4" t="s">
        <v>389</v>
      </c>
      <c r="B4949" s="5">
        <v>1060421</v>
      </c>
      <c r="C4949" s="5" t="s">
        <v>104</v>
      </c>
      <c r="D4949" s="3">
        <v>118000</v>
      </c>
      <c r="E4949" s="16"/>
      <c r="G4949" s="16"/>
    </row>
    <row r="4950" spans="1:7">
      <c r="A4950" s="4" t="s">
        <v>389</v>
      </c>
      <c r="B4950" s="5">
        <v>1060441</v>
      </c>
      <c r="C4950" s="5" t="s">
        <v>106</v>
      </c>
      <c r="D4950" s="3">
        <v>6471</v>
      </c>
      <c r="E4950" s="16"/>
      <c r="G4950" s="16"/>
    </row>
    <row r="4951" spans="1:7">
      <c r="A4951" s="4" t="s">
        <v>389</v>
      </c>
      <c r="B4951" s="5">
        <v>1060451</v>
      </c>
      <c r="C4951" s="5" t="s">
        <v>108</v>
      </c>
      <c r="D4951" s="3">
        <v>38235</v>
      </c>
      <c r="E4951" s="16"/>
      <c r="G4951" s="16"/>
    </row>
    <row r="4952" spans="1:7">
      <c r="A4952" s="4" t="s">
        <v>389</v>
      </c>
      <c r="B4952" s="5">
        <v>1070101</v>
      </c>
      <c r="C4952" s="5" t="s">
        <v>110</v>
      </c>
      <c r="D4952" s="3">
        <v>4000</v>
      </c>
      <c r="E4952" s="16"/>
      <c r="G4952" s="16"/>
    </row>
    <row r="4953" spans="1:7">
      <c r="A4953" s="4" t="s">
        <v>389</v>
      </c>
      <c r="B4953" s="5">
        <v>1070301</v>
      </c>
      <c r="C4953" s="5" t="s">
        <v>112</v>
      </c>
      <c r="D4953" s="3">
        <v>41000</v>
      </c>
      <c r="E4953" s="16"/>
      <c r="G4953" s="16"/>
    </row>
    <row r="4954" spans="1:7">
      <c r="A4954" s="4" t="s">
        <v>389</v>
      </c>
      <c r="B4954" s="5">
        <v>1070401</v>
      </c>
      <c r="C4954" s="5" t="s">
        <v>114</v>
      </c>
      <c r="D4954" s="3">
        <v>15900</v>
      </c>
      <c r="E4954" s="16"/>
      <c r="G4954" s="16"/>
    </row>
    <row r="4955" spans="1:7">
      <c r="A4955" s="4" t="s">
        <v>389</v>
      </c>
      <c r="B4955" s="5">
        <v>1070501</v>
      </c>
      <c r="C4955" s="5" t="s">
        <v>231</v>
      </c>
      <c r="D4955" s="3">
        <v>5500</v>
      </c>
      <c r="E4955" s="16"/>
      <c r="G4955" s="16"/>
    </row>
    <row r="4956" spans="1:7">
      <c r="A4956" s="4" t="s">
        <v>389</v>
      </c>
      <c r="B4956" s="5">
        <v>1070701</v>
      </c>
      <c r="C4956" s="5" t="s">
        <v>118</v>
      </c>
      <c r="D4956" s="3">
        <v>36000</v>
      </c>
      <c r="E4956" s="16"/>
      <c r="G4956" s="16"/>
    </row>
    <row r="4957" spans="1:7">
      <c r="A4957" s="4" t="s">
        <v>389</v>
      </c>
      <c r="B4957" s="5">
        <v>1070801</v>
      </c>
      <c r="C4957" s="5" t="s">
        <v>232</v>
      </c>
      <c r="D4957" s="3">
        <v>35000</v>
      </c>
      <c r="E4957" s="16"/>
      <c r="G4957" s="16"/>
    </row>
    <row r="4958" spans="1:7">
      <c r="A4958" s="4" t="s">
        <v>389</v>
      </c>
      <c r="B4958" s="5">
        <v>1080101</v>
      </c>
      <c r="C4958" s="5" t="s">
        <v>120</v>
      </c>
      <c r="D4958" s="3">
        <v>12000</v>
      </c>
      <c r="E4958" s="16"/>
      <c r="G4958" s="16"/>
    </row>
    <row r="4959" spans="1:7">
      <c r="A4959" s="4" t="s">
        <v>389</v>
      </c>
      <c r="B4959" s="5">
        <v>1080201</v>
      </c>
      <c r="C4959" s="5" t="s">
        <v>122</v>
      </c>
      <c r="D4959" s="3">
        <v>540</v>
      </c>
      <c r="E4959" s="16"/>
      <c r="G4959" s="16"/>
    </row>
    <row r="4960" spans="1:7">
      <c r="A4960" s="4" t="s">
        <v>389</v>
      </c>
      <c r="B4960" s="5">
        <v>1080301</v>
      </c>
      <c r="C4960" s="5" t="s">
        <v>124</v>
      </c>
      <c r="D4960" s="3">
        <v>1550</v>
      </c>
      <c r="E4960" s="16"/>
      <c r="G4960" s="16"/>
    </row>
    <row r="4961" spans="1:7">
      <c r="A4961" s="4" t="s">
        <v>389</v>
      </c>
      <c r="B4961" s="5">
        <v>1080401</v>
      </c>
      <c r="C4961" s="5" t="s">
        <v>233</v>
      </c>
      <c r="D4961" s="3">
        <v>3150</v>
      </c>
      <c r="E4961" s="16"/>
      <c r="G4961" s="16"/>
    </row>
    <row r="4962" spans="1:7">
      <c r="A4962" s="4" t="s">
        <v>389</v>
      </c>
      <c r="B4962" s="5">
        <v>1080411</v>
      </c>
      <c r="C4962" s="5" t="s">
        <v>128</v>
      </c>
      <c r="D4962" s="3">
        <v>3150</v>
      </c>
      <c r="E4962" s="16"/>
      <c r="G4962" s="16"/>
    </row>
    <row r="4963" spans="1:7">
      <c r="A4963" s="4" t="s">
        <v>389</v>
      </c>
      <c r="B4963" s="5">
        <v>1080501</v>
      </c>
      <c r="C4963" s="5" t="s">
        <v>130</v>
      </c>
      <c r="D4963" s="3">
        <v>4200</v>
      </c>
      <c r="E4963" s="16"/>
      <c r="G4963" s="16"/>
    </row>
    <row r="4964" spans="1:7">
      <c r="A4964" s="4" t="s">
        <v>389</v>
      </c>
      <c r="B4964" s="5">
        <v>1080602</v>
      </c>
      <c r="C4964" s="5" t="s">
        <v>234</v>
      </c>
      <c r="D4964" s="3">
        <v>38600</v>
      </c>
      <c r="E4964" s="16"/>
      <c r="G4964" s="16"/>
    </row>
    <row r="4965" spans="1:7">
      <c r="A4965" s="4" t="s">
        <v>389</v>
      </c>
      <c r="B4965" s="5">
        <v>1080604</v>
      </c>
      <c r="C4965" s="5" t="s">
        <v>235</v>
      </c>
      <c r="D4965" s="3">
        <v>0</v>
      </c>
      <c r="E4965" s="16"/>
      <c r="G4965" s="16"/>
    </row>
    <row r="4966" spans="1:7">
      <c r="A4966" s="4" t="s">
        <v>389</v>
      </c>
      <c r="B4966" s="5">
        <v>1080702</v>
      </c>
      <c r="C4966" s="5" t="s">
        <v>236</v>
      </c>
      <c r="D4966" s="3">
        <v>43500</v>
      </c>
      <c r="E4966" s="16"/>
      <c r="G4966" s="16"/>
    </row>
    <row r="4967" spans="1:7">
      <c r="A4967" s="4" t="s">
        <v>389</v>
      </c>
      <c r="B4967" s="5">
        <v>1080704</v>
      </c>
      <c r="C4967" s="5" t="s">
        <v>237</v>
      </c>
      <c r="D4967" s="3">
        <v>0</v>
      </c>
      <c r="E4967" s="16"/>
      <c r="G4967" s="16"/>
    </row>
    <row r="4968" spans="1:7">
      <c r="A4968" s="4" t="s">
        <v>389</v>
      </c>
      <c r="B4968" s="5">
        <v>1090104</v>
      </c>
      <c r="C4968" s="5" t="s">
        <v>136</v>
      </c>
      <c r="D4968" s="3">
        <v>40000</v>
      </c>
      <c r="E4968" s="16"/>
      <c r="G4968" s="16"/>
    </row>
    <row r="4969" spans="1:7">
      <c r="A4969" s="4" t="s">
        <v>389</v>
      </c>
      <c r="B4969" s="5">
        <v>1090112</v>
      </c>
      <c r="C4969" s="5" t="s">
        <v>138</v>
      </c>
      <c r="D4969" s="3">
        <v>35000</v>
      </c>
      <c r="E4969" s="16"/>
      <c r="G4969" s="16"/>
    </row>
    <row r="4970" spans="1:7">
      <c r="A4970" s="4" t="s">
        <v>389</v>
      </c>
      <c r="B4970" s="5">
        <v>1090201</v>
      </c>
      <c r="C4970" s="5" t="s">
        <v>140</v>
      </c>
      <c r="D4970" s="3">
        <v>15800</v>
      </c>
      <c r="E4970" s="16"/>
      <c r="G4970" s="16"/>
    </row>
    <row r="4971" spans="1:7">
      <c r="A4971" s="4" t="s">
        <v>389</v>
      </c>
      <c r="B4971" s="5">
        <v>1090202</v>
      </c>
      <c r="C4971" s="5" t="s">
        <v>142</v>
      </c>
      <c r="D4971" s="3">
        <v>98000</v>
      </c>
      <c r="E4971" s="16"/>
      <c r="G4971" s="16"/>
    </row>
    <row r="4972" spans="1:7">
      <c r="A4972" s="4" t="s">
        <v>389</v>
      </c>
      <c r="B4972" s="5">
        <v>1090203</v>
      </c>
      <c r="C4972" s="5" t="s">
        <v>144</v>
      </c>
      <c r="D4972" s="3">
        <v>23000</v>
      </c>
      <c r="E4972" s="16"/>
      <c r="G4972" s="16"/>
    </row>
    <row r="4973" spans="1:7">
      <c r="A4973" s="4" t="s">
        <v>389</v>
      </c>
      <c r="B4973" s="5">
        <v>1090211</v>
      </c>
      <c r="C4973" s="5" t="s">
        <v>146</v>
      </c>
      <c r="D4973" s="3">
        <v>64706</v>
      </c>
      <c r="E4973" s="16"/>
      <c r="G4973" s="16"/>
    </row>
    <row r="4974" spans="1:7">
      <c r="A4974" s="4" t="s">
        <v>389</v>
      </c>
      <c r="B4974" s="5">
        <v>1090301</v>
      </c>
      <c r="C4974" s="5" t="s">
        <v>238</v>
      </c>
      <c r="D4974" s="3">
        <v>32000</v>
      </c>
      <c r="E4974" s="16"/>
      <c r="G4974" s="16"/>
    </row>
    <row r="4975" spans="1:7">
      <c r="A4975" s="4" t="s">
        <v>389</v>
      </c>
      <c r="B4975" s="5">
        <v>1090311</v>
      </c>
      <c r="C4975" s="5" t="s">
        <v>150</v>
      </c>
      <c r="D4975" s="3">
        <v>37000</v>
      </c>
      <c r="E4975" s="16"/>
      <c r="G4975" s="16"/>
    </row>
    <row r="4976" spans="1:7">
      <c r="A4976" s="4" t="s">
        <v>389</v>
      </c>
      <c r="B4976" s="5">
        <v>1090321</v>
      </c>
      <c r="C4976" s="5" t="s">
        <v>152</v>
      </c>
      <c r="D4976" s="3">
        <v>66000</v>
      </c>
      <c r="E4976" s="16"/>
      <c r="G4976" s="16"/>
    </row>
    <row r="4977" spans="1:7">
      <c r="A4977" s="4" t="s">
        <v>389</v>
      </c>
      <c r="B4977" s="5">
        <v>1090401</v>
      </c>
      <c r="C4977" s="5" t="s">
        <v>154</v>
      </c>
      <c r="D4977" s="3">
        <v>9300</v>
      </c>
      <c r="E4977" s="16"/>
      <c r="G4977" s="16"/>
    </row>
    <row r="4978" spans="1:7">
      <c r="A4978" s="4" t="s">
        <v>389</v>
      </c>
      <c r="B4978" s="5">
        <v>1090411</v>
      </c>
      <c r="C4978" s="5" t="s">
        <v>156</v>
      </c>
      <c r="D4978" s="3">
        <v>42000</v>
      </c>
      <c r="E4978" s="16"/>
      <c r="G4978" s="16"/>
    </row>
    <row r="4979" spans="1:7">
      <c r="A4979" s="4" t="s">
        <v>389</v>
      </c>
      <c r="B4979" s="5">
        <v>1090421</v>
      </c>
      <c r="C4979" s="5" t="s">
        <v>158</v>
      </c>
      <c r="D4979" s="3">
        <v>36000</v>
      </c>
      <c r="E4979" s="16"/>
      <c r="G4979" s="16"/>
    </row>
    <row r="4980" spans="1:7">
      <c r="A4980" s="4" t="s">
        <v>389</v>
      </c>
      <c r="B4980" s="5">
        <v>1090551</v>
      </c>
      <c r="C4980" s="5" t="s">
        <v>239</v>
      </c>
      <c r="D4980" s="3">
        <v>5400</v>
      </c>
      <c r="E4980" s="16"/>
      <c r="G4980" s="16"/>
    </row>
    <row r="4981" spans="1:7">
      <c r="A4981" s="4" t="s">
        <v>389</v>
      </c>
      <c r="B4981" s="5">
        <v>1090602</v>
      </c>
      <c r="C4981" s="5" t="s">
        <v>162</v>
      </c>
      <c r="D4981" s="3">
        <v>5600</v>
      </c>
      <c r="E4981" s="16"/>
      <c r="G4981" s="16"/>
    </row>
    <row r="4982" spans="1:7">
      <c r="A4982" s="4" t="s">
        <v>389</v>
      </c>
      <c r="B4982" s="5">
        <v>1090611</v>
      </c>
      <c r="C4982" s="5" t="s">
        <v>164</v>
      </c>
      <c r="D4982" s="3">
        <v>4800</v>
      </c>
      <c r="E4982" s="16"/>
      <c r="G4982" s="16"/>
    </row>
    <row r="4983" spans="1:7">
      <c r="A4983" s="4" t="s">
        <v>389</v>
      </c>
      <c r="B4983" s="5">
        <v>1090701</v>
      </c>
      <c r="C4983" s="5" t="s">
        <v>166</v>
      </c>
      <c r="D4983" s="3">
        <v>21000</v>
      </c>
      <c r="E4983" s="16"/>
      <c r="G4983" s="16"/>
    </row>
    <row r="4984" spans="1:7">
      <c r="A4984" s="4" t="s">
        <v>389</v>
      </c>
      <c r="B4984" s="5">
        <v>1090901</v>
      </c>
      <c r="C4984" s="5" t="s">
        <v>168</v>
      </c>
      <c r="D4984" s="3">
        <v>4300</v>
      </c>
      <c r="E4984" s="16"/>
      <c r="G4984" s="16"/>
    </row>
    <row r="4985" spans="1:7">
      <c r="A4985" s="4" t="s">
        <v>389</v>
      </c>
      <c r="B4985" s="5">
        <v>1091001</v>
      </c>
      <c r="C4985" s="5" t="s">
        <v>170</v>
      </c>
      <c r="D4985" s="3">
        <v>7000</v>
      </c>
      <c r="E4985" s="16"/>
      <c r="G4985" s="16"/>
    </row>
    <row r="4986" spans="1:7">
      <c r="A4986" s="4" t="s">
        <v>389</v>
      </c>
      <c r="B4986" s="5">
        <v>1091002</v>
      </c>
      <c r="C4986" s="5" t="s">
        <v>172</v>
      </c>
      <c r="D4986" s="3">
        <v>4402</v>
      </c>
      <c r="E4986" s="16"/>
      <c r="G4986" s="16"/>
    </row>
    <row r="4987" spans="1:7">
      <c r="A4987" s="4" t="s">
        <v>389</v>
      </c>
      <c r="B4987" s="5">
        <v>1091003</v>
      </c>
      <c r="C4987" s="5" t="s">
        <v>174</v>
      </c>
      <c r="D4987" s="3">
        <v>14029</v>
      </c>
      <c r="E4987" s="16"/>
      <c r="G4987" s="16"/>
    </row>
    <row r="4988" spans="1:7">
      <c r="A4988" s="4" t="s">
        <v>389</v>
      </c>
      <c r="B4988" s="5">
        <v>1091004</v>
      </c>
      <c r="C4988" s="5" t="s">
        <v>240</v>
      </c>
      <c r="D4988" s="3">
        <v>0</v>
      </c>
      <c r="E4988" s="16"/>
      <c r="G4988" s="16"/>
    </row>
    <row r="4989" spans="1:7">
      <c r="A4989" s="4" t="s">
        <v>389</v>
      </c>
      <c r="B4989" s="5">
        <v>1091005</v>
      </c>
      <c r="C4989" s="5" t="s">
        <v>241</v>
      </c>
      <c r="D4989" s="3">
        <v>0</v>
      </c>
      <c r="E4989" s="16"/>
      <c r="G4989" s="16"/>
    </row>
    <row r="4990" spans="1:7">
      <c r="A4990" s="4" t="s">
        <v>389</v>
      </c>
      <c r="B4990" s="5">
        <v>1091006</v>
      </c>
      <c r="C4990" s="5" t="s">
        <v>242</v>
      </c>
      <c r="D4990" s="3">
        <v>0</v>
      </c>
      <c r="E4990" s="16"/>
      <c r="G4990" s="16"/>
    </row>
    <row r="4991" spans="1:7">
      <c r="A4991" s="4" t="s">
        <v>389</v>
      </c>
      <c r="B4991" s="5">
        <v>1091007</v>
      </c>
      <c r="C4991" s="5" t="s">
        <v>243</v>
      </c>
      <c r="D4991" s="3">
        <v>2470</v>
      </c>
      <c r="E4991" s="16"/>
      <c r="G4991" s="16"/>
    </row>
    <row r="4992" spans="1:7">
      <c r="A4992" s="4" t="s">
        <v>389</v>
      </c>
      <c r="B4992" s="5">
        <v>1091008</v>
      </c>
      <c r="C4992" s="5" t="s">
        <v>176</v>
      </c>
      <c r="D4992" s="3">
        <v>450000</v>
      </c>
      <c r="E4992" s="16"/>
      <c r="G4992" s="16"/>
    </row>
    <row r="4993" spans="1:7">
      <c r="A4993" s="4" t="s">
        <v>389</v>
      </c>
      <c r="B4993" s="5">
        <v>1091009</v>
      </c>
      <c r="C4993" s="5" t="s">
        <v>178</v>
      </c>
      <c r="D4993" s="3">
        <v>190000</v>
      </c>
      <c r="E4993" s="16"/>
      <c r="G4993" s="16"/>
    </row>
    <row r="4994" spans="1:7">
      <c r="A4994" s="4" t="s">
        <v>389</v>
      </c>
      <c r="B4994" s="5">
        <v>1091010</v>
      </c>
      <c r="C4994" s="5" t="s">
        <v>180</v>
      </c>
      <c r="D4994" s="3">
        <v>27000</v>
      </c>
      <c r="E4994" s="16"/>
      <c r="G4994" s="16"/>
    </row>
    <row r="4995" spans="1:7">
      <c r="A4995" s="4" t="s">
        <v>389</v>
      </c>
      <c r="B4995" s="5">
        <v>1091011</v>
      </c>
      <c r="C4995" s="5" t="s">
        <v>182</v>
      </c>
      <c r="D4995" s="3">
        <v>33000</v>
      </c>
      <c r="E4995" s="16"/>
      <c r="G4995" s="16"/>
    </row>
    <row r="4996" spans="1:7">
      <c r="A4996" s="4" t="s">
        <v>389</v>
      </c>
      <c r="B4996" s="5">
        <v>1091012</v>
      </c>
      <c r="C4996" s="5" t="s">
        <v>184</v>
      </c>
      <c r="D4996" s="3">
        <v>47000</v>
      </c>
      <c r="E4996" s="16"/>
      <c r="G4996" s="16"/>
    </row>
    <row r="4997" spans="1:7">
      <c r="A4997" s="4" t="s">
        <v>389</v>
      </c>
      <c r="B4997" s="5">
        <v>1091013</v>
      </c>
      <c r="C4997" s="5" t="s">
        <v>186</v>
      </c>
      <c r="D4997" s="3">
        <v>33000</v>
      </c>
      <c r="E4997" s="16"/>
      <c r="G4997" s="16"/>
    </row>
    <row r="4998" spans="1:7">
      <c r="A4998" s="4" t="s">
        <v>389</v>
      </c>
      <c r="B4998" s="5">
        <v>1091014</v>
      </c>
      <c r="C4998" s="5" t="s">
        <v>244</v>
      </c>
      <c r="D4998" s="3">
        <v>6961</v>
      </c>
      <c r="E4998" s="16"/>
      <c r="G4998" s="16"/>
    </row>
    <row r="4999" spans="1:7">
      <c r="A4999" s="4" t="s">
        <v>389</v>
      </c>
      <c r="B4999" s="5">
        <v>1091015</v>
      </c>
      <c r="C4999" s="5" t="s">
        <v>245</v>
      </c>
      <c r="D4999" s="3">
        <v>25490</v>
      </c>
      <c r="E4999" s="16"/>
      <c r="G4999" s="16"/>
    </row>
    <row r="5000" spans="1:7">
      <c r="A5000" s="4" t="s">
        <v>389</v>
      </c>
      <c r="B5000" s="5">
        <v>1091016</v>
      </c>
      <c r="C5000" s="5" t="s">
        <v>246</v>
      </c>
      <c r="D5000" s="3">
        <v>50187</v>
      </c>
      <c r="E5000" s="16"/>
      <c r="G5000" s="16"/>
    </row>
    <row r="5001" spans="1:7">
      <c r="A5001" s="4" t="s">
        <v>389</v>
      </c>
      <c r="B5001" s="5">
        <v>1091017</v>
      </c>
      <c r="C5001" s="5" t="s">
        <v>247</v>
      </c>
      <c r="D5001" s="3">
        <v>74833</v>
      </c>
      <c r="E5001" s="16"/>
      <c r="G5001" s="16"/>
    </row>
    <row r="5002" spans="1:7">
      <c r="A5002" s="4" t="s">
        <v>389</v>
      </c>
      <c r="B5002" s="5">
        <v>1091018</v>
      </c>
      <c r="C5002" s="5" t="s">
        <v>248</v>
      </c>
      <c r="D5002" s="3">
        <v>33031</v>
      </c>
      <c r="E5002" s="16"/>
      <c r="G5002" s="16"/>
    </row>
    <row r="5003" spans="1:7">
      <c r="A5003" s="4" t="s">
        <v>389</v>
      </c>
      <c r="B5003" s="5">
        <v>1091019</v>
      </c>
      <c r="C5003" s="5" t="s">
        <v>249</v>
      </c>
      <c r="D5003" s="3">
        <v>53387</v>
      </c>
      <c r="E5003" s="16"/>
      <c r="G5003" s="16"/>
    </row>
    <row r="5004" spans="1:7">
      <c r="A5004" s="4" t="s">
        <v>389</v>
      </c>
      <c r="B5004" s="5">
        <v>1091020</v>
      </c>
      <c r="C5004" s="5" t="s">
        <v>250</v>
      </c>
      <c r="D5004" s="3">
        <v>100500</v>
      </c>
      <c r="E5004" s="16"/>
      <c r="G5004" s="16"/>
    </row>
    <row r="5005" spans="1:7">
      <c r="A5005" s="4" t="s">
        <v>389</v>
      </c>
      <c r="B5005" s="5">
        <v>1091021</v>
      </c>
      <c r="C5005" s="5" t="s">
        <v>251</v>
      </c>
      <c r="D5005" s="3">
        <v>50600</v>
      </c>
      <c r="E5005" s="16"/>
      <c r="G5005" s="16"/>
    </row>
    <row r="5006" spans="1:7">
      <c r="A5006" s="4" t="s">
        <v>389</v>
      </c>
      <c r="B5006" s="5">
        <v>1091022</v>
      </c>
      <c r="C5006" s="5" t="s">
        <v>252</v>
      </c>
      <c r="D5006" s="3">
        <v>3235</v>
      </c>
      <c r="E5006" s="16"/>
      <c r="G5006" s="16"/>
    </row>
    <row r="5007" spans="1:7">
      <c r="A5007" s="4" t="s">
        <v>389</v>
      </c>
      <c r="B5007" s="5">
        <v>1091023</v>
      </c>
      <c r="C5007" s="5" t="s">
        <v>253</v>
      </c>
      <c r="D5007" s="3">
        <v>4412</v>
      </c>
      <c r="E5007" s="16"/>
      <c r="G5007" s="16"/>
    </row>
    <row r="5008" spans="1:7">
      <c r="A5008" s="4" t="s">
        <v>389</v>
      </c>
      <c r="B5008" s="5">
        <v>1091024</v>
      </c>
      <c r="C5008" s="5" t="s">
        <v>254</v>
      </c>
      <c r="D5008" s="3">
        <v>3922</v>
      </c>
      <c r="E5008" s="16"/>
      <c r="G5008" s="16"/>
    </row>
    <row r="5009" spans="1:7">
      <c r="A5009" s="4" t="s">
        <v>389</v>
      </c>
      <c r="B5009" s="5">
        <v>1091025</v>
      </c>
      <c r="C5009" s="5" t="s">
        <v>255</v>
      </c>
      <c r="D5009" s="3">
        <v>7843</v>
      </c>
      <c r="E5009" s="16"/>
      <c r="G5009" s="16"/>
    </row>
    <row r="5010" spans="1:7">
      <c r="A5010" s="4" t="s">
        <v>389</v>
      </c>
      <c r="B5010" s="5">
        <v>1091026</v>
      </c>
      <c r="C5010" s="5" t="s">
        <v>256</v>
      </c>
      <c r="D5010" s="3">
        <v>30686</v>
      </c>
      <c r="E5010" s="16"/>
      <c r="G5010" s="16"/>
    </row>
    <row r="5011" spans="1:7">
      <c r="A5011" s="4" t="s">
        <v>389</v>
      </c>
      <c r="B5011" s="5">
        <v>1600101</v>
      </c>
      <c r="C5011" s="5" t="s">
        <v>188</v>
      </c>
      <c r="D5011" s="3">
        <v>2892</v>
      </c>
      <c r="E5011" s="16"/>
      <c r="G5011" s="16"/>
    </row>
    <row r="5012" spans="1:7">
      <c r="A5012" s="4" t="s">
        <v>389</v>
      </c>
      <c r="B5012" s="5">
        <v>1600102</v>
      </c>
      <c r="C5012" s="5" t="s">
        <v>257</v>
      </c>
      <c r="D5012" s="3">
        <v>26962</v>
      </c>
      <c r="E5012" s="16"/>
      <c r="G5012" s="16"/>
    </row>
    <row r="5013" spans="1:7">
      <c r="A5013" s="4" t="s">
        <v>389</v>
      </c>
      <c r="B5013" s="5">
        <v>1600103</v>
      </c>
      <c r="C5013" s="5" t="s">
        <v>258</v>
      </c>
      <c r="D5013" s="3">
        <v>19800</v>
      </c>
      <c r="E5013" s="16"/>
      <c r="G5013" s="16"/>
    </row>
    <row r="5014" spans="1:7">
      <c r="A5014" s="4" t="s">
        <v>389</v>
      </c>
      <c r="B5014" s="5">
        <v>1600104</v>
      </c>
      <c r="C5014" s="5" t="s">
        <v>259</v>
      </c>
      <c r="D5014" s="3">
        <v>75683</v>
      </c>
      <c r="E5014" s="16"/>
      <c r="G5014" s="16"/>
    </row>
    <row r="5015" spans="1:7">
      <c r="A5015" s="4" t="s">
        <v>389</v>
      </c>
      <c r="B5015" s="5">
        <v>1600105</v>
      </c>
      <c r="C5015" s="5" t="s">
        <v>260</v>
      </c>
      <c r="D5015" s="3">
        <v>83950</v>
      </c>
      <c r="E5015" s="16"/>
      <c r="G5015" s="16"/>
    </row>
    <row r="5016" spans="1:7">
      <c r="A5016" s="4" t="s">
        <v>389</v>
      </c>
      <c r="B5016" s="5">
        <v>1600106</v>
      </c>
      <c r="C5016" s="5" t="s">
        <v>261</v>
      </c>
      <c r="D5016" s="3">
        <v>108071</v>
      </c>
      <c r="E5016" s="16"/>
      <c r="G5016" s="16"/>
    </row>
    <row r="5017" spans="1:7">
      <c r="A5017" s="4" t="s">
        <v>389</v>
      </c>
      <c r="B5017" s="5">
        <v>1600107</v>
      </c>
      <c r="C5017" s="5" t="s">
        <v>262</v>
      </c>
      <c r="D5017" s="3">
        <v>86601</v>
      </c>
      <c r="E5017" s="16"/>
      <c r="G5017" s="16"/>
    </row>
    <row r="5018" spans="1:7">
      <c r="A5018" s="4" t="s">
        <v>389</v>
      </c>
      <c r="B5018" s="5">
        <v>1600108</v>
      </c>
      <c r="C5018" s="5" t="s">
        <v>263</v>
      </c>
      <c r="D5018" s="3">
        <v>75683</v>
      </c>
      <c r="E5018" s="16"/>
      <c r="G5018" s="16"/>
    </row>
    <row r="5019" spans="1:7">
      <c r="A5019" s="4" t="s">
        <v>389</v>
      </c>
      <c r="B5019" s="5">
        <v>1600109</v>
      </c>
      <c r="C5019" s="5" t="s">
        <v>264</v>
      </c>
      <c r="D5019" s="3">
        <v>3922</v>
      </c>
      <c r="E5019" s="16"/>
      <c r="G5019" s="16"/>
    </row>
    <row r="5020" spans="1:7">
      <c r="A5020" s="4" t="s">
        <v>389</v>
      </c>
      <c r="B5020" s="5">
        <v>1600110</v>
      </c>
      <c r="C5020" s="5" t="s">
        <v>265</v>
      </c>
      <c r="D5020" s="3">
        <v>7917</v>
      </c>
      <c r="E5020" s="16"/>
      <c r="G5020" s="16"/>
    </row>
    <row r="5021" spans="1:7">
      <c r="A5021" s="4" t="s">
        <v>389</v>
      </c>
      <c r="B5021" s="5">
        <v>1600111</v>
      </c>
      <c r="C5021" s="5" t="s">
        <v>266</v>
      </c>
      <c r="D5021" s="3">
        <v>4360</v>
      </c>
      <c r="E5021" s="16"/>
      <c r="G5021" s="16"/>
    </row>
    <row r="5022" spans="1:7">
      <c r="A5022" s="4" t="s">
        <v>389</v>
      </c>
      <c r="B5022" s="5">
        <v>1600112</v>
      </c>
      <c r="C5022" s="5" t="s">
        <v>190</v>
      </c>
      <c r="D5022" s="3">
        <v>5300</v>
      </c>
      <c r="E5022" s="16"/>
      <c r="G5022" s="16"/>
    </row>
    <row r="5023" spans="1:7">
      <c r="A5023" s="4" t="s">
        <v>389</v>
      </c>
      <c r="B5023" s="5">
        <v>1600113</v>
      </c>
      <c r="C5023" s="5" t="s">
        <v>267</v>
      </c>
      <c r="D5023" s="3">
        <v>0</v>
      </c>
      <c r="E5023" s="16"/>
      <c r="G5023" s="16"/>
    </row>
    <row r="5024" spans="1:7">
      <c r="A5024" s="4" t="s">
        <v>389</v>
      </c>
      <c r="B5024" s="5">
        <v>1600114</v>
      </c>
      <c r="C5024" s="5" t="s">
        <v>268</v>
      </c>
      <c r="D5024" s="3">
        <v>13333</v>
      </c>
      <c r="E5024" s="16"/>
      <c r="G5024" s="16"/>
    </row>
    <row r="5025" spans="1:7">
      <c r="A5025" s="4" t="s">
        <v>389</v>
      </c>
      <c r="B5025" s="5">
        <v>1700001</v>
      </c>
      <c r="C5025" s="5" t="s">
        <v>269</v>
      </c>
      <c r="D5025" s="3">
        <v>5832</v>
      </c>
      <c r="E5025" s="16"/>
      <c r="G5025" s="16"/>
    </row>
    <row r="5026" spans="1:7">
      <c r="A5026" s="4" t="s">
        <v>389</v>
      </c>
      <c r="B5026" s="5">
        <v>1700002</v>
      </c>
      <c r="C5026" s="5" t="s">
        <v>270</v>
      </c>
      <c r="D5026" s="3">
        <v>3726</v>
      </c>
      <c r="E5026" s="16"/>
      <c r="G5026" s="16"/>
    </row>
    <row r="5027" spans="1:7">
      <c r="A5027" s="4" t="s">
        <v>389</v>
      </c>
      <c r="B5027" s="5">
        <v>1700003</v>
      </c>
      <c r="C5027" s="5" t="s">
        <v>271</v>
      </c>
      <c r="D5027" s="3">
        <v>5392</v>
      </c>
      <c r="E5027" s="16"/>
      <c r="G5027" s="16"/>
    </row>
    <row r="5028" spans="1:7">
      <c r="A5028" s="4" t="s">
        <v>389</v>
      </c>
      <c r="B5028" s="5">
        <v>1700004</v>
      </c>
      <c r="C5028" s="5" t="s">
        <v>272</v>
      </c>
      <c r="D5028" s="3">
        <v>15784</v>
      </c>
      <c r="E5028" s="16"/>
      <c r="G5028" s="16"/>
    </row>
    <row r="5029" spans="1:7">
      <c r="A5029" s="4" t="s">
        <v>389</v>
      </c>
      <c r="B5029" s="5">
        <v>1700005</v>
      </c>
      <c r="C5029" s="5" t="s">
        <v>192</v>
      </c>
      <c r="D5029" s="3">
        <v>1765</v>
      </c>
      <c r="E5029" s="16"/>
      <c r="G5029" s="16"/>
    </row>
    <row r="5030" spans="1:7">
      <c r="A5030" s="4" t="s">
        <v>389</v>
      </c>
      <c r="B5030" s="5">
        <v>1700006</v>
      </c>
      <c r="C5030" s="5" t="s">
        <v>273</v>
      </c>
      <c r="D5030" s="3">
        <v>7176</v>
      </c>
      <c r="E5030" s="16"/>
      <c r="G5030" s="16"/>
    </row>
    <row r="5031" spans="1:7">
      <c r="A5031" s="4" t="s">
        <v>389</v>
      </c>
      <c r="B5031" s="5">
        <v>1700007</v>
      </c>
      <c r="C5031" s="5" t="s">
        <v>274</v>
      </c>
      <c r="D5031" s="3">
        <v>0</v>
      </c>
      <c r="E5031" s="16"/>
      <c r="G5031" s="16"/>
    </row>
    <row r="5032" spans="1:7">
      <c r="A5032" s="4" t="s">
        <v>389</v>
      </c>
      <c r="B5032" s="5">
        <v>1700008</v>
      </c>
      <c r="C5032" s="5" t="s">
        <v>275</v>
      </c>
      <c r="D5032" s="3">
        <v>0</v>
      </c>
      <c r="E5032" s="16"/>
      <c r="G5032" s="16"/>
    </row>
    <row r="5033" spans="1:7">
      <c r="A5033" s="4" t="s">
        <v>389</v>
      </c>
      <c r="B5033" s="5">
        <v>1700009</v>
      </c>
      <c r="C5033" s="5" t="s">
        <v>276</v>
      </c>
      <c r="D5033" s="3">
        <v>0</v>
      </c>
      <c r="E5033" s="16"/>
      <c r="G5033" s="16"/>
    </row>
    <row r="5034" spans="1:7">
      <c r="A5034" s="4" t="s">
        <v>389</v>
      </c>
      <c r="B5034" s="5">
        <v>1700010</v>
      </c>
      <c r="C5034" s="5" t="s">
        <v>277</v>
      </c>
      <c r="D5034" s="3">
        <v>4330</v>
      </c>
      <c r="E5034" s="16"/>
      <c r="G5034" s="16"/>
    </row>
    <row r="5035" spans="1:7">
      <c r="A5035" s="4" t="s">
        <v>389</v>
      </c>
      <c r="B5035" s="5">
        <v>1700011</v>
      </c>
      <c r="C5035" s="5" t="s">
        <v>278</v>
      </c>
      <c r="D5035" s="3">
        <v>13235</v>
      </c>
      <c r="E5035" s="16"/>
      <c r="G5035" s="16"/>
    </row>
    <row r="5036" spans="1:7">
      <c r="A5036" s="4" t="s">
        <v>389</v>
      </c>
      <c r="B5036" s="5">
        <v>1700012</v>
      </c>
      <c r="C5036" s="5" t="s">
        <v>279</v>
      </c>
      <c r="D5036" s="3">
        <v>15980</v>
      </c>
      <c r="E5036" s="16"/>
      <c r="G5036" s="16"/>
    </row>
    <row r="5037" spans="1:7">
      <c r="A5037" s="4" t="s">
        <v>389</v>
      </c>
      <c r="B5037" s="5">
        <v>1700013</v>
      </c>
      <c r="C5037" s="5" t="s">
        <v>280</v>
      </c>
      <c r="D5037" s="3">
        <v>18137</v>
      </c>
      <c r="E5037" s="16"/>
      <c r="G5037" s="16"/>
    </row>
    <row r="5038" spans="1:7">
      <c r="A5038" s="4" t="s">
        <v>389</v>
      </c>
      <c r="B5038" s="5">
        <v>1700014</v>
      </c>
      <c r="C5038" s="5" t="s">
        <v>194</v>
      </c>
      <c r="D5038" s="3">
        <v>2300</v>
      </c>
      <c r="E5038" s="16"/>
      <c r="G5038" s="16"/>
    </row>
    <row r="5039" spans="1:7">
      <c r="A5039" s="4" t="s">
        <v>389</v>
      </c>
      <c r="B5039" s="5">
        <v>1700015</v>
      </c>
      <c r="C5039" s="5" t="s">
        <v>281</v>
      </c>
      <c r="D5039" s="3">
        <v>3083</v>
      </c>
      <c r="E5039" s="16"/>
      <c r="G5039" s="16"/>
    </row>
    <row r="5040" spans="1:7">
      <c r="A5040" s="4" t="s">
        <v>389</v>
      </c>
      <c r="B5040" s="5">
        <v>1700016</v>
      </c>
      <c r="C5040" s="5" t="s">
        <v>282</v>
      </c>
      <c r="D5040" s="3">
        <v>3110</v>
      </c>
      <c r="E5040" s="16"/>
      <c r="G5040" s="16"/>
    </row>
    <row r="5041" spans="1:7">
      <c r="A5041" s="4" t="s">
        <v>389</v>
      </c>
      <c r="B5041" s="5">
        <v>1700017</v>
      </c>
      <c r="C5041" s="5" t="s">
        <v>283</v>
      </c>
      <c r="D5041" s="3">
        <v>15098</v>
      </c>
      <c r="E5041" s="16"/>
      <c r="G5041" s="16"/>
    </row>
    <row r="5042" spans="1:7">
      <c r="A5042" s="4" t="s">
        <v>389</v>
      </c>
      <c r="B5042" s="5">
        <v>1700018</v>
      </c>
      <c r="C5042" s="5" t="s">
        <v>284</v>
      </c>
      <c r="D5042" s="3">
        <v>4472</v>
      </c>
      <c r="E5042" s="16"/>
      <c r="G5042" s="16"/>
    </row>
    <row r="5043" spans="1:7">
      <c r="A5043" s="4" t="s">
        <v>389</v>
      </c>
      <c r="B5043" s="5">
        <v>1700019</v>
      </c>
      <c r="C5043" s="5" t="s">
        <v>285</v>
      </c>
      <c r="D5043" s="3">
        <v>0</v>
      </c>
      <c r="E5043" s="16"/>
      <c r="G5043" s="16"/>
    </row>
    <row r="5044" spans="1:7">
      <c r="A5044" s="4" t="s">
        <v>389</v>
      </c>
      <c r="B5044" s="5">
        <v>1700020</v>
      </c>
      <c r="C5044" s="5" t="s">
        <v>286</v>
      </c>
      <c r="D5044" s="3">
        <v>58824</v>
      </c>
      <c r="E5044" s="16"/>
      <c r="G5044" s="16"/>
    </row>
    <row r="5045" spans="1:7">
      <c r="A5045" s="4" t="s">
        <v>389</v>
      </c>
      <c r="B5045" s="5">
        <v>1700021</v>
      </c>
      <c r="C5045" s="5" t="s">
        <v>287</v>
      </c>
      <c r="D5045" s="3">
        <v>85809</v>
      </c>
      <c r="E5045" s="16"/>
      <c r="G5045" s="16"/>
    </row>
    <row r="5046" spans="1:7">
      <c r="A5046" s="4" t="s">
        <v>389</v>
      </c>
      <c r="B5046" s="5">
        <v>1700022</v>
      </c>
      <c r="C5046" s="5" t="s">
        <v>288</v>
      </c>
      <c r="D5046" s="3">
        <v>35853</v>
      </c>
      <c r="E5046" s="16"/>
      <c r="G5046" s="16"/>
    </row>
    <row r="5047" spans="1:7">
      <c r="A5047" s="4" t="s">
        <v>389</v>
      </c>
      <c r="B5047" s="5">
        <v>1700023</v>
      </c>
      <c r="C5047" s="5" t="s">
        <v>289</v>
      </c>
      <c r="D5047" s="3">
        <v>8162</v>
      </c>
      <c r="E5047" s="16"/>
      <c r="G5047" s="16"/>
    </row>
    <row r="5048" spans="1:7">
      <c r="A5048" s="4" t="s">
        <v>389</v>
      </c>
      <c r="B5048" s="5">
        <v>1700024</v>
      </c>
      <c r="C5048" s="5" t="s">
        <v>290</v>
      </c>
      <c r="D5048" s="3">
        <v>3080</v>
      </c>
      <c r="E5048" s="16"/>
      <c r="G5048" s="16"/>
    </row>
    <row r="5049" spans="1:7">
      <c r="A5049" s="4" t="s">
        <v>389</v>
      </c>
      <c r="B5049" s="5">
        <v>1700025</v>
      </c>
      <c r="C5049" s="5" t="s">
        <v>291</v>
      </c>
      <c r="D5049" s="3">
        <v>2157</v>
      </c>
      <c r="E5049" s="16"/>
      <c r="G5049" s="16"/>
    </row>
    <row r="5050" spans="1:7">
      <c r="A5050" s="4" t="s">
        <v>389</v>
      </c>
      <c r="B5050" s="5">
        <v>1700026</v>
      </c>
      <c r="C5050" s="5" t="s">
        <v>292</v>
      </c>
      <c r="D5050" s="3">
        <v>4412</v>
      </c>
      <c r="E5050" s="16"/>
      <c r="G5050" s="16"/>
    </row>
    <row r="5051" spans="1:7">
      <c r="A5051" s="4" t="s">
        <v>389</v>
      </c>
      <c r="B5051" s="5">
        <v>1700027</v>
      </c>
      <c r="C5051" s="5" t="s">
        <v>293</v>
      </c>
      <c r="D5051" s="3">
        <v>4902</v>
      </c>
      <c r="E5051" s="16"/>
      <c r="G5051" s="16"/>
    </row>
    <row r="5052" spans="1:7">
      <c r="A5052" s="4" t="s">
        <v>389</v>
      </c>
      <c r="B5052" s="5">
        <v>1700028</v>
      </c>
      <c r="C5052" s="5" t="s">
        <v>294</v>
      </c>
      <c r="D5052" s="3">
        <v>9500</v>
      </c>
      <c r="E5052" s="16"/>
      <c r="G5052" s="16"/>
    </row>
    <row r="5053" spans="1:7">
      <c r="A5053" s="4" t="s">
        <v>389</v>
      </c>
      <c r="B5053" s="5">
        <v>1700029</v>
      </c>
      <c r="C5053" s="5" t="s">
        <v>295</v>
      </c>
      <c r="D5053" s="3">
        <v>10670</v>
      </c>
      <c r="E5053" s="16"/>
      <c r="G5053" s="16"/>
    </row>
    <row r="5054" spans="1:7">
      <c r="A5054" s="4" t="s">
        <v>389</v>
      </c>
      <c r="B5054" s="5">
        <v>1700030</v>
      </c>
      <c r="C5054" s="5" t="s">
        <v>296</v>
      </c>
      <c r="D5054" s="3">
        <v>12720</v>
      </c>
      <c r="E5054" s="16"/>
      <c r="G5054" s="16"/>
    </row>
    <row r="5055" spans="1:7">
      <c r="A5055" s="4" t="s">
        <v>389</v>
      </c>
      <c r="B5055" s="5">
        <v>1700031</v>
      </c>
      <c r="C5055" s="5" t="s">
        <v>196</v>
      </c>
      <c r="D5055" s="3">
        <v>2069</v>
      </c>
      <c r="E5055" s="16"/>
      <c r="G5055" s="16"/>
    </row>
    <row r="5056" spans="1:7">
      <c r="A5056" s="4" t="s">
        <v>389</v>
      </c>
      <c r="B5056" s="5">
        <v>1700032</v>
      </c>
      <c r="C5056" s="5" t="s">
        <v>297</v>
      </c>
      <c r="D5056" s="3">
        <v>0</v>
      </c>
      <c r="E5056" s="16"/>
      <c r="G5056" s="16"/>
    </row>
    <row r="5057" spans="1:7">
      <c r="A5057" s="4" t="s">
        <v>389</v>
      </c>
      <c r="B5057" s="5">
        <v>1700033</v>
      </c>
      <c r="C5057" s="5" t="s">
        <v>298</v>
      </c>
      <c r="D5057" s="3">
        <v>0</v>
      </c>
      <c r="E5057" s="16"/>
      <c r="G5057" s="16"/>
    </row>
    <row r="5058" spans="1:7">
      <c r="A5058" s="4" t="s">
        <v>389</v>
      </c>
      <c r="B5058" s="5">
        <v>1700034</v>
      </c>
      <c r="C5058" s="5" t="s">
        <v>299</v>
      </c>
      <c r="D5058" s="3">
        <v>55000</v>
      </c>
      <c r="E5058" s="16"/>
      <c r="G5058" s="16"/>
    </row>
    <row r="5059" spans="1:7">
      <c r="A5059" s="4" t="s">
        <v>389</v>
      </c>
      <c r="B5059" s="5">
        <v>1700035</v>
      </c>
      <c r="C5059" s="5" t="s">
        <v>300</v>
      </c>
      <c r="D5059" s="3">
        <v>34000</v>
      </c>
      <c r="E5059" s="16"/>
      <c r="G5059" s="16"/>
    </row>
    <row r="5060" spans="1:7">
      <c r="A5060" s="4" t="s">
        <v>389</v>
      </c>
      <c r="B5060" s="5">
        <v>1700036</v>
      </c>
      <c r="C5060" s="5" t="s">
        <v>301</v>
      </c>
      <c r="D5060" s="3">
        <v>5200</v>
      </c>
      <c r="E5060" s="16"/>
      <c r="G5060" s="16"/>
    </row>
    <row r="5061" spans="1:7">
      <c r="A5061" s="4" t="s">
        <v>389</v>
      </c>
      <c r="B5061" s="5">
        <v>1700037</v>
      </c>
      <c r="C5061" s="5" t="s">
        <v>302</v>
      </c>
      <c r="D5061" s="3">
        <v>7733</v>
      </c>
      <c r="E5061" s="16"/>
      <c r="G5061" s="16"/>
    </row>
    <row r="5062" spans="1:7">
      <c r="A5062" s="4" t="s">
        <v>389</v>
      </c>
      <c r="B5062" s="5">
        <v>1700038</v>
      </c>
      <c r="C5062" s="5" t="s">
        <v>303</v>
      </c>
      <c r="D5062" s="3">
        <v>1804</v>
      </c>
      <c r="E5062" s="16"/>
      <c r="G5062" s="16"/>
    </row>
    <row r="5063" spans="1:7">
      <c r="A5063" s="4" t="s">
        <v>389</v>
      </c>
      <c r="B5063" s="5">
        <v>1700039</v>
      </c>
      <c r="C5063" s="5" t="s">
        <v>304</v>
      </c>
      <c r="D5063" s="3">
        <v>4060</v>
      </c>
      <c r="E5063" s="16"/>
      <c r="G5063" s="16"/>
    </row>
    <row r="5064" spans="1:7">
      <c r="A5064" s="4" t="s">
        <v>389</v>
      </c>
      <c r="B5064" s="5">
        <v>1700040</v>
      </c>
      <c r="C5064" s="5" t="s">
        <v>305</v>
      </c>
      <c r="D5064" s="3">
        <v>1967</v>
      </c>
      <c r="E5064" s="16"/>
      <c r="G5064" s="16"/>
    </row>
    <row r="5065" spans="1:7">
      <c r="A5065" s="4" t="s">
        <v>389</v>
      </c>
      <c r="B5065" s="5">
        <v>1700041</v>
      </c>
      <c r="C5065" s="5" t="s">
        <v>306</v>
      </c>
      <c r="D5065" s="3">
        <v>3000</v>
      </c>
      <c r="E5065" s="16"/>
      <c r="G5065" s="16"/>
    </row>
    <row r="5066" spans="1:7">
      <c r="A5066" s="4" t="s">
        <v>389</v>
      </c>
      <c r="B5066" s="5">
        <v>1700042</v>
      </c>
      <c r="C5066" s="5" t="s">
        <v>307</v>
      </c>
      <c r="D5066" s="3">
        <v>3447</v>
      </c>
      <c r="E5066" s="16"/>
      <c r="G5066" s="16"/>
    </row>
    <row r="5067" spans="1:7">
      <c r="A5067" s="4" t="s">
        <v>389</v>
      </c>
      <c r="B5067" s="5">
        <v>1700043</v>
      </c>
      <c r="C5067" s="5" t="s">
        <v>308</v>
      </c>
      <c r="D5067" s="3">
        <v>6931</v>
      </c>
      <c r="E5067" s="16"/>
      <c r="G5067" s="16"/>
    </row>
    <row r="5068" spans="1:7">
      <c r="A5068" s="4" t="s">
        <v>389</v>
      </c>
      <c r="B5068" s="5">
        <v>1700044</v>
      </c>
      <c r="C5068" s="5" t="s">
        <v>309</v>
      </c>
      <c r="D5068" s="3">
        <v>6000</v>
      </c>
      <c r="E5068" s="16"/>
      <c r="G5068" s="16"/>
    </row>
    <row r="5069" spans="1:7">
      <c r="A5069" s="4" t="s">
        <v>389</v>
      </c>
      <c r="B5069" s="5">
        <v>1700045</v>
      </c>
      <c r="C5069" s="5" t="s">
        <v>310</v>
      </c>
      <c r="D5069" s="3">
        <v>5324</v>
      </c>
      <c r="E5069" s="16"/>
      <c r="G5069" s="16"/>
    </row>
    <row r="5070" spans="1:7">
      <c r="A5070" s="4" t="s">
        <v>389</v>
      </c>
      <c r="B5070" s="5">
        <v>1700046</v>
      </c>
      <c r="C5070" s="5" t="s">
        <v>311</v>
      </c>
      <c r="D5070" s="3">
        <v>6863</v>
      </c>
      <c r="E5070" s="16"/>
      <c r="G5070" s="16"/>
    </row>
    <row r="5071" spans="1:7">
      <c r="A5071" s="4" t="s">
        <v>389</v>
      </c>
      <c r="B5071" s="5">
        <v>1700047</v>
      </c>
      <c r="C5071" s="5" t="s">
        <v>312</v>
      </c>
      <c r="D5071" s="3">
        <v>23800</v>
      </c>
      <c r="E5071" s="16"/>
      <c r="G5071" s="16"/>
    </row>
    <row r="5072" spans="1:7">
      <c r="A5072" s="4" t="s">
        <v>389</v>
      </c>
      <c r="B5072" s="5">
        <v>1700048</v>
      </c>
      <c r="C5072" s="5" t="s">
        <v>313</v>
      </c>
      <c r="D5072" s="3">
        <v>13330</v>
      </c>
      <c r="E5072" s="16"/>
      <c r="G5072" s="16"/>
    </row>
    <row r="5073" spans="1:7">
      <c r="A5073" s="4" t="s">
        <v>389</v>
      </c>
      <c r="B5073" s="5">
        <v>1700049</v>
      </c>
      <c r="C5073" s="5" t="s">
        <v>314</v>
      </c>
      <c r="D5073" s="3">
        <v>4062</v>
      </c>
      <c r="E5073" s="16"/>
      <c r="G5073" s="16"/>
    </row>
    <row r="5074" spans="1:7">
      <c r="A5074" s="4" t="s">
        <v>389</v>
      </c>
      <c r="B5074" s="5">
        <v>1700050</v>
      </c>
      <c r="C5074" s="5" t="s">
        <v>315</v>
      </c>
      <c r="D5074" s="3">
        <v>39000</v>
      </c>
      <c r="E5074" s="16"/>
      <c r="G5074" s="16"/>
    </row>
    <row r="5075" spans="1:7">
      <c r="A5075" s="4" t="s">
        <v>389</v>
      </c>
      <c r="B5075" s="5">
        <v>1700051</v>
      </c>
      <c r="C5075" s="5" t="s">
        <v>316</v>
      </c>
      <c r="D5075" s="3">
        <v>11500</v>
      </c>
      <c r="E5075" s="16"/>
      <c r="G5075" s="16"/>
    </row>
    <row r="5076" spans="1:7">
      <c r="A5076" s="4" t="s">
        <v>389</v>
      </c>
      <c r="B5076" s="5">
        <v>1700052</v>
      </c>
      <c r="C5076" s="5" t="s">
        <v>317</v>
      </c>
      <c r="D5076" s="3">
        <v>3444</v>
      </c>
      <c r="E5076" s="16"/>
      <c r="G5076" s="16"/>
    </row>
    <row r="5077" spans="1:7">
      <c r="A5077" s="4" t="s">
        <v>389</v>
      </c>
      <c r="B5077" s="5">
        <v>1700053</v>
      </c>
      <c r="C5077" s="5" t="s">
        <v>318</v>
      </c>
      <c r="D5077" s="3">
        <v>15530</v>
      </c>
      <c r="E5077" s="16"/>
      <c r="G5077" s="16"/>
    </row>
    <row r="5078" spans="1:7">
      <c r="A5078" s="4" t="s">
        <v>389</v>
      </c>
      <c r="B5078" s="5">
        <v>1700054</v>
      </c>
      <c r="C5078" s="5" t="s">
        <v>319</v>
      </c>
      <c r="D5078" s="3">
        <v>11670</v>
      </c>
      <c r="E5078" s="16"/>
      <c r="G5078" s="16"/>
    </row>
    <row r="5079" spans="1:7">
      <c r="A5079" s="4" t="s">
        <v>389</v>
      </c>
      <c r="B5079" s="5">
        <v>1700055</v>
      </c>
      <c r="C5079" s="5" t="s">
        <v>320</v>
      </c>
      <c r="D5079" s="3">
        <v>11940</v>
      </c>
      <c r="E5079" s="16"/>
      <c r="G5079" s="16"/>
    </row>
    <row r="5080" spans="1:7">
      <c r="A5080" s="4" t="s">
        <v>389</v>
      </c>
      <c r="B5080" s="5">
        <v>1700056</v>
      </c>
      <c r="C5080" s="5" t="s">
        <v>321</v>
      </c>
      <c r="D5080" s="3">
        <v>6226</v>
      </c>
      <c r="E5080" s="16"/>
      <c r="G5080" s="16"/>
    </row>
    <row r="5081" spans="1:7">
      <c r="A5081" s="4" t="s">
        <v>389</v>
      </c>
      <c r="B5081" s="5">
        <v>1700057</v>
      </c>
      <c r="C5081" s="5" t="s">
        <v>322</v>
      </c>
      <c r="D5081" s="3">
        <v>2098</v>
      </c>
      <c r="E5081" s="16"/>
      <c r="G5081" s="16"/>
    </row>
    <row r="5082" spans="1:7">
      <c r="A5082" s="4" t="s">
        <v>389</v>
      </c>
      <c r="B5082" s="5">
        <v>1700058</v>
      </c>
      <c r="C5082" s="5" t="s">
        <v>323</v>
      </c>
      <c r="D5082" s="3">
        <v>5800</v>
      </c>
      <c r="E5082" s="16"/>
      <c r="G5082" s="16"/>
    </row>
    <row r="5083" spans="1:7">
      <c r="A5083" s="4" t="s">
        <v>389</v>
      </c>
      <c r="B5083" s="5">
        <v>1700059</v>
      </c>
      <c r="C5083" s="5" t="s">
        <v>324</v>
      </c>
      <c r="D5083" s="3">
        <v>27667</v>
      </c>
      <c r="E5083" s="16"/>
      <c r="G5083" s="16"/>
    </row>
    <row r="5084" spans="1:7">
      <c r="A5084" s="4" t="s">
        <v>389</v>
      </c>
      <c r="B5084" s="5">
        <v>1700060</v>
      </c>
      <c r="C5084" s="5" t="s">
        <v>325</v>
      </c>
      <c r="D5084" s="3">
        <v>3441</v>
      </c>
      <c r="E5084" s="16"/>
      <c r="G5084" s="16"/>
    </row>
    <row r="5085" spans="1:7">
      <c r="A5085" s="4" t="s">
        <v>389</v>
      </c>
      <c r="B5085" s="5">
        <v>1700061</v>
      </c>
      <c r="C5085" s="5" t="s">
        <v>326</v>
      </c>
      <c r="D5085" s="3">
        <v>8920</v>
      </c>
      <c r="E5085" s="16"/>
      <c r="G5085" s="16"/>
    </row>
    <row r="5086" spans="1:7">
      <c r="A5086" s="4" t="s">
        <v>389</v>
      </c>
      <c r="B5086" s="5">
        <v>1700062</v>
      </c>
      <c r="C5086" s="5" t="s">
        <v>327</v>
      </c>
      <c r="D5086" s="3">
        <v>10520</v>
      </c>
      <c r="E5086" s="16"/>
      <c r="G5086" s="16"/>
    </row>
    <row r="5087" spans="1:7">
      <c r="A5087" s="4" t="s">
        <v>389</v>
      </c>
      <c r="B5087" s="5">
        <v>1700063</v>
      </c>
      <c r="C5087" s="5" t="s">
        <v>328</v>
      </c>
      <c r="D5087" s="3">
        <v>10550</v>
      </c>
      <c r="E5087" s="16"/>
      <c r="G5087" s="16"/>
    </row>
    <row r="5088" spans="1:7">
      <c r="A5088" s="4" t="s">
        <v>389</v>
      </c>
      <c r="B5088" s="5">
        <v>1700064</v>
      </c>
      <c r="C5088" s="5" t="s">
        <v>329</v>
      </c>
      <c r="D5088" s="3">
        <v>11060</v>
      </c>
      <c r="E5088" s="16"/>
      <c r="G5088" s="16"/>
    </row>
    <row r="5089" spans="1:7">
      <c r="A5089" s="4" t="s">
        <v>389</v>
      </c>
      <c r="B5089" s="5">
        <v>1700065</v>
      </c>
      <c r="C5089" s="5" t="s">
        <v>330</v>
      </c>
      <c r="D5089" s="3">
        <v>12760</v>
      </c>
      <c r="E5089" s="16"/>
      <c r="G5089" s="16"/>
    </row>
    <row r="5090" spans="1:7">
      <c r="A5090" s="4" t="s">
        <v>389</v>
      </c>
      <c r="B5090" s="5">
        <v>1700066</v>
      </c>
      <c r="C5090" s="5" t="s">
        <v>331</v>
      </c>
      <c r="D5090" s="3">
        <v>13200</v>
      </c>
      <c r="E5090" s="16"/>
      <c r="G5090" s="16"/>
    </row>
    <row r="5091" spans="1:7">
      <c r="A5091" s="4" t="s">
        <v>389</v>
      </c>
      <c r="B5091" s="5">
        <v>1700067</v>
      </c>
      <c r="C5091" s="5" t="s">
        <v>332</v>
      </c>
      <c r="D5091" s="3">
        <v>10720</v>
      </c>
      <c r="E5091" s="16"/>
      <c r="G5091" s="16"/>
    </row>
    <row r="5092" spans="1:7">
      <c r="A5092" s="4" t="s">
        <v>389</v>
      </c>
      <c r="B5092" s="5">
        <v>1700068</v>
      </c>
      <c r="C5092" s="5" t="s">
        <v>333</v>
      </c>
      <c r="D5092" s="3">
        <v>12720</v>
      </c>
      <c r="E5092" s="16"/>
      <c r="G5092" s="16"/>
    </row>
    <row r="5093" spans="1:7">
      <c r="A5093" s="4" t="s">
        <v>389</v>
      </c>
      <c r="B5093" s="5">
        <v>1700069</v>
      </c>
      <c r="C5093" s="5" t="s">
        <v>334</v>
      </c>
      <c r="D5093" s="3">
        <v>14000</v>
      </c>
      <c r="E5093" s="16"/>
      <c r="G5093" s="16"/>
    </row>
    <row r="5094" spans="1:7">
      <c r="A5094" s="4" t="s">
        <v>389</v>
      </c>
      <c r="B5094" s="5">
        <v>1700070</v>
      </c>
      <c r="C5094" s="5" t="s">
        <v>335</v>
      </c>
      <c r="D5094" s="3">
        <v>1618</v>
      </c>
      <c r="E5094" s="16"/>
      <c r="G5094" s="16"/>
    </row>
    <row r="5095" spans="1:7">
      <c r="A5095" s="4" t="s">
        <v>389</v>
      </c>
      <c r="B5095" s="5">
        <v>1700071</v>
      </c>
      <c r="C5095" s="5" t="s">
        <v>336</v>
      </c>
      <c r="D5095" s="3">
        <v>12190</v>
      </c>
      <c r="E5095" s="16"/>
      <c r="G5095" s="16"/>
    </row>
    <row r="5096" spans="1:7">
      <c r="A5096" s="4" t="s">
        <v>389</v>
      </c>
      <c r="B5096" s="5">
        <v>1700072</v>
      </c>
      <c r="C5096" s="5" t="s">
        <v>337</v>
      </c>
      <c r="D5096" s="3">
        <v>10180</v>
      </c>
      <c r="E5096" s="16"/>
      <c r="G5096" s="16"/>
    </row>
    <row r="5097" spans="1:7">
      <c r="A5097" s="4" t="s">
        <v>389</v>
      </c>
      <c r="B5097" s="5">
        <v>1700073</v>
      </c>
      <c r="C5097" s="5" t="s">
        <v>338</v>
      </c>
      <c r="D5097" s="3">
        <v>9020</v>
      </c>
      <c r="E5097" s="16"/>
      <c r="G5097" s="16"/>
    </row>
    <row r="5098" spans="1:7">
      <c r="A5098" s="4" t="s">
        <v>389</v>
      </c>
      <c r="B5098" s="5">
        <v>1700076</v>
      </c>
      <c r="C5098" s="5" t="s">
        <v>339</v>
      </c>
      <c r="D5098" s="3">
        <v>2451</v>
      </c>
      <c r="E5098" s="16"/>
      <c r="G5098" s="16"/>
    </row>
    <row r="5099" spans="1:7">
      <c r="A5099" s="4" t="s">
        <v>389</v>
      </c>
      <c r="B5099" s="5">
        <v>1700077</v>
      </c>
      <c r="C5099" s="5" t="s">
        <v>340</v>
      </c>
      <c r="D5099" s="3">
        <v>2353</v>
      </c>
      <c r="E5099" s="16"/>
      <c r="G5099" s="16"/>
    </row>
    <row r="5100" spans="1:7">
      <c r="A5100" s="4" t="s">
        <v>389</v>
      </c>
      <c r="B5100" s="5">
        <v>1700078</v>
      </c>
      <c r="C5100" s="5" t="s">
        <v>341</v>
      </c>
      <c r="D5100" s="3">
        <v>4875</v>
      </c>
      <c r="E5100" s="16"/>
      <c r="G5100" s="16"/>
    </row>
    <row r="5101" spans="1:7">
      <c r="A5101" s="4" t="s">
        <v>389</v>
      </c>
      <c r="B5101" s="5">
        <v>1700080</v>
      </c>
      <c r="C5101" s="5" t="s">
        <v>342</v>
      </c>
      <c r="D5101" s="3">
        <v>3922</v>
      </c>
      <c r="E5101" s="16"/>
      <c r="G5101" s="16"/>
    </row>
    <row r="5102" spans="1:7">
      <c r="A5102" s="4" t="s">
        <v>389</v>
      </c>
      <c r="B5102" s="5">
        <v>1700083</v>
      </c>
      <c r="C5102" s="5" t="s">
        <v>343</v>
      </c>
      <c r="D5102" s="3">
        <v>8333</v>
      </c>
      <c r="E5102" s="16"/>
      <c r="G5102" s="16"/>
    </row>
    <row r="5103" spans="1:7">
      <c r="A5103" s="4" t="s">
        <v>389</v>
      </c>
      <c r="B5103" s="5">
        <v>1700084</v>
      </c>
      <c r="C5103" s="5" t="s">
        <v>344</v>
      </c>
      <c r="D5103" s="3">
        <v>6435</v>
      </c>
      <c r="E5103" s="16"/>
      <c r="G5103" s="16"/>
    </row>
    <row r="5104" spans="1:7">
      <c r="A5104" s="4" t="s">
        <v>389</v>
      </c>
      <c r="B5104" s="5">
        <v>1700085</v>
      </c>
      <c r="C5104" s="5" t="s">
        <v>345</v>
      </c>
      <c r="D5104" s="3">
        <v>8720</v>
      </c>
      <c r="E5104" s="16"/>
      <c r="G5104" s="16"/>
    </row>
    <row r="5105" spans="1:7">
      <c r="A5105" s="4" t="s">
        <v>389</v>
      </c>
      <c r="B5105" s="5">
        <v>1700086</v>
      </c>
      <c r="C5105" s="5" t="s">
        <v>346</v>
      </c>
      <c r="D5105" s="3">
        <v>2637</v>
      </c>
      <c r="E5105" s="16"/>
      <c r="G5105" s="16"/>
    </row>
    <row r="5106" spans="1:7">
      <c r="A5106" s="4" t="s">
        <v>389</v>
      </c>
      <c r="B5106" s="5">
        <v>1700087</v>
      </c>
      <c r="C5106" s="5" t="s">
        <v>347</v>
      </c>
      <c r="D5106" s="3">
        <v>4890</v>
      </c>
      <c r="E5106" s="16"/>
      <c r="G5106" s="16"/>
    </row>
    <row r="5107" spans="1:7">
      <c r="A5107" s="4" t="s">
        <v>389</v>
      </c>
      <c r="B5107" s="5">
        <v>1700088</v>
      </c>
      <c r="C5107" s="5" t="s">
        <v>348</v>
      </c>
      <c r="D5107" s="3">
        <v>15500</v>
      </c>
      <c r="E5107" s="16"/>
      <c r="G5107" s="16"/>
    </row>
    <row r="5108" spans="1:7">
      <c r="A5108" s="4" t="s">
        <v>389</v>
      </c>
      <c r="B5108" s="5">
        <v>1700089</v>
      </c>
      <c r="C5108" s="5" t="s">
        <v>349</v>
      </c>
      <c r="D5108" s="3">
        <v>18500</v>
      </c>
      <c r="E5108" s="16"/>
      <c r="G5108" s="16"/>
    </row>
    <row r="5109" spans="1:7">
      <c r="A5109" s="4" t="s">
        <v>389</v>
      </c>
      <c r="B5109" s="5">
        <v>1700090</v>
      </c>
      <c r="C5109" s="5" t="s">
        <v>350</v>
      </c>
      <c r="D5109" s="3">
        <v>32843</v>
      </c>
      <c r="E5109" s="16"/>
      <c r="G5109" s="16"/>
    </row>
    <row r="5110" spans="1:7">
      <c r="A5110" s="4" t="s">
        <v>389</v>
      </c>
      <c r="B5110" s="5">
        <v>1700091</v>
      </c>
      <c r="C5110" s="5" t="s">
        <v>351</v>
      </c>
      <c r="D5110" s="3">
        <v>18353</v>
      </c>
      <c r="E5110" s="16"/>
      <c r="G5110" s="16"/>
    </row>
    <row r="5111" spans="1:7">
      <c r="A5111" s="4" t="s">
        <v>389</v>
      </c>
      <c r="B5111" s="5">
        <v>1700092</v>
      </c>
      <c r="C5111" s="5" t="s">
        <v>352</v>
      </c>
      <c r="D5111" s="3">
        <v>1681</v>
      </c>
      <c r="E5111" s="16"/>
      <c r="G5111" s="16"/>
    </row>
    <row r="5112" spans="1:7">
      <c r="A5112" s="4" t="s">
        <v>389</v>
      </c>
      <c r="B5112" s="5">
        <v>1700093</v>
      </c>
      <c r="C5112" s="5" t="s">
        <v>353</v>
      </c>
      <c r="D5112" s="3">
        <v>12430</v>
      </c>
      <c r="E5112" s="16"/>
      <c r="G5112" s="16"/>
    </row>
    <row r="5113" spans="1:7">
      <c r="A5113" s="4" t="s">
        <v>389</v>
      </c>
      <c r="B5113" s="5">
        <v>1700094</v>
      </c>
      <c r="C5113" s="5" t="s">
        <v>354</v>
      </c>
      <c r="D5113" s="3">
        <v>14020</v>
      </c>
      <c r="E5113" s="16"/>
      <c r="G5113" s="16"/>
    </row>
    <row r="5114" spans="1:7">
      <c r="A5114" s="4" t="s">
        <v>389</v>
      </c>
      <c r="B5114" s="5">
        <v>1700095</v>
      </c>
      <c r="C5114" s="5" t="s">
        <v>355</v>
      </c>
      <c r="D5114" s="3">
        <v>4500</v>
      </c>
      <c r="E5114" s="16"/>
      <c r="G5114" s="16"/>
    </row>
    <row r="5115" spans="1:7">
      <c r="A5115" s="4" t="s">
        <v>389</v>
      </c>
      <c r="B5115" s="5">
        <v>1700096</v>
      </c>
      <c r="C5115" s="5" t="s">
        <v>356</v>
      </c>
      <c r="D5115" s="3">
        <v>24510</v>
      </c>
      <c r="E5115" s="16"/>
      <c r="G5115" s="16"/>
    </row>
    <row r="5116" spans="1:7">
      <c r="A5116" s="4" t="s">
        <v>389</v>
      </c>
      <c r="B5116" s="5">
        <v>1700097</v>
      </c>
      <c r="C5116" s="5" t="s">
        <v>357</v>
      </c>
      <c r="D5116" s="3">
        <v>19608</v>
      </c>
      <c r="E5116" s="16"/>
      <c r="G5116" s="16"/>
    </row>
    <row r="5117" spans="1:7">
      <c r="A5117" s="4" t="s">
        <v>389</v>
      </c>
      <c r="B5117" s="5">
        <v>1700098</v>
      </c>
      <c r="C5117" s="5" t="s">
        <v>358</v>
      </c>
      <c r="D5117" s="3">
        <v>19608</v>
      </c>
      <c r="E5117" s="16"/>
      <c r="G5117" s="16"/>
    </row>
    <row r="5118" spans="1:7">
      <c r="A5118" s="4" t="s">
        <v>389</v>
      </c>
      <c r="B5118" s="5">
        <v>1700099</v>
      </c>
      <c r="C5118" s="5" t="s">
        <v>359</v>
      </c>
      <c r="D5118" s="3">
        <v>9740</v>
      </c>
      <c r="E5118" s="16"/>
      <c r="G5118" s="16"/>
    </row>
    <row r="5119" spans="1:7">
      <c r="A5119" s="4" t="s">
        <v>389</v>
      </c>
      <c r="B5119" s="5">
        <v>1700100</v>
      </c>
      <c r="C5119" s="5" t="s">
        <v>360</v>
      </c>
      <c r="D5119" s="3">
        <v>4220</v>
      </c>
      <c r="E5119" s="16"/>
      <c r="G5119" s="16"/>
    </row>
    <row r="5120" spans="1:7">
      <c r="A5120" s="4" t="s">
        <v>389</v>
      </c>
      <c r="B5120" s="5">
        <v>1700101</v>
      </c>
      <c r="C5120" s="5" t="s">
        <v>361</v>
      </c>
      <c r="D5120" s="3">
        <v>7647</v>
      </c>
      <c r="E5120" s="16"/>
      <c r="G5120" s="16"/>
    </row>
    <row r="5121" spans="1:7">
      <c r="A5121" s="4" t="s">
        <v>389</v>
      </c>
      <c r="B5121" s="5">
        <v>1700102</v>
      </c>
      <c r="C5121" s="5" t="s">
        <v>362</v>
      </c>
      <c r="D5121" s="3">
        <v>40196</v>
      </c>
      <c r="E5121" s="16"/>
      <c r="G5121" s="16"/>
    </row>
    <row r="5122" spans="1:7">
      <c r="A5122" s="4" t="s">
        <v>389</v>
      </c>
      <c r="B5122" s="5">
        <v>1700103</v>
      </c>
      <c r="C5122" s="5" t="s">
        <v>363</v>
      </c>
      <c r="D5122" s="3">
        <v>9000</v>
      </c>
      <c r="E5122" s="16"/>
      <c r="G5122" s="16"/>
    </row>
    <row r="5123" spans="1:7">
      <c r="A5123" s="4" t="s">
        <v>389</v>
      </c>
      <c r="B5123" s="5">
        <v>1700104</v>
      </c>
      <c r="C5123" s="5" t="s">
        <v>364</v>
      </c>
      <c r="D5123" s="3">
        <v>25820</v>
      </c>
      <c r="E5123" s="16"/>
      <c r="G5123" s="16"/>
    </row>
    <row r="5124" spans="1:7">
      <c r="A5124" s="4" t="s">
        <v>389</v>
      </c>
      <c r="B5124" s="5">
        <v>1700105</v>
      </c>
      <c r="C5124" s="5" t="s">
        <v>365</v>
      </c>
      <c r="D5124" s="3">
        <v>10588</v>
      </c>
      <c r="E5124" s="16"/>
      <c r="G5124" s="16"/>
    </row>
    <row r="5125" spans="1:7">
      <c r="A5125" s="4" t="s">
        <v>389</v>
      </c>
      <c r="B5125" s="5">
        <v>1700106</v>
      </c>
      <c r="C5125" s="5" t="s">
        <v>366</v>
      </c>
      <c r="D5125" s="3">
        <v>14020</v>
      </c>
      <c r="E5125" s="16"/>
      <c r="G5125" s="16"/>
    </row>
    <row r="5126" spans="1:7">
      <c r="A5126" s="4" t="s">
        <v>389</v>
      </c>
      <c r="B5126" s="5">
        <v>1700107</v>
      </c>
      <c r="C5126" s="5" t="s">
        <v>367</v>
      </c>
      <c r="D5126" s="3">
        <v>9020</v>
      </c>
      <c r="E5126" s="16"/>
      <c r="G5126" s="16"/>
    </row>
    <row r="5127" spans="1:7">
      <c r="A5127" s="4" t="s">
        <v>389</v>
      </c>
      <c r="B5127" s="5">
        <v>1800002</v>
      </c>
      <c r="C5127" s="5" t="s">
        <v>368</v>
      </c>
      <c r="D5127" s="3">
        <v>9520</v>
      </c>
      <c r="E5127" s="16"/>
      <c r="G5127" s="16"/>
    </row>
    <row r="5128" spans="1:7">
      <c r="A5128" s="4" t="s">
        <v>389</v>
      </c>
      <c r="B5128" s="5">
        <v>1800004</v>
      </c>
      <c r="C5128" s="5" t="s">
        <v>369</v>
      </c>
      <c r="D5128" s="3">
        <v>0</v>
      </c>
      <c r="E5128" s="16"/>
      <c r="G5128" s="16"/>
    </row>
    <row r="5129" spans="1:7">
      <c r="A5129" s="4" t="s">
        <v>389</v>
      </c>
      <c r="B5129" s="5">
        <v>1800005</v>
      </c>
      <c r="C5129" s="5" t="s">
        <v>370</v>
      </c>
      <c r="D5129" s="3">
        <v>0</v>
      </c>
      <c r="E5129" s="16"/>
      <c r="G5129" s="16"/>
    </row>
    <row r="5130" spans="1:7">
      <c r="A5130" s="4" t="s">
        <v>389</v>
      </c>
      <c r="B5130" s="5">
        <v>1800006</v>
      </c>
      <c r="C5130" s="5" t="s">
        <v>371</v>
      </c>
      <c r="D5130" s="3">
        <v>0</v>
      </c>
      <c r="E5130" s="16"/>
      <c r="G5130" s="16"/>
    </row>
    <row r="5131" spans="1:7">
      <c r="A5131" s="4" t="s">
        <v>389</v>
      </c>
      <c r="B5131" s="5">
        <v>1800007</v>
      </c>
      <c r="C5131" s="5" t="s">
        <v>372</v>
      </c>
      <c r="D5131" s="3">
        <v>10000</v>
      </c>
      <c r="E5131" s="16"/>
      <c r="G5131" s="16"/>
    </row>
    <row r="5132" spans="1:7">
      <c r="A5132" s="4" t="s">
        <v>389</v>
      </c>
      <c r="B5132" s="5">
        <v>1800008</v>
      </c>
      <c r="C5132" s="5" t="s">
        <v>373</v>
      </c>
      <c r="D5132" s="3">
        <v>10230</v>
      </c>
      <c r="E5132" s="16"/>
      <c r="G5132" s="16"/>
    </row>
    <row r="5133" spans="1:7">
      <c r="A5133" s="4" t="s">
        <v>389</v>
      </c>
      <c r="B5133" s="5">
        <v>1800009</v>
      </c>
      <c r="C5133" s="5" t="s">
        <v>374</v>
      </c>
      <c r="D5133" s="3">
        <v>11800</v>
      </c>
      <c r="E5133" s="16"/>
      <c r="G5133" s="16"/>
    </row>
    <row r="5134" spans="1:7">
      <c r="A5134" s="4" t="s">
        <v>389</v>
      </c>
      <c r="B5134" s="5">
        <v>1800010</v>
      </c>
      <c r="C5134" s="5" t="s">
        <v>375</v>
      </c>
      <c r="D5134" s="3">
        <v>8578</v>
      </c>
      <c r="E5134" s="16"/>
      <c r="G5134" s="16"/>
    </row>
    <row r="5135" spans="1:7">
      <c r="A5135" s="4" t="s">
        <v>389</v>
      </c>
      <c r="B5135" s="5">
        <v>1800011</v>
      </c>
      <c r="C5135" s="5" t="s">
        <v>376</v>
      </c>
      <c r="D5135" s="3">
        <v>13235</v>
      </c>
      <c r="E5135" s="16"/>
      <c r="G5135" s="16"/>
    </row>
    <row r="5136" spans="1:7">
      <c r="A5136" s="4" t="s">
        <v>389</v>
      </c>
      <c r="B5136" s="5">
        <v>1800012</v>
      </c>
      <c r="C5136" s="5" t="s">
        <v>377</v>
      </c>
      <c r="D5136" s="3">
        <v>10294</v>
      </c>
      <c r="E5136" s="16"/>
      <c r="G5136" s="16"/>
    </row>
    <row r="5137" spans="1:7">
      <c r="A5137" s="4" t="s">
        <v>389</v>
      </c>
      <c r="B5137" s="5">
        <v>1800013</v>
      </c>
      <c r="C5137" s="5" t="s">
        <v>378</v>
      </c>
      <c r="D5137" s="3">
        <v>49100</v>
      </c>
      <c r="E5137" s="16"/>
      <c r="G5137" s="16"/>
    </row>
    <row r="5138" spans="1:7">
      <c r="A5138" s="4" t="s">
        <v>389</v>
      </c>
      <c r="B5138" s="5">
        <v>1800014</v>
      </c>
      <c r="C5138" s="5" t="s">
        <v>379</v>
      </c>
      <c r="D5138" s="3">
        <v>70000</v>
      </c>
      <c r="E5138" s="16"/>
      <c r="G5138" s="16"/>
    </row>
    <row r="5139" spans="1:7">
      <c r="A5139" s="4" t="s">
        <v>389</v>
      </c>
      <c r="B5139" s="5">
        <v>1800015</v>
      </c>
      <c r="C5139" s="5" t="s">
        <v>380</v>
      </c>
      <c r="D5139" s="3">
        <v>66700</v>
      </c>
      <c r="E5139" s="16"/>
      <c r="G5139" s="16"/>
    </row>
    <row r="5140" spans="1:7">
      <c r="A5140" s="4" t="s">
        <v>389</v>
      </c>
      <c r="B5140" s="5">
        <v>1900013</v>
      </c>
      <c r="C5140" s="5" t="s">
        <v>381</v>
      </c>
      <c r="D5140" s="3">
        <v>0</v>
      </c>
      <c r="E5140" s="16"/>
      <c r="G5140" s="16"/>
    </row>
    <row r="5141" spans="1:7">
      <c r="A5141" s="4" t="s">
        <v>389</v>
      </c>
      <c r="B5141" s="5">
        <v>1900018</v>
      </c>
      <c r="C5141" s="5" t="s">
        <v>382</v>
      </c>
      <c r="D5141" s="3">
        <v>0</v>
      </c>
      <c r="E5141" s="16"/>
      <c r="G5141" s="16"/>
    </row>
    <row r="5142" spans="1:7">
      <c r="A5142" s="4" t="s">
        <v>390</v>
      </c>
      <c r="B5142" s="5">
        <v>1010101</v>
      </c>
      <c r="C5142" s="5" t="s">
        <v>5</v>
      </c>
      <c r="D5142" s="3">
        <v>700</v>
      </c>
    </row>
    <row r="5143" spans="1:7">
      <c r="A5143" s="4" t="s">
        <v>390</v>
      </c>
      <c r="B5143" s="5">
        <v>1010111</v>
      </c>
      <c r="C5143" s="5" t="s">
        <v>9</v>
      </c>
      <c r="D5143" s="3">
        <v>19100</v>
      </c>
    </row>
    <row r="5144" spans="1:7">
      <c r="A5144" s="4" t="s">
        <v>390</v>
      </c>
      <c r="B5144" s="5">
        <v>1010201</v>
      </c>
      <c r="C5144" s="5" t="s">
        <v>11</v>
      </c>
      <c r="D5144" s="3">
        <v>1372</v>
      </c>
    </row>
    <row r="5145" spans="1:7">
      <c r="A5145" s="4" t="s">
        <v>390</v>
      </c>
      <c r="B5145" s="5">
        <v>1010300</v>
      </c>
      <c r="C5145" s="5" t="s">
        <v>213</v>
      </c>
      <c r="D5145" s="3">
        <v>9608</v>
      </c>
    </row>
    <row r="5146" spans="1:7">
      <c r="A5146" s="4" t="s">
        <v>390</v>
      </c>
      <c r="B5146" s="5">
        <v>1010301</v>
      </c>
      <c r="C5146" s="5" t="s">
        <v>214</v>
      </c>
      <c r="D5146" s="3">
        <v>6373</v>
      </c>
    </row>
    <row r="5147" spans="1:7">
      <c r="A5147" s="4" t="s">
        <v>390</v>
      </c>
      <c r="B5147" s="5">
        <v>1010302</v>
      </c>
      <c r="C5147" s="5" t="s">
        <v>16</v>
      </c>
      <c r="D5147" s="3">
        <v>4314</v>
      </c>
    </row>
    <row r="5148" spans="1:7">
      <c r="A5148" s="4" t="s">
        <v>390</v>
      </c>
      <c r="B5148" s="5">
        <v>1010303</v>
      </c>
      <c r="C5148" s="5" t="s">
        <v>18</v>
      </c>
      <c r="D5148" s="3">
        <v>882</v>
      </c>
    </row>
    <row r="5149" spans="1:7">
      <c r="A5149" s="4" t="s">
        <v>390</v>
      </c>
      <c r="B5149" s="5">
        <v>1010304</v>
      </c>
      <c r="C5149" s="5" t="s">
        <v>215</v>
      </c>
      <c r="D5149" s="3">
        <v>1422</v>
      </c>
    </row>
    <row r="5150" spans="1:7">
      <c r="A5150" s="4" t="s">
        <v>390</v>
      </c>
      <c r="B5150" s="5">
        <v>1010401</v>
      </c>
      <c r="C5150" s="5" t="s">
        <v>20</v>
      </c>
      <c r="D5150" s="3">
        <v>4412</v>
      </c>
    </row>
    <row r="5151" spans="1:7">
      <c r="A5151" s="4" t="s">
        <v>390</v>
      </c>
      <c r="B5151" s="5">
        <v>1010405</v>
      </c>
      <c r="C5151" s="5" t="s">
        <v>22</v>
      </c>
      <c r="D5151" s="3">
        <v>9975</v>
      </c>
    </row>
    <row r="5152" spans="1:7">
      <c r="A5152" s="4" t="s">
        <v>390</v>
      </c>
      <c r="B5152" s="5">
        <v>1010501</v>
      </c>
      <c r="C5152" s="5" t="s">
        <v>24</v>
      </c>
      <c r="D5152" s="3">
        <v>980</v>
      </c>
    </row>
    <row r="5153" spans="1:4">
      <c r="A5153" s="4" t="s">
        <v>390</v>
      </c>
      <c r="B5153" s="5">
        <v>1010502</v>
      </c>
      <c r="C5153" s="5" t="s">
        <v>216</v>
      </c>
      <c r="D5153" s="3">
        <v>0</v>
      </c>
    </row>
    <row r="5154" spans="1:4">
      <c r="A5154" s="4" t="s">
        <v>390</v>
      </c>
      <c r="B5154" s="5">
        <v>1010601</v>
      </c>
      <c r="C5154" s="5" t="s">
        <v>26</v>
      </c>
      <c r="D5154" s="3">
        <v>4902</v>
      </c>
    </row>
    <row r="5155" spans="1:4">
      <c r="A5155" s="4" t="s">
        <v>390</v>
      </c>
      <c r="B5155" s="5">
        <v>1010701</v>
      </c>
      <c r="C5155" s="5" t="s">
        <v>28</v>
      </c>
      <c r="D5155" s="3">
        <v>686</v>
      </c>
    </row>
    <row r="5156" spans="1:4">
      <c r="A5156" s="4" t="s">
        <v>390</v>
      </c>
      <c r="B5156" s="5">
        <v>1010801</v>
      </c>
      <c r="C5156" s="5" t="s">
        <v>30</v>
      </c>
      <c r="D5156" s="3">
        <v>11275</v>
      </c>
    </row>
    <row r="5157" spans="1:4">
      <c r="A5157" s="4" t="s">
        <v>390</v>
      </c>
      <c r="B5157" s="5">
        <v>1010901</v>
      </c>
      <c r="C5157" s="5" t="s">
        <v>32</v>
      </c>
      <c r="D5157" s="3">
        <v>4804</v>
      </c>
    </row>
    <row r="5158" spans="1:4">
      <c r="A5158" s="4" t="s">
        <v>390</v>
      </c>
      <c r="B5158" s="5">
        <v>1020101</v>
      </c>
      <c r="C5158" s="5" t="s">
        <v>34</v>
      </c>
      <c r="D5158" s="3">
        <v>11667</v>
      </c>
    </row>
    <row r="5159" spans="1:4">
      <c r="A5159" s="4" t="s">
        <v>390</v>
      </c>
      <c r="B5159" s="5">
        <v>1020201</v>
      </c>
      <c r="C5159" s="5" t="s">
        <v>217</v>
      </c>
      <c r="D5159" s="3">
        <v>5600</v>
      </c>
    </row>
    <row r="5160" spans="1:4">
      <c r="A5160" s="4" t="s">
        <v>390</v>
      </c>
      <c r="B5160" s="5">
        <v>1020301</v>
      </c>
      <c r="C5160" s="5" t="s">
        <v>38</v>
      </c>
      <c r="D5160" s="3">
        <v>2700</v>
      </c>
    </row>
    <row r="5161" spans="1:4">
      <c r="A5161" s="4" t="s">
        <v>390</v>
      </c>
      <c r="B5161" s="5">
        <v>1020401</v>
      </c>
      <c r="C5161" s="5" t="s">
        <v>40</v>
      </c>
      <c r="D5161" s="3">
        <v>3470</v>
      </c>
    </row>
    <row r="5162" spans="1:4">
      <c r="A5162" s="4" t="s">
        <v>390</v>
      </c>
      <c r="B5162" s="5">
        <v>1030102</v>
      </c>
      <c r="C5162" s="5" t="s">
        <v>218</v>
      </c>
      <c r="D5162" s="3">
        <v>0</v>
      </c>
    </row>
    <row r="5163" spans="1:4">
      <c r="A5163" s="4" t="s">
        <v>390</v>
      </c>
      <c r="B5163" s="5">
        <v>1030201</v>
      </c>
      <c r="C5163" s="5" t="s">
        <v>42</v>
      </c>
      <c r="D5163" s="3">
        <v>2843</v>
      </c>
    </row>
    <row r="5164" spans="1:4">
      <c r="A5164" s="4" t="s">
        <v>390</v>
      </c>
      <c r="B5164" s="5">
        <v>1030203</v>
      </c>
      <c r="C5164" s="5" t="s">
        <v>219</v>
      </c>
      <c r="D5164" s="3">
        <v>0</v>
      </c>
    </row>
    <row r="5165" spans="1:4">
      <c r="A5165" s="4" t="s">
        <v>390</v>
      </c>
      <c r="B5165" s="5">
        <v>1030204</v>
      </c>
      <c r="C5165" s="5" t="s">
        <v>220</v>
      </c>
      <c r="D5165" s="3">
        <v>0</v>
      </c>
    </row>
    <row r="5166" spans="1:4">
      <c r="A5166" s="4" t="s">
        <v>390</v>
      </c>
      <c r="B5166" s="5">
        <v>1030205</v>
      </c>
      <c r="C5166" s="5" t="s">
        <v>44</v>
      </c>
      <c r="D5166" s="3">
        <v>5000</v>
      </c>
    </row>
    <row r="5167" spans="1:4">
      <c r="A5167" s="4" t="s">
        <v>390</v>
      </c>
      <c r="B5167" s="5">
        <v>1030206</v>
      </c>
      <c r="C5167" s="5" t="s">
        <v>46</v>
      </c>
      <c r="D5167" s="3">
        <v>6200</v>
      </c>
    </row>
    <row r="5168" spans="1:4">
      <c r="A5168" s="4" t="s">
        <v>390</v>
      </c>
      <c r="B5168" s="5">
        <v>1030207</v>
      </c>
      <c r="C5168" s="5" t="s">
        <v>48</v>
      </c>
      <c r="D5168" s="3">
        <v>4600</v>
      </c>
    </row>
    <row r="5169" spans="1:4">
      <c r="A5169" s="4" t="s">
        <v>390</v>
      </c>
      <c r="B5169" s="5">
        <v>1030501</v>
      </c>
      <c r="C5169" s="5" t="s">
        <v>50</v>
      </c>
      <c r="D5169" s="3">
        <v>1163</v>
      </c>
    </row>
    <row r="5170" spans="1:4">
      <c r="A5170" s="4" t="s">
        <v>390</v>
      </c>
      <c r="B5170" s="5">
        <v>1030601</v>
      </c>
      <c r="C5170" s="5" t="s">
        <v>52</v>
      </c>
      <c r="D5170" s="3">
        <v>3050</v>
      </c>
    </row>
    <row r="5171" spans="1:4">
      <c r="A5171" s="4" t="s">
        <v>390</v>
      </c>
      <c r="B5171" s="5">
        <v>1030701</v>
      </c>
      <c r="C5171" s="5" t="s">
        <v>221</v>
      </c>
      <c r="D5171" s="3">
        <v>3000</v>
      </c>
    </row>
    <row r="5172" spans="1:4">
      <c r="A5172" s="4" t="s">
        <v>390</v>
      </c>
      <c r="B5172" s="5">
        <v>1030705</v>
      </c>
      <c r="C5172" s="5" t="s">
        <v>222</v>
      </c>
      <c r="D5172" s="3">
        <v>0</v>
      </c>
    </row>
    <row r="5173" spans="1:4">
      <c r="A5173" s="4" t="s">
        <v>390</v>
      </c>
      <c r="B5173" s="5">
        <v>1030801</v>
      </c>
      <c r="C5173" s="5" t="s">
        <v>54</v>
      </c>
      <c r="D5173" s="3">
        <v>1176</v>
      </c>
    </row>
    <row r="5174" spans="1:4">
      <c r="A5174" s="4" t="s">
        <v>390</v>
      </c>
      <c r="B5174" s="5">
        <v>1030901</v>
      </c>
      <c r="C5174" s="5" t="s">
        <v>223</v>
      </c>
      <c r="D5174" s="3">
        <v>0</v>
      </c>
    </row>
    <row r="5175" spans="1:4">
      <c r="A5175" s="4" t="s">
        <v>390</v>
      </c>
      <c r="B5175" s="5">
        <v>1040201</v>
      </c>
      <c r="C5175" s="5" t="s">
        <v>56</v>
      </c>
      <c r="D5175" s="3">
        <v>1450</v>
      </c>
    </row>
    <row r="5176" spans="1:4">
      <c r="A5176" s="4" t="s">
        <v>390</v>
      </c>
      <c r="B5176" s="5">
        <v>1040202</v>
      </c>
      <c r="C5176" s="5" t="s">
        <v>224</v>
      </c>
      <c r="D5176" s="3">
        <v>0</v>
      </c>
    </row>
    <row r="5177" spans="1:4">
      <c r="A5177" s="4" t="s">
        <v>390</v>
      </c>
      <c r="B5177" s="5">
        <v>1040203</v>
      </c>
      <c r="C5177" s="5" t="s">
        <v>225</v>
      </c>
      <c r="D5177" s="3">
        <v>0</v>
      </c>
    </row>
    <row r="5178" spans="1:4">
      <c r="A5178" s="4" t="s">
        <v>390</v>
      </c>
      <c r="B5178" s="5">
        <v>1040204</v>
      </c>
      <c r="C5178" s="5" t="s">
        <v>226</v>
      </c>
      <c r="D5178" s="3">
        <v>8583</v>
      </c>
    </row>
    <row r="5179" spans="1:4">
      <c r="A5179" s="4" t="s">
        <v>390</v>
      </c>
      <c r="B5179" s="5">
        <v>1040301</v>
      </c>
      <c r="C5179" s="5" t="s">
        <v>58</v>
      </c>
      <c r="D5179" s="3">
        <v>1650</v>
      </c>
    </row>
    <row r="5180" spans="1:4">
      <c r="A5180" s="4" t="s">
        <v>390</v>
      </c>
      <c r="B5180" s="5">
        <v>1040401</v>
      </c>
      <c r="C5180" s="5" t="s">
        <v>227</v>
      </c>
      <c r="D5180" s="3">
        <v>0</v>
      </c>
    </row>
    <row r="5181" spans="1:4">
      <c r="A5181" s="4" t="s">
        <v>390</v>
      </c>
      <c r="B5181" s="5">
        <v>1050102</v>
      </c>
      <c r="C5181" s="5" t="s">
        <v>60</v>
      </c>
      <c r="D5181" s="3">
        <v>33000</v>
      </c>
    </row>
    <row r="5182" spans="1:4">
      <c r="A5182" s="4" t="s">
        <v>390</v>
      </c>
      <c r="B5182" s="5">
        <v>1050103</v>
      </c>
      <c r="C5182" s="5" t="s">
        <v>228</v>
      </c>
      <c r="D5182" s="3">
        <v>11275</v>
      </c>
    </row>
    <row r="5183" spans="1:4">
      <c r="A5183" s="4" t="s">
        <v>390</v>
      </c>
      <c r="B5183" s="5">
        <v>1050301</v>
      </c>
      <c r="C5183" s="5" t="s">
        <v>62</v>
      </c>
      <c r="D5183" s="3">
        <v>9804</v>
      </c>
    </row>
    <row r="5184" spans="1:4">
      <c r="A5184" s="4" t="s">
        <v>390</v>
      </c>
      <c r="B5184" s="5">
        <v>1050401</v>
      </c>
      <c r="C5184" s="5" t="s">
        <v>64</v>
      </c>
      <c r="D5184" s="3">
        <v>8824</v>
      </c>
    </row>
    <row r="5185" spans="1:4">
      <c r="A5185" s="4" t="s">
        <v>390</v>
      </c>
      <c r="B5185" s="5">
        <v>1050501</v>
      </c>
      <c r="C5185" s="5" t="s">
        <v>66</v>
      </c>
      <c r="D5185" s="3">
        <v>10784</v>
      </c>
    </row>
    <row r="5186" spans="1:4">
      <c r="A5186" s="4" t="s">
        <v>390</v>
      </c>
      <c r="B5186" s="5">
        <v>1050511</v>
      </c>
      <c r="C5186" s="5" t="s">
        <v>68</v>
      </c>
      <c r="D5186" s="3">
        <v>18000</v>
      </c>
    </row>
    <row r="5187" spans="1:4">
      <c r="A5187" s="4" t="s">
        <v>390</v>
      </c>
      <c r="B5187" s="5">
        <v>1050512</v>
      </c>
      <c r="C5187" s="5" t="s">
        <v>229</v>
      </c>
      <c r="D5187" s="3">
        <v>0</v>
      </c>
    </row>
    <row r="5188" spans="1:4">
      <c r="A5188" s="4" t="s">
        <v>390</v>
      </c>
      <c r="B5188" s="5">
        <v>1050521</v>
      </c>
      <c r="C5188" s="5" t="s">
        <v>70</v>
      </c>
      <c r="D5188" s="3">
        <v>14706</v>
      </c>
    </row>
    <row r="5189" spans="1:4">
      <c r="A5189" s="4" t="s">
        <v>390</v>
      </c>
      <c r="B5189" s="5">
        <v>1050531</v>
      </c>
      <c r="C5189" s="5" t="s">
        <v>72</v>
      </c>
      <c r="D5189" s="3">
        <v>21000</v>
      </c>
    </row>
    <row r="5190" spans="1:4">
      <c r="A5190" s="4" t="s">
        <v>390</v>
      </c>
      <c r="B5190" s="5">
        <v>1050541</v>
      </c>
      <c r="C5190" s="5" t="s">
        <v>74</v>
      </c>
      <c r="D5190" s="3">
        <v>11000</v>
      </c>
    </row>
    <row r="5191" spans="1:4">
      <c r="A5191" s="4" t="s">
        <v>390</v>
      </c>
      <c r="B5191" s="5">
        <v>1050551</v>
      </c>
      <c r="C5191" s="5" t="s">
        <v>76</v>
      </c>
      <c r="D5191" s="3">
        <v>54000</v>
      </c>
    </row>
    <row r="5192" spans="1:4">
      <c r="A5192" s="4" t="s">
        <v>390</v>
      </c>
      <c r="B5192" s="5">
        <v>1050561</v>
      </c>
      <c r="C5192" s="5" t="s">
        <v>78</v>
      </c>
      <c r="D5192" s="3">
        <v>77321</v>
      </c>
    </row>
    <row r="5193" spans="1:4">
      <c r="A5193" s="4" t="s">
        <v>390</v>
      </c>
      <c r="B5193" s="5">
        <v>1050571</v>
      </c>
      <c r="C5193" s="5" t="s">
        <v>80</v>
      </c>
      <c r="D5193" s="3">
        <v>58000</v>
      </c>
    </row>
    <row r="5194" spans="1:4">
      <c r="A5194" s="4" t="s">
        <v>390</v>
      </c>
      <c r="B5194" s="5">
        <v>1050581</v>
      </c>
      <c r="C5194" s="5" t="s">
        <v>82</v>
      </c>
      <c r="D5194" s="3">
        <v>60760</v>
      </c>
    </row>
    <row r="5195" spans="1:4">
      <c r="A5195" s="4" t="s">
        <v>390</v>
      </c>
      <c r="B5195" s="5">
        <v>1050591</v>
      </c>
      <c r="C5195" s="5" t="s">
        <v>84</v>
      </c>
      <c r="D5195" s="3">
        <v>97750</v>
      </c>
    </row>
    <row r="5196" spans="1:4">
      <c r="A5196" s="4" t="s">
        <v>390</v>
      </c>
      <c r="B5196" s="5">
        <v>1050601</v>
      </c>
      <c r="C5196" s="5" t="s">
        <v>86</v>
      </c>
      <c r="D5196" s="3">
        <v>6400</v>
      </c>
    </row>
    <row r="5197" spans="1:4">
      <c r="A5197" s="4" t="s">
        <v>390</v>
      </c>
      <c r="B5197" s="5">
        <v>1050701</v>
      </c>
      <c r="C5197" s="5" t="s">
        <v>88</v>
      </c>
      <c r="D5197" s="3">
        <v>5930</v>
      </c>
    </row>
    <row r="5198" spans="1:4">
      <c r="A5198" s="4" t="s">
        <v>390</v>
      </c>
      <c r="B5198" s="5">
        <v>1050702</v>
      </c>
      <c r="C5198" s="5" t="s">
        <v>90</v>
      </c>
      <c r="D5198" s="3">
        <v>5870</v>
      </c>
    </row>
    <row r="5199" spans="1:4">
      <c r="A5199" s="4" t="s">
        <v>390</v>
      </c>
      <c r="B5199" s="5">
        <v>1050711</v>
      </c>
      <c r="C5199" s="5" t="s">
        <v>92</v>
      </c>
      <c r="D5199" s="3">
        <v>2600</v>
      </c>
    </row>
    <row r="5200" spans="1:4">
      <c r="A5200" s="4" t="s">
        <v>390</v>
      </c>
      <c r="B5200" s="5">
        <v>1050721</v>
      </c>
      <c r="C5200" s="5" t="s">
        <v>94</v>
      </c>
      <c r="D5200" s="3">
        <v>14510</v>
      </c>
    </row>
    <row r="5201" spans="1:4">
      <c r="A5201" s="4" t="s">
        <v>390</v>
      </c>
      <c r="B5201" s="5">
        <v>1050801</v>
      </c>
      <c r="C5201" s="5" t="s">
        <v>7</v>
      </c>
      <c r="D5201" s="3">
        <v>882</v>
      </c>
    </row>
    <row r="5202" spans="1:4">
      <c r="A5202" s="4" t="s">
        <v>390</v>
      </c>
      <c r="B5202" s="5">
        <v>1050901</v>
      </c>
      <c r="C5202" s="5" t="s">
        <v>96</v>
      </c>
      <c r="D5202" s="3">
        <v>1216</v>
      </c>
    </row>
    <row r="5203" spans="1:4">
      <c r="A5203" s="4" t="s">
        <v>390</v>
      </c>
      <c r="B5203" s="5">
        <v>1060101</v>
      </c>
      <c r="C5203" s="5" t="s">
        <v>98</v>
      </c>
      <c r="D5203" s="3">
        <v>2200</v>
      </c>
    </row>
    <row r="5204" spans="1:4">
      <c r="A5204" s="4" t="s">
        <v>390</v>
      </c>
      <c r="B5204" s="5">
        <v>1060401</v>
      </c>
      <c r="C5204" s="5" t="s">
        <v>100</v>
      </c>
      <c r="D5204" s="3">
        <v>75000</v>
      </c>
    </row>
    <row r="5205" spans="1:4">
      <c r="A5205" s="4" t="s">
        <v>390</v>
      </c>
      <c r="B5205" s="5">
        <v>1060412</v>
      </c>
      <c r="C5205" s="5" t="s">
        <v>230</v>
      </c>
      <c r="D5205" s="3">
        <v>33000</v>
      </c>
    </row>
    <row r="5206" spans="1:4">
      <c r="A5206" s="4" t="s">
        <v>390</v>
      </c>
      <c r="B5206" s="5">
        <v>1060421</v>
      </c>
      <c r="C5206" s="5" t="s">
        <v>104</v>
      </c>
      <c r="D5206" s="3">
        <v>118000</v>
      </c>
    </row>
    <row r="5207" spans="1:4">
      <c r="A5207" s="4" t="s">
        <v>390</v>
      </c>
      <c r="B5207" s="5">
        <v>1060441</v>
      </c>
      <c r="C5207" s="5" t="s">
        <v>106</v>
      </c>
      <c r="D5207" s="3">
        <v>6471</v>
      </c>
    </row>
    <row r="5208" spans="1:4">
      <c r="A5208" s="4" t="s">
        <v>390</v>
      </c>
      <c r="B5208" s="5">
        <v>1060451</v>
      </c>
      <c r="C5208" s="5" t="s">
        <v>108</v>
      </c>
      <c r="D5208" s="3">
        <v>38235</v>
      </c>
    </row>
    <row r="5209" spans="1:4">
      <c r="A5209" s="4" t="s">
        <v>390</v>
      </c>
      <c r="B5209" s="5">
        <v>1070101</v>
      </c>
      <c r="C5209" s="5" t="s">
        <v>110</v>
      </c>
      <c r="D5209" s="3">
        <v>4000</v>
      </c>
    </row>
    <row r="5210" spans="1:4">
      <c r="A5210" s="4" t="s">
        <v>390</v>
      </c>
      <c r="B5210" s="5">
        <v>1070301</v>
      </c>
      <c r="C5210" s="5" t="s">
        <v>112</v>
      </c>
      <c r="D5210" s="3">
        <v>43000</v>
      </c>
    </row>
    <row r="5211" spans="1:4">
      <c r="A5211" s="4" t="s">
        <v>390</v>
      </c>
      <c r="B5211" s="5">
        <v>1070401</v>
      </c>
      <c r="C5211" s="5" t="s">
        <v>114</v>
      </c>
      <c r="D5211" s="3">
        <v>16000</v>
      </c>
    </row>
    <row r="5212" spans="1:4">
      <c r="A5212" s="4" t="s">
        <v>390</v>
      </c>
      <c r="B5212" s="5">
        <v>1070501</v>
      </c>
      <c r="C5212" s="5" t="s">
        <v>231</v>
      </c>
      <c r="D5212" s="3">
        <v>5500</v>
      </c>
    </row>
    <row r="5213" spans="1:4">
      <c r="A5213" s="4" t="s">
        <v>390</v>
      </c>
      <c r="B5213" s="5">
        <v>1070701</v>
      </c>
      <c r="C5213" s="5" t="s">
        <v>118</v>
      </c>
      <c r="D5213" s="3">
        <v>36000</v>
      </c>
    </row>
    <row r="5214" spans="1:4">
      <c r="A5214" s="4" t="s">
        <v>390</v>
      </c>
      <c r="B5214" s="5">
        <v>1070801</v>
      </c>
      <c r="C5214" s="5" t="s">
        <v>232</v>
      </c>
      <c r="D5214" s="3">
        <v>35000</v>
      </c>
    </row>
    <row r="5215" spans="1:4">
      <c r="A5215" s="4" t="s">
        <v>390</v>
      </c>
      <c r="B5215" s="5">
        <v>1080101</v>
      </c>
      <c r="C5215" s="5" t="s">
        <v>120</v>
      </c>
      <c r="D5215" s="3">
        <v>12000</v>
      </c>
    </row>
    <row r="5216" spans="1:4">
      <c r="A5216" s="4" t="s">
        <v>390</v>
      </c>
      <c r="B5216" s="5">
        <v>1080201</v>
      </c>
      <c r="C5216" s="5" t="s">
        <v>122</v>
      </c>
      <c r="D5216" s="3">
        <v>540</v>
      </c>
    </row>
    <row r="5217" spans="1:4">
      <c r="A5217" s="4" t="s">
        <v>390</v>
      </c>
      <c r="B5217" s="5">
        <v>1080301</v>
      </c>
      <c r="C5217" s="5" t="s">
        <v>124</v>
      </c>
      <c r="D5217" s="3">
        <v>1550</v>
      </c>
    </row>
    <row r="5218" spans="1:4">
      <c r="A5218" s="4" t="s">
        <v>390</v>
      </c>
      <c r="B5218" s="5">
        <v>1080401</v>
      </c>
      <c r="C5218" s="5" t="s">
        <v>233</v>
      </c>
      <c r="D5218" s="3">
        <v>3150</v>
      </c>
    </row>
    <row r="5219" spans="1:4">
      <c r="A5219" s="4" t="s">
        <v>390</v>
      </c>
      <c r="B5219" s="5">
        <v>1080411</v>
      </c>
      <c r="C5219" s="5" t="s">
        <v>128</v>
      </c>
      <c r="D5219" s="3">
        <v>3150</v>
      </c>
    </row>
    <row r="5220" spans="1:4">
      <c r="A5220" s="4" t="s">
        <v>390</v>
      </c>
      <c r="B5220" s="5">
        <v>1080501</v>
      </c>
      <c r="C5220" s="5" t="s">
        <v>130</v>
      </c>
      <c r="D5220" s="3">
        <v>4200</v>
      </c>
    </row>
    <row r="5221" spans="1:4">
      <c r="A5221" s="4" t="s">
        <v>390</v>
      </c>
      <c r="B5221" s="5">
        <v>1080602</v>
      </c>
      <c r="C5221" s="5" t="s">
        <v>234</v>
      </c>
      <c r="D5221" s="3">
        <v>38600</v>
      </c>
    </row>
    <row r="5222" spans="1:4">
      <c r="A5222" s="4" t="s">
        <v>390</v>
      </c>
      <c r="B5222" s="5">
        <v>1080604</v>
      </c>
      <c r="C5222" s="5" t="s">
        <v>235</v>
      </c>
      <c r="D5222" s="3">
        <v>0</v>
      </c>
    </row>
    <row r="5223" spans="1:4">
      <c r="A5223" s="4" t="s">
        <v>390</v>
      </c>
      <c r="B5223" s="5">
        <v>1080702</v>
      </c>
      <c r="C5223" s="5" t="s">
        <v>236</v>
      </c>
      <c r="D5223" s="3">
        <v>43500</v>
      </c>
    </row>
    <row r="5224" spans="1:4">
      <c r="A5224" s="4" t="s">
        <v>390</v>
      </c>
      <c r="B5224" s="5">
        <v>1080704</v>
      </c>
      <c r="C5224" s="5" t="s">
        <v>237</v>
      </c>
      <c r="D5224" s="3">
        <v>0</v>
      </c>
    </row>
    <row r="5225" spans="1:4">
      <c r="A5225" s="4" t="s">
        <v>390</v>
      </c>
      <c r="B5225" s="5">
        <v>1090104</v>
      </c>
      <c r="C5225" s="5" t="s">
        <v>136</v>
      </c>
      <c r="D5225" s="3">
        <v>40000</v>
      </c>
    </row>
    <row r="5226" spans="1:4">
      <c r="A5226" s="4" t="s">
        <v>390</v>
      </c>
      <c r="B5226" s="5">
        <v>1090112</v>
      </c>
      <c r="C5226" s="5" t="s">
        <v>138</v>
      </c>
      <c r="D5226" s="3">
        <v>35000</v>
      </c>
    </row>
    <row r="5227" spans="1:4">
      <c r="A5227" s="4" t="s">
        <v>390</v>
      </c>
      <c r="B5227" s="5">
        <v>1090201</v>
      </c>
      <c r="C5227" s="5" t="s">
        <v>140</v>
      </c>
      <c r="D5227" s="3">
        <v>15800</v>
      </c>
    </row>
    <row r="5228" spans="1:4">
      <c r="A5228" s="4" t="s">
        <v>390</v>
      </c>
      <c r="B5228" s="5">
        <v>1090202</v>
      </c>
      <c r="C5228" s="5" t="s">
        <v>142</v>
      </c>
      <c r="D5228" s="3">
        <v>98000</v>
      </c>
    </row>
    <row r="5229" spans="1:4">
      <c r="A5229" s="4" t="s">
        <v>390</v>
      </c>
      <c r="B5229" s="5">
        <v>1090203</v>
      </c>
      <c r="C5229" s="5" t="s">
        <v>144</v>
      </c>
      <c r="D5229" s="3">
        <v>23000</v>
      </c>
    </row>
    <row r="5230" spans="1:4">
      <c r="A5230" s="4" t="s">
        <v>390</v>
      </c>
      <c r="B5230" s="5">
        <v>1090211</v>
      </c>
      <c r="C5230" s="5" t="s">
        <v>146</v>
      </c>
      <c r="D5230" s="3">
        <v>64706</v>
      </c>
    </row>
    <row r="5231" spans="1:4">
      <c r="A5231" s="4" t="s">
        <v>390</v>
      </c>
      <c r="B5231" s="5">
        <v>1090301</v>
      </c>
      <c r="C5231" s="5" t="s">
        <v>238</v>
      </c>
      <c r="D5231" s="3">
        <v>32000</v>
      </c>
    </row>
    <row r="5232" spans="1:4">
      <c r="A5232" s="4" t="s">
        <v>390</v>
      </c>
      <c r="B5232" s="5">
        <v>1090311</v>
      </c>
      <c r="C5232" s="5" t="s">
        <v>150</v>
      </c>
      <c r="D5232" s="3">
        <v>37000</v>
      </c>
    </row>
    <row r="5233" spans="1:4">
      <c r="A5233" s="4" t="s">
        <v>390</v>
      </c>
      <c r="B5233" s="5">
        <v>1090321</v>
      </c>
      <c r="C5233" s="5" t="s">
        <v>152</v>
      </c>
      <c r="D5233" s="3">
        <v>69000</v>
      </c>
    </row>
    <row r="5234" spans="1:4">
      <c r="A5234" s="4" t="s">
        <v>390</v>
      </c>
      <c r="B5234" s="5">
        <v>1090401</v>
      </c>
      <c r="C5234" s="5" t="s">
        <v>154</v>
      </c>
      <c r="D5234" s="3">
        <v>9300</v>
      </c>
    </row>
    <row r="5235" spans="1:4">
      <c r="A5235" s="4" t="s">
        <v>390</v>
      </c>
      <c r="B5235" s="5">
        <v>1090411</v>
      </c>
      <c r="C5235" s="5" t="s">
        <v>156</v>
      </c>
      <c r="D5235" s="3">
        <v>45000</v>
      </c>
    </row>
    <row r="5236" spans="1:4">
      <c r="A5236" s="4" t="s">
        <v>390</v>
      </c>
      <c r="B5236" s="5">
        <v>1090421</v>
      </c>
      <c r="C5236" s="5" t="s">
        <v>158</v>
      </c>
      <c r="D5236" s="3">
        <v>36000</v>
      </c>
    </row>
    <row r="5237" spans="1:4">
      <c r="A5237" s="4" t="s">
        <v>390</v>
      </c>
      <c r="B5237" s="5">
        <v>1090551</v>
      </c>
      <c r="C5237" s="5" t="s">
        <v>239</v>
      </c>
      <c r="D5237" s="3">
        <v>5300</v>
      </c>
    </row>
    <row r="5238" spans="1:4">
      <c r="A5238" s="4" t="s">
        <v>390</v>
      </c>
      <c r="B5238" s="5">
        <v>1090602</v>
      </c>
      <c r="C5238" s="5" t="s">
        <v>162</v>
      </c>
      <c r="D5238" s="3">
        <v>5600</v>
      </c>
    </row>
    <row r="5239" spans="1:4">
      <c r="A5239" s="4" t="s">
        <v>390</v>
      </c>
      <c r="B5239" s="5">
        <v>1090611</v>
      </c>
      <c r="C5239" s="5" t="s">
        <v>164</v>
      </c>
      <c r="D5239" s="3">
        <v>4800</v>
      </c>
    </row>
    <row r="5240" spans="1:4">
      <c r="A5240" s="4" t="s">
        <v>390</v>
      </c>
      <c r="B5240" s="5">
        <v>1090701</v>
      </c>
      <c r="C5240" s="5" t="s">
        <v>166</v>
      </c>
      <c r="D5240" s="3">
        <v>21000</v>
      </c>
    </row>
    <row r="5241" spans="1:4">
      <c r="A5241" s="4" t="s">
        <v>390</v>
      </c>
      <c r="B5241" s="5">
        <v>1090901</v>
      </c>
      <c r="C5241" s="5" t="s">
        <v>168</v>
      </c>
      <c r="D5241" s="3">
        <v>4300</v>
      </c>
    </row>
    <row r="5242" spans="1:4">
      <c r="A5242" s="4" t="s">
        <v>390</v>
      </c>
      <c r="B5242" s="5">
        <v>1091001</v>
      </c>
      <c r="C5242" s="5" t="s">
        <v>170</v>
      </c>
      <c r="D5242" s="3">
        <v>7000</v>
      </c>
    </row>
    <row r="5243" spans="1:4">
      <c r="A5243" s="4" t="s">
        <v>390</v>
      </c>
      <c r="B5243" s="5">
        <v>1091002</v>
      </c>
      <c r="C5243" s="5" t="s">
        <v>172</v>
      </c>
      <c r="D5243" s="3">
        <v>6304</v>
      </c>
    </row>
    <row r="5244" spans="1:4">
      <c r="A5244" s="4" t="s">
        <v>390</v>
      </c>
      <c r="B5244" s="5">
        <v>1091003</v>
      </c>
      <c r="C5244" s="5" t="s">
        <v>174</v>
      </c>
      <c r="D5244" s="3">
        <v>10069</v>
      </c>
    </row>
    <row r="5245" spans="1:4">
      <c r="A5245" s="4" t="s">
        <v>390</v>
      </c>
      <c r="B5245" s="5">
        <v>1091004</v>
      </c>
      <c r="C5245" s="5" t="s">
        <v>240</v>
      </c>
      <c r="D5245" s="3">
        <v>0</v>
      </c>
    </row>
    <row r="5246" spans="1:4">
      <c r="A5246" s="4" t="s">
        <v>390</v>
      </c>
      <c r="B5246" s="5">
        <v>1091005</v>
      </c>
      <c r="C5246" s="5" t="s">
        <v>241</v>
      </c>
      <c r="D5246" s="3">
        <v>0</v>
      </c>
    </row>
    <row r="5247" spans="1:4">
      <c r="A5247" s="4" t="s">
        <v>390</v>
      </c>
      <c r="B5247" s="5">
        <v>1091006</v>
      </c>
      <c r="C5247" s="5" t="s">
        <v>242</v>
      </c>
      <c r="D5247" s="3">
        <v>0</v>
      </c>
    </row>
    <row r="5248" spans="1:4">
      <c r="A5248" s="4" t="s">
        <v>390</v>
      </c>
      <c r="B5248" s="5">
        <v>1091007</v>
      </c>
      <c r="C5248" s="5" t="s">
        <v>243</v>
      </c>
      <c r="D5248" s="3">
        <v>2640</v>
      </c>
    </row>
    <row r="5249" spans="1:4">
      <c r="A5249" s="4" t="s">
        <v>390</v>
      </c>
      <c r="B5249" s="5">
        <v>1091008</v>
      </c>
      <c r="C5249" s="5" t="s">
        <v>176</v>
      </c>
      <c r="D5249" s="3">
        <v>450000</v>
      </c>
    </row>
    <row r="5250" spans="1:4">
      <c r="A5250" s="4" t="s">
        <v>390</v>
      </c>
      <c r="B5250" s="5">
        <v>1091009</v>
      </c>
      <c r="C5250" s="5" t="s">
        <v>178</v>
      </c>
      <c r="D5250" s="3">
        <v>190000</v>
      </c>
    </row>
    <row r="5251" spans="1:4">
      <c r="A5251" s="4" t="s">
        <v>390</v>
      </c>
      <c r="B5251" s="5">
        <v>1091010</v>
      </c>
      <c r="C5251" s="5" t="s">
        <v>180</v>
      </c>
      <c r="D5251" s="3">
        <v>27000</v>
      </c>
    </row>
    <row r="5252" spans="1:4">
      <c r="A5252" s="4" t="s">
        <v>390</v>
      </c>
      <c r="B5252" s="5">
        <v>1091011</v>
      </c>
      <c r="C5252" s="5" t="s">
        <v>182</v>
      </c>
      <c r="D5252" s="3">
        <v>33000</v>
      </c>
    </row>
    <row r="5253" spans="1:4">
      <c r="A5253" s="4" t="s">
        <v>390</v>
      </c>
      <c r="B5253" s="5">
        <v>1091012</v>
      </c>
      <c r="C5253" s="5" t="s">
        <v>184</v>
      </c>
      <c r="D5253" s="3">
        <v>47000</v>
      </c>
    </row>
    <row r="5254" spans="1:4">
      <c r="A5254" s="4" t="s">
        <v>390</v>
      </c>
      <c r="B5254" s="5">
        <v>1091013</v>
      </c>
      <c r="C5254" s="5" t="s">
        <v>186</v>
      </c>
      <c r="D5254" s="3">
        <v>33000</v>
      </c>
    </row>
    <row r="5255" spans="1:4">
      <c r="A5255" s="4" t="s">
        <v>390</v>
      </c>
      <c r="B5255" s="5">
        <v>1091014</v>
      </c>
      <c r="C5255" s="5" t="s">
        <v>244</v>
      </c>
      <c r="D5255" s="3">
        <v>6961</v>
      </c>
    </row>
    <row r="5256" spans="1:4">
      <c r="A5256" s="4" t="s">
        <v>390</v>
      </c>
      <c r="B5256" s="5">
        <v>1091015</v>
      </c>
      <c r="C5256" s="5" t="s">
        <v>245</v>
      </c>
      <c r="D5256" s="3">
        <v>28000</v>
      </c>
    </row>
    <row r="5257" spans="1:4">
      <c r="A5257" s="4" t="s">
        <v>390</v>
      </c>
      <c r="B5257" s="5">
        <v>1091016</v>
      </c>
      <c r="C5257" s="5" t="s">
        <v>246</v>
      </c>
      <c r="D5257" s="3">
        <v>50187</v>
      </c>
    </row>
    <row r="5258" spans="1:4">
      <c r="A5258" s="4" t="s">
        <v>390</v>
      </c>
      <c r="B5258" s="5">
        <v>1091017</v>
      </c>
      <c r="C5258" s="5" t="s">
        <v>247</v>
      </c>
      <c r="D5258" s="3">
        <v>74833</v>
      </c>
    </row>
    <row r="5259" spans="1:4">
      <c r="A5259" s="4" t="s">
        <v>390</v>
      </c>
      <c r="B5259" s="5">
        <v>1091018</v>
      </c>
      <c r="C5259" s="5" t="s">
        <v>248</v>
      </c>
      <c r="D5259" s="3">
        <v>33031</v>
      </c>
    </row>
    <row r="5260" spans="1:4">
      <c r="A5260" s="4" t="s">
        <v>390</v>
      </c>
      <c r="B5260" s="5">
        <v>1091019</v>
      </c>
      <c r="C5260" s="5" t="s">
        <v>249</v>
      </c>
      <c r="D5260" s="3">
        <v>53387</v>
      </c>
    </row>
    <row r="5261" spans="1:4">
      <c r="A5261" s="4" t="s">
        <v>390</v>
      </c>
      <c r="B5261" s="5">
        <v>1091020</v>
      </c>
      <c r="C5261" s="5" t="s">
        <v>250</v>
      </c>
      <c r="D5261" s="3">
        <v>100500</v>
      </c>
    </row>
    <row r="5262" spans="1:4">
      <c r="A5262" s="4" t="s">
        <v>390</v>
      </c>
      <c r="B5262" s="5">
        <v>1091021</v>
      </c>
      <c r="C5262" s="5" t="s">
        <v>251</v>
      </c>
      <c r="D5262" s="3">
        <v>50600</v>
      </c>
    </row>
    <row r="5263" spans="1:4">
      <c r="A5263" s="4" t="s">
        <v>390</v>
      </c>
      <c r="B5263" s="5">
        <v>1091022</v>
      </c>
      <c r="C5263" s="5" t="s">
        <v>252</v>
      </c>
      <c r="D5263" s="3">
        <v>3235</v>
      </c>
    </row>
    <row r="5264" spans="1:4">
      <c r="A5264" s="4" t="s">
        <v>390</v>
      </c>
      <c r="B5264" s="5">
        <v>1091023</v>
      </c>
      <c r="C5264" s="5" t="s">
        <v>253</v>
      </c>
      <c r="D5264" s="3">
        <v>4412</v>
      </c>
    </row>
    <row r="5265" spans="1:4">
      <c r="A5265" s="4" t="s">
        <v>390</v>
      </c>
      <c r="B5265" s="5">
        <v>1091024</v>
      </c>
      <c r="C5265" s="5" t="s">
        <v>254</v>
      </c>
      <c r="D5265" s="3">
        <v>3922</v>
      </c>
    </row>
    <row r="5266" spans="1:4">
      <c r="A5266" s="4" t="s">
        <v>390</v>
      </c>
      <c r="B5266" s="5">
        <v>1091025</v>
      </c>
      <c r="C5266" s="5" t="s">
        <v>255</v>
      </c>
      <c r="D5266" s="3">
        <v>7843</v>
      </c>
    </row>
    <row r="5267" spans="1:4">
      <c r="A5267" s="4" t="s">
        <v>390</v>
      </c>
      <c r="B5267" s="5">
        <v>1091026</v>
      </c>
      <c r="C5267" s="5" t="s">
        <v>256</v>
      </c>
      <c r="D5267" s="3">
        <v>32255</v>
      </c>
    </row>
    <row r="5268" spans="1:4">
      <c r="A5268" s="4" t="s">
        <v>390</v>
      </c>
      <c r="B5268" s="5">
        <v>1600101</v>
      </c>
      <c r="C5268" s="5" t="s">
        <v>188</v>
      </c>
      <c r="D5268" s="3">
        <v>2892</v>
      </c>
    </row>
    <row r="5269" spans="1:4">
      <c r="A5269" s="4" t="s">
        <v>390</v>
      </c>
      <c r="B5269" s="5">
        <v>1600102</v>
      </c>
      <c r="C5269" s="5" t="s">
        <v>257</v>
      </c>
      <c r="D5269" s="3">
        <v>17649</v>
      </c>
    </row>
    <row r="5270" spans="1:4">
      <c r="A5270" s="4" t="s">
        <v>390</v>
      </c>
      <c r="B5270" s="5">
        <v>1600103</v>
      </c>
      <c r="C5270" s="5" t="s">
        <v>258</v>
      </c>
      <c r="D5270" s="3">
        <v>19800</v>
      </c>
    </row>
    <row r="5271" spans="1:4">
      <c r="A5271" s="4" t="s">
        <v>390</v>
      </c>
      <c r="B5271" s="5">
        <v>1600104</v>
      </c>
      <c r="C5271" s="5" t="s">
        <v>259</v>
      </c>
      <c r="D5271" s="3">
        <v>73810</v>
      </c>
    </row>
    <row r="5272" spans="1:4">
      <c r="A5272" s="4" t="s">
        <v>390</v>
      </c>
      <c r="B5272" s="5">
        <v>1600105</v>
      </c>
      <c r="C5272" s="5" t="s">
        <v>260</v>
      </c>
      <c r="D5272" s="3">
        <v>83950</v>
      </c>
    </row>
    <row r="5273" spans="1:4">
      <c r="A5273" s="4" t="s">
        <v>390</v>
      </c>
      <c r="B5273" s="5">
        <v>1600106</v>
      </c>
      <c r="C5273" s="5" t="s">
        <v>261</v>
      </c>
      <c r="D5273" s="3">
        <v>108071</v>
      </c>
    </row>
    <row r="5274" spans="1:4">
      <c r="A5274" s="4" t="s">
        <v>390</v>
      </c>
      <c r="B5274" s="5">
        <v>1600107</v>
      </c>
      <c r="C5274" s="5" t="s">
        <v>262</v>
      </c>
      <c r="D5274" s="3">
        <v>86601</v>
      </c>
    </row>
    <row r="5275" spans="1:4">
      <c r="A5275" s="4" t="s">
        <v>390</v>
      </c>
      <c r="B5275" s="5">
        <v>1600108</v>
      </c>
      <c r="C5275" s="5" t="s">
        <v>263</v>
      </c>
      <c r="D5275" s="3">
        <v>73810</v>
      </c>
    </row>
    <row r="5276" spans="1:4">
      <c r="A5276" s="4" t="s">
        <v>390</v>
      </c>
      <c r="B5276" s="5">
        <v>1600109</v>
      </c>
      <c r="C5276" s="5" t="s">
        <v>264</v>
      </c>
      <c r="D5276" s="3">
        <v>5882</v>
      </c>
    </row>
    <row r="5277" spans="1:4">
      <c r="A5277" s="4" t="s">
        <v>390</v>
      </c>
      <c r="B5277" s="5">
        <v>1600110</v>
      </c>
      <c r="C5277" s="5" t="s">
        <v>265</v>
      </c>
      <c r="D5277" s="3">
        <v>7917</v>
      </c>
    </row>
    <row r="5278" spans="1:4">
      <c r="A5278" s="4" t="s">
        <v>390</v>
      </c>
      <c r="B5278" s="5">
        <v>1600111</v>
      </c>
      <c r="C5278" s="5" t="s">
        <v>266</v>
      </c>
      <c r="D5278" s="3">
        <v>2266</v>
      </c>
    </row>
    <row r="5279" spans="1:4">
      <c r="A5279" s="4" t="s">
        <v>390</v>
      </c>
      <c r="B5279" s="5">
        <v>1600112</v>
      </c>
      <c r="C5279" s="5" t="s">
        <v>190</v>
      </c>
      <c r="D5279" s="3">
        <v>4800</v>
      </c>
    </row>
    <row r="5280" spans="1:4">
      <c r="A5280" s="4" t="s">
        <v>390</v>
      </c>
      <c r="B5280" s="5">
        <v>1600113</v>
      </c>
      <c r="C5280" s="5" t="s">
        <v>267</v>
      </c>
      <c r="D5280" s="3">
        <v>0</v>
      </c>
    </row>
    <row r="5281" spans="1:4">
      <c r="A5281" s="4" t="s">
        <v>390</v>
      </c>
      <c r="B5281" s="5">
        <v>1600114</v>
      </c>
      <c r="C5281" s="5" t="s">
        <v>268</v>
      </c>
      <c r="D5281" s="3">
        <v>13333</v>
      </c>
    </row>
    <row r="5282" spans="1:4">
      <c r="A5282" s="4" t="s">
        <v>390</v>
      </c>
      <c r="B5282" s="5">
        <v>1700001</v>
      </c>
      <c r="C5282" s="5" t="s">
        <v>269</v>
      </c>
      <c r="D5282" s="3">
        <v>4570</v>
      </c>
    </row>
    <row r="5283" spans="1:4">
      <c r="A5283" s="4" t="s">
        <v>390</v>
      </c>
      <c r="B5283" s="5">
        <v>1700002</v>
      </c>
      <c r="C5283" s="5" t="s">
        <v>270</v>
      </c>
      <c r="D5283" s="3">
        <v>3726</v>
      </c>
    </row>
    <row r="5284" spans="1:4">
      <c r="A5284" s="4" t="s">
        <v>390</v>
      </c>
      <c r="B5284" s="5">
        <v>1700003</v>
      </c>
      <c r="C5284" s="5" t="s">
        <v>271</v>
      </c>
      <c r="D5284" s="3">
        <v>5392</v>
      </c>
    </row>
    <row r="5285" spans="1:4">
      <c r="A5285" s="4" t="s">
        <v>390</v>
      </c>
      <c r="B5285" s="5">
        <v>1700004</v>
      </c>
      <c r="C5285" s="5" t="s">
        <v>272</v>
      </c>
      <c r="D5285" s="3">
        <v>15784</v>
      </c>
    </row>
    <row r="5286" spans="1:4">
      <c r="A5286" s="4" t="s">
        <v>390</v>
      </c>
      <c r="B5286" s="5">
        <v>1700005</v>
      </c>
      <c r="C5286" s="5" t="s">
        <v>192</v>
      </c>
      <c r="D5286" s="3">
        <v>1765</v>
      </c>
    </row>
    <row r="5287" spans="1:4">
      <c r="A5287" s="4" t="s">
        <v>390</v>
      </c>
      <c r="B5287" s="5">
        <v>1700006</v>
      </c>
      <c r="C5287" s="5" t="s">
        <v>273</v>
      </c>
      <c r="D5287" s="3">
        <v>7176</v>
      </c>
    </row>
    <row r="5288" spans="1:4">
      <c r="A5288" s="4" t="s">
        <v>390</v>
      </c>
      <c r="B5288" s="5">
        <v>1700007</v>
      </c>
      <c r="C5288" s="5" t="s">
        <v>274</v>
      </c>
      <c r="D5288" s="3">
        <v>0</v>
      </c>
    </row>
    <row r="5289" spans="1:4">
      <c r="A5289" s="4" t="s">
        <v>390</v>
      </c>
      <c r="B5289" s="5">
        <v>1700008</v>
      </c>
      <c r="C5289" s="5" t="s">
        <v>275</v>
      </c>
      <c r="D5289" s="3">
        <v>0</v>
      </c>
    </row>
    <row r="5290" spans="1:4">
      <c r="A5290" s="4" t="s">
        <v>390</v>
      </c>
      <c r="B5290" s="5">
        <v>1700009</v>
      </c>
      <c r="C5290" s="5" t="s">
        <v>276</v>
      </c>
      <c r="D5290" s="3">
        <v>0</v>
      </c>
    </row>
    <row r="5291" spans="1:4">
      <c r="A5291" s="4" t="s">
        <v>390</v>
      </c>
      <c r="B5291" s="5">
        <v>1700010</v>
      </c>
      <c r="C5291" s="5" t="s">
        <v>277</v>
      </c>
      <c r="D5291" s="3">
        <v>3990</v>
      </c>
    </row>
    <row r="5292" spans="1:4">
      <c r="A5292" s="4" t="s">
        <v>390</v>
      </c>
      <c r="B5292" s="5">
        <v>1700011</v>
      </c>
      <c r="C5292" s="5" t="s">
        <v>278</v>
      </c>
      <c r="D5292" s="3">
        <v>13235</v>
      </c>
    </row>
    <row r="5293" spans="1:4">
      <c r="A5293" s="4" t="s">
        <v>390</v>
      </c>
      <c r="B5293" s="5">
        <v>1700012</v>
      </c>
      <c r="C5293" s="5" t="s">
        <v>279</v>
      </c>
      <c r="D5293" s="3">
        <v>15980</v>
      </c>
    </row>
    <row r="5294" spans="1:4">
      <c r="A5294" s="4" t="s">
        <v>390</v>
      </c>
      <c r="B5294" s="5">
        <v>1700013</v>
      </c>
      <c r="C5294" s="5" t="s">
        <v>280</v>
      </c>
      <c r="D5294" s="3">
        <v>18137</v>
      </c>
    </row>
    <row r="5295" spans="1:4">
      <c r="A5295" s="4" t="s">
        <v>390</v>
      </c>
      <c r="B5295" s="5">
        <v>1700014</v>
      </c>
      <c r="C5295" s="5" t="s">
        <v>194</v>
      </c>
      <c r="D5295" s="3">
        <v>2300</v>
      </c>
    </row>
    <row r="5296" spans="1:4">
      <c r="A5296" s="4" t="s">
        <v>390</v>
      </c>
      <c r="B5296" s="5">
        <v>1700015</v>
      </c>
      <c r="C5296" s="5" t="s">
        <v>281</v>
      </c>
      <c r="D5296" s="3">
        <v>5160</v>
      </c>
    </row>
    <row r="5297" spans="1:4">
      <c r="A5297" s="4" t="s">
        <v>390</v>
      </c>
      <c r="B5297" s="5">
        <v>1700016</v>
      </c>
      <c r="C5297" s="5" t="s">
        <v>282</v>
      </c>
      <c r="D5297" s="3">
        <v>3864</v>
      </c>
    </row>
    <row r="5298" spans="1:4">
      <c r="A5298" s="4" t="s">
        <v>390</v>
      </c>
      <c r="B5298" s="5">
        <v>1700017</v>
      </c>
      <c r="C5298" s="5" t="s">
        <v>283</v>
      </c>
      <c r="D5298" s="3">
        <v>10784</v>
      </c>
    </row>
    <row r="5299" spans="1:4">
      <c r="A5299" s="4" t="s">
        <v>390</v>
      </c>
      <c r="B5299" s="5">
        <v>1700018</v>
      </c>
      <c r="C5299" s="5" t="s">
        <v>284</v>
      </c>
      <c r="D5299" s="3">
        <v>4031</v>
      </c>
    </row>
    <row r="5300" spans="1:4">
      <c r="A5300" s="4" t="s">
        <v>390</v>
      </c>
      <c r="B5300" s="5">
        <v>1700019</v>
      </c>
      <c r="C5300" s="5" t="s">
        <v>285</v>
      </c>
      <c r="D5300" s="3">
        <v>0</v>
      </c>
    </row>
    <row r="5301" spans="1:4">
      <c r="A5301" s="4" t="s">
        <v>390</v>
      </c>
      <c r="B5301" s="5">
        <v>1700020</v>
      </c>
      <c r="C5301" s="5" t="s">
        <v>286</v>
      </c>
      <c r="D5301" s="3">
        <v>49412</v>
      </c>
    </row>
    <row r="5302" spans="1:4">
      <c r="A5302" s="4" t="s">
        <v>390</v>
      </c>
      <c r="B5302" s="5">
        <v>1700021</v>
      </c>
      <c r="C5302" s="5" t="s">
        <v>287</v>
      </c>
      <c r="D5302" s="3">
        <v>86137</v>
      </c>
    </row>
    <row r="5303" spans="1:4">
      <c r="A5303" s="4" t="s">
        <v>390</v>
      </c>
      <c r="B5303" s="5">
        <v>1700022</v>
      </c>
      <c r="C5303" s="5" t="s">
        <v>288</v>
      </c>
      <c r="D5303" s="3">
        <v>33706</v>
      </c>
    </row>
    <row r="5304" spans="1:4">
      <c r="A5304" s="4" t="s">
        <v>390</v>
      </c>
      <c r="B5304" s="5">
        <v>1700023</v>
      </c>
      <c r="C5304" s="5" t="s">
        <v>289</v>
      </c>
      <c r="D5304" s="3">
        <v>8581</v>
      </c>
    </row>
    <row r="5305" spans="1:4">
      <c r="A5305" s="4" t="s">
        <v>390</v>
      </c>
      <c r="B5305" s="5">
        <v>1700024</v>
      </c>
      <c r="C5305" s="5" t="s">
        <v>290</v>
      </c>
      <c r="D5305" s="3">
        <v>0</v>
      </c>
    </row>
    <row r="5306" spans="1:4">
      <c r="A5306" s="4" t="s">
        <v>390</v>
      </c>
      <c r="B5306" s="5">
        <v>1700025</v>
      </c>
      <c r="C5306" s="5" t="s">
        <v>291</v>
      </c>
      <c r="D5306" s="3">
        <v>1961</v>
      </c>
    </row>
    <row r="5307" spans="1:4">
      <c r="A5307" s="4" t="s">
        <v>390</v>
      </c>
      <c r="B5307" s="5">
        <v>1700026</v>
      </c>
      <c r="C5307" s="5" t="s">
        <v>292</v>
      </c>
      <c r="D5307" s="3">
        <v>4314</v>
      </c>
    </row>
    <row r="5308" spans="1:4">
      <c r="A5308" s="4" t="s">
        <v>390</v>
      </c>
      <c r="B5308" s="5">
        <v>1700027</v>
      </c>
      <c r="C5308" s="5" t="s">
        <v>293</v>
      </c>
      <c r="D5308" s="3">
        <v>4902</v>
      </c>
    </row>
    <row r="5309" spans="1:4">
      <c r="A5309" s="4" t="s">
        <v>390</v>
      </c>
      <c r="B5309" s="5">
        <v>1700028</v>
      </c>
      <c r="C5309" s="5" t="s">
        <v>294</v>
      </c>
      <c r="D5309" s="3">
        <v>9500</v>
      </c>
    </row>
    <row r="5310" spans="1:4">
      <c r="A5310" s="4" t="s">
        <v>390</v>
      </c>
      <c r="B5310" s="5">
        <v>1700029</v>
      </c>
      <c r="C5310" s="5" t="s">
        <v>295</v>
      </c>
      <c r="D5310" s="3">
        <v>10670</v>
      </c>
    </row>
    <row r="5311" spans="1:4">
      <c r="A5311" s="4" t="s">
        <v>390</v>
      </c>
      <c r="B5311" s="5">
        <v>1700030</v>
      </c>
      <c r="C5311" s="5" t="s">
        <v>296</v>
      </c>
      <c r="D5311" s="3">
        <v>12720</v>
      </c>
    </row>
    <row r="5312" spans="1:4">
      <c r="A5312" s="4" t="s">
        <v>390</v>
      </c>
      <c r="B5312" s="5">
        <v>1700031</v>
      </c>
      <c r="C5312" s="5" t="s">
        <v>196</v>
      </c>
      <c r="D5312" s="3">
        <v>2069</v>
      </c>
    </row>
    <row r="5313" spans="1:4">
      <c r="A5313" s="4" t="s">
        <v>390</v>
      </c>
      <c r="B5313" s="5">
        <v>1700032</v>
      </c>
      <c r="C5313" s="5" t="s">
        <v>297</v>
      </c>
      <c r="D5313" s="3">
        <v>0</v>
      </c>
    </row>
    <row r="5314" spans="1:4">
      <c r="A5314" s="4" t="s">
        <v>390</v>
      </c>
      <c r="B5314" s="5">
        <v>1700033</v>
      </c>
      <c r="C5314" s="5" t="s">
        <v>298</v>
      </c>
      <c r="D5314" s="3">
        <v>0</v>
      </c>
    </row>
    <row r="5315" spans="1:4">
      <c r="A5315" s="4" t="s">
        <v>390</v>
      </c>
      <c r="B5315" s="5">
        <v>1700034</v>
      </c>
      <c r="C5315" s="5" t="s">
        <v>299</v>
      </c>
      <c r="D5315" s="3">
        <v>17475</v>
      </c>
    </row>
    <row r="5316" spans="1:4">
      <c r="A5316" s="4" t="s">
        <v>390</v>
      </c>
      <c r="B5316" s="5">
        <v>1700035</v>
      </c>
      <c r="C5316" s="5" t="s">
        <v>300</v>
      </c>
      <c r="D5316" s="3">
        <v>64367</v>
      </c>
    </row>
    <row r="5317" spans="1:4">
      <c r="A5317" s="4" t="s">
        <v>390</v>
      </c>
      <c r="B5317" s="5">
        <v>1700036</v>
      </c>
      <c r="C5317" s="5" t="s">
        <v>301</v>
      </c>
      <c r="D5317" s="3">
        <v>5200</v>
      </c>
    </row>
    <row r="5318" spans="1:4">
      <c r="A5318" s="4" t="s">
        <v>390</v>
      </c>
      <c r="B5318" s="5">
        <v>1700037</v>
      </c>
      <c r="C5318" s="5" t="s">
        <v>302</v>
      </c>
      <c r="D5318" s="3">
        <v>7533</v>
      </c>
    </row>
    <row r="5319" spans="1:4">
      <c r="A5319" s="4" t="s">
        <v>390</v>
      </c>
      <c r="B5319" s="5">
        <v>1700038</v>
      </c>
      <c r="C5319" s="5" t="s">
        <v>303</v>
      </c>
      <c r="D5319" s="3">
        <v>2108</v>
      </c>
    </row>
    <row r="5320" spans="1:4">
      <c r="A5320" s="4" t="s">
        <v>390</v>
      </c>
      <c r="B5320" s="5">
        <v>1700039</v>
      </c>
      <c r="C5320" s="5" t="s">
        <v>304</v>
      </c>
      <c r="D5320" s="3">
        <v>3480</v>
      </c>
    </row>
    <row r="5321" spans="1:4">
      <c r="A5321" s="4" t="s">
        <v>390</v>
      </c>
      <c r="B5321" s="5">
        <v>1700040</v>
      </c>
      <c r="C5321" s="5" t="s">
        <v>305</v>
      </c>
      <c r="D5321" s="3">
        <v>1967</v>
      </c>
    </row>
    <row r="5322" spans="1:4">
      <c r="A5322" s="4" t="s">
        <v>390</v>
      </c>
      <c r="B5322" s="5">
        <v>1700041</v>
      </c>
      <c r="C5322" s="5" t="s">
        <v>306</v>
      </c>
      <c r="D5322" s="3">
        <v>3000</v>
      </c>
    </row>
    <row r="5323" spans="1:4">
      <c r="A5323" s="4" t="s">
        <v>390</v>
      </c>
      <c r="B5323" s="5">
        <v>1700042</v>
      </c>
      <c r="C5323" s="5" t="s">
        <v>307</v>
      </c>
      <c r="D5323" s="3">
        <v>3163</v>
      </c>
    </row>
    <row r="5324" spans="1:4">
      <c r="A5324" s="4" t="s">
        <v>390</v>
      </c>
      <c r="B5324" s="5">
        <v>1700043</v>
      </c>
      <c r="C5324" s="5" t="s">
        <v>308</v>
      </c>
      <c r="D5324" s="3">
        <v>5877</v>
      </c>
    </row>
    <row r="5325" spans="1:4">
      <c r="A5325" s="4" t="s">
        <v>390</v>
      </c>
      <c r="B5325" s="5">
        <v>1700044</v>
      </c>
      <c r="C5325" s="5" t="s">
        <v>309</v>
      </c>
      <c r="D5325" s="3">
        <v>7000</v>
      </c>
    </row>
    <row r="5326" spans="1:4">
      <c r="A5326" s="4" t="s">
        <v>390</v>
      </c>
      <c r="B5326" s="5">
        <v>1700045</v>
      </c>
      <c r="C5326" s="5" t="s">
        <v>310</v>
      </c>
      <c r="D5326" s="3">
        <v>3696</v>
      </c>
    </row>
    <row r="5327" spans="1:4">
      <c r="A5327" s="4" t="s">
        <v>390</v>
      </c>
      <c r="B5327" s="5">
        <v>1700046</v>
      </c>
      <c r="C5327" s="5" t="s">
        <v>311</v>
      </c>
      <c r="D5327" s="3">
        <v>6863</v>
      </c>
    </row>
    <row r="5328" spans="1:4">
      <c r="A5328" s="4" t="s">
        <v>390</v>
      </c>
      <c r="B5328" s="5">
        <v>1700047</v>
      </c>
      <c r="C5328" s="5" t="s">
        <v>312</v>
      </c>
      <c r="D5328" s="3">
        <v>22350</v>
      </c>
    </row>
    <row r="5329" spans="1:4">
      <c r="A5329" s="4" t="s">
        <v>390</v>
      </c>
      <c r="B5329" s="5">
        <v>1700048</v>
      </c>
      <c r="C5329" s="5" t="s">
        <v>313</v>
      </c>
      <c r="D5329" s="3">
        <v>13330</v>
      </c>
    </row>
    <row r="5330" spans="1:4">
      <c r="A5330" s="4" t="s">
        <v>390</v>
      </c>
      <c r="B5330" s="5">
        <v>1700049</v>
      </c>
      <c r="C5330" s="5" t="s">
        <v>314</v>
      </c>
      <c r="D5330" s="3">
        <v>5785</v>
      </c>
    </row>
    <row r="5331" spans="1:4">
      <c r="A5331" s="4" t="s">
        <v>390</v>
      </c>
      <c r="B5331" s="5">
        <v>1700050</v>
      </c>
      <c r="C5331" s="5" t="s">
        <v>315</v>
      </c>
      <c r="D5331" s="3">
        <v>39000</v>
      </c>
    </row>
    <row r="5332" spans="1:4">
      <c r="A5332" s="4" t="s">
        <v>390</v>
      </c>
      <c r="B5332" s="5">
        <v>1700051</v>
      </c>
      <c r="C5332" s="5" t="s">
        <v>316</v>
      </c>
      <c r="D5332" s="3">
        <v>11500</v>
      </c>
    </row>
    <row r="5333" spans="1:4">
      <c r="A5333" s="4" t="s">
        <v>390</v>
      </c>
      <c r="B5333" s="5">
        <v>1700052</v>
      </c>
      <c r="C5333" s="5" t="s">
        <v>317</v>
      </c>
      <c r="D5333" s="3">
        <v>3444</v>
      </c>
    </row>
    <row r="5334" spans="1:4">
      <c r="A5334" s="4" t="s">
        <v>390</v>
      </c>
      <c r="B5334" s="5">
        <v>1700053</v>
      </c>
      <c r="C5334" s="5" t="s">
        <v>318</v>
      </c>
      <c r="D5334" s="3">
        <v>15530</v>
      </c>
    </row>
    <row r="5335" spans="1:4">
      <c r="A5335" s="4" t="s">
        <v>390</v>
      </c>
      <c r="B5335" s="5">
        <v>1700054</v>
      </c>
      <c r="C5335" s="5" t="s">
        <v>319</v>
      </c>
      <c r="D5335" s="3">
        <v>11670</v>
      </c>
    </row>
    <row r="5336" spans="1:4">
      <c r="A5336" s="4" t="s">
        <v>390</v>
      </c>
      <c r="B5336" s="5">
        <v>1700055</v>
      </c>
      <c r="C5336" s="5" t="s">
        <v>320</v>
      </c>
      <c r="D5336" s="3">
        <v>11940</v>
      </c>
    </row>
    <row r="5337" spans="1:4">
      <c r="A5337" s="4" t="s">
        <v>390</v>
      </c>
      <c r="B5337" s="5">
        <v>1700056</v>
      </c>
      <c r="C5337" s="5" t="s">
        <v>321</v>
      </c>
      <c r="D5337" s="3">
        <v>6226</v>
      </c>
    </row>
    <row r="5338" spans="1:4">
      <c r="A5338" s="4" t="s">
        <v>390</v>
      </c>
      <c r="B5338" s="5">
        <v>1700057</v>
      </c>
      <c r="C5338" s="5" t="s">
        <v>322</v>
      </c>
      <c r="D5338" s="3">
        <v>2098</v>
      </c>
    </row>
    <row r="5339" spans="1:4">
      <c r="A5339" s="4" t="s">
        <v>390</v>
      </c>
      <c r="B5339" s="5">
        <v>1700058</v>
      </c>
      <c r="C5339" s="5" t="s">
        <v>323</v>
      </c>
      <c r="D5339" s="3">
        <v>5800</v>
      </c>
    </row>
    <row r="5340" spans="1:4">
      <c r="A5340" s="4" t="s">
        <v>390</v>
      </c>
      <c r="B5340" s="5">
        <v>1700059</v>
      </c>
      <c r="C5340" s="5" t="s">
        <v>324</v>
      </c>
      <c r="D5340" s="3">
        <v>27667</v>
      </c>
    </row>
    <row r="5341" spans="1:4">
      <c r="A5341" s="4" t="s">
        <v>390</v>
      </c>
      <c r="B5341" s="5">
        <v>1700060</v>
      </c>
      <c r="C5341" s="5" t="s">
        <v>325</v>
      </c>
      <c r="D5341" s="3">
        <v>5471</v>
      </c>
    </row>
    <row r="5342" spans="1:4">
      <c r="A5342" s="4" t="s">
        <v>390</v>
      </c>
      <c r="B5342" s="5">
        <v>1700061</v>
      </c>
      <c r="C5342" s="5" t="s">
        <v>326</v>
      </c>
      <c r="D5342" s="3">
        <v>8920</v>
      </c>
    </row>
    <row r="5343" spans="1:4">
      <c r="A5343" s="4" t="s">
        <v>390</v>
      </c>
      <c r="B5343" s="5">
        <v>1700062</v>
      </c>
      <c r="C5343" s="5" t="s">
        <v>327</v>
      </c>
      <c r="D5343" s="3">
        <v>10520</v>
      </c>
    </row>
    <row r="5344" spans="1:4">
      <c r="A5344" s="4" t="s">
        <v>390</v>
      </c>
      <c r="B5344" s="5">
        <v>1700063</v>
      </c>
      <c r="C5344" s="5" t="s">
        <v>328</v>
      </c>
      <c r="D5344" s="3">
        <v>10550</v>
      </c>
    </row>
    <row r="5345" spans="1:4">
      <c r="A5345" s="4" t="s">
        <v>390</v>
      </c>
      <c r="B5345" s="5">
        <v>1700064</v>
      </c>
      <c r="C5345" s="5" t="s">
        <v>329</v>
      </c>
      <c r="D5345" s="3">
        <v>11060</v>
      </c>
    </row>
    <row r="5346" spans="1:4">
      <c r="A5346" s="4" t="s">
        <v>390</v>
      </c>
      <c r="B5346" s="5">
        <v>1700065</v>
      </c>
      <c r="C5346" s="5" t="s">
        <v>330</v>
      </c>
      <c r="D5346" s="3">
        <v>12760</v>
      </c>
    </row>
    <row r="5347" spans="1:4">
      <c r="A5347" s="4" t="s">
        <v>390</v>
      </c>
      <c r="B5347" s="5">
        <v>1700066</v>
      </c>
      <c r="C5347" s="5" t="s">
        <v>331</v>
      </c>
      <c r="D5347" s="3">
        <v>13200</v>
      </c>
    </row>
    <row r="5348" spans="1:4">
      <c r="A5348" s="4" t="s">
        <v>390</v>
      </c>
      <c r="B5348" s="5">
        <v>1700067</v>
      </c>
      <c r="C5348" s="5" t="s">
        <v>332</v>
      </c>
      <c r="D5348" s="3">
        <v>10720</v>
      </c>
    </row>
    <row r="5349" spans="1:4">
      <c r="A5349" s="4" t="s">
        <v>390</v>
      </c>
      <c r="B5349" s="5">
        <v>1700068</v>
      </c>
      <c r="C5349" s="5" t="s">
        <v>333</v>
      </c>
      <c r="D5349" s="3">
        <v>12720</v>
      </c>
    </row>
    <row r="5350" spans="1:4">
      <c r="A5350" s="4" t="s">
        <v>390</v>
      </c>
      <c r="B5350" s="5">
        <v>1700069</v>
      </c>
      <c r="C5350" s="5" t="s">
        <v>334</v>
      </c>
      <c r="D5350" s="3">
        <v>14000</v>
      </c>
    </row>
    <row r="5351" spans="1:4">
      <c r="A5351" s="4" t="s">
        <v>390</v>
      </c>
      <c r="B5351" s="5">
        <v>1700070</v>
      </c>
      <c r="C5351" s="5" t="s">
        <v>335</v>
      </c>
      <c r="D5351" s="3">
        <v>1618</v>
      </c>
    </row>
    <row r="5352" spans="1:4">
      <c r="A5352" s="4" t="s">
        <v>390</v>
      </c>
      <c r="B5352" s="5">
        <v>1700071</v>
      </c>
      <c r="C5352" s="5" t="s">
        <v>336</v>
      </c>
      <c r="D5352" s="3">
        <v>12190</v>
      </c>
    </row>
    <row r="5353" spans="1:4">
      <c r="A5353" s="4" t="s">
        <v>390</v>
      </c>
      <c r="B5353" s="5">
        <v>1700072</v>
      </c>
      <c r="C5353" s="5" t="s">
        <v>337</v>
      </c>
      <c r="D5353" s="3">
        <v>10180</v>
      </c>
    </row>
    <row r="5354" spans="1:4">
      <c r="A5354" s="4" t="s">
        <v>390</v>
      </c>
      <c r="B5354" s="5">
        <v>1700073</v>
      </c>
      <c r="C5354" s="5" t="s">
        <v>338</v>
      </c>
      <c r="D5354" s="3">
        <v>9020</v>
      </c>
    </row>
    <row r="5355" spans="1:4">
      <c r="A5355" s="4" t="s">
        <v>390</v>
      </c>
      <c r="B5355" s="5">
        <v>1700076</v>
      </c>
      <c r="C5355" s="5" t="s">
        <v>339</v>
      </c>
      <c r="D5355" s="3">
        <v>4108</v>
      </c>
    </row>
    <row r="5356" spans="1:4">
      <c r="A5356" s="4" t="s">
        <v>390</v>
      </c>
      <c r="B5356" s="5">
        <v>1700077</v>
      </c>
      <c r="C5356" s="5" t="s">
        <v>340</v>
      </c>
      <c r="D5356" s="3">
        <v>3843</v>
      </c>
    </row>
    <row r="5357" spans="1:4">
      <c r="A5357" s="4" t="s">
        <v>390</v>
      </c>
      <c r="B5357" s="5">
        <v>1700078</v>
      </c>
      <c r="C5357" s="5" t="s">
        <v>341</v>
      </c>
      <c r="D5357" s="3">
        <v>4716</v>
      </c>
    </row>
    <row r="5358" spans="1:4">
      <c r="A5358" s="4" t="s">
        <v>390</v>
      </c>
      <c r="B5358" s="5">
        <v>1700080</v>
      </c>
      <c r="C5358" s="5" t="s">
        <v>342</v>
      </c>
      <c r="D5358" s="3">
        <v>3922</v>
      </c>
    </row>
    <row r="5359" spans="1:4">
      <c r="A5359" s="4" t="s">
        <v>390</v>
      </c>
      <c r="B5359" s="5">
        <v>1700083</v>
      </c>
      <c r="C5359" s="5" t="s">
        <v>343</v>
      </c>
      <c r="D5359" s="3">
        <v>8333</v>
      </c>
    </row>
    <row r="5360" spans="1:4">
      <c r="A5360" s="4" t="s">
        <v>390</v>
      </c>
      <c r="B5360" s="5">
        <v>1700084</v>
      </c>
      <c r="C5360" s="5" t="s">
        <v>344</v>
      </c>
      <c r="D5360" s="3">
        <v>12010</v>
      </c>
    </row>
    <row r="5361" spans="1:4">
      <c r="A5361" s="4" t="s">
        <v>390</v>
      </c>
      <c r="B5361" s="5">
        <v>1700085</v>
      </c>
      <c r="C5361" s="5" t="s">
        <v>345</v>
      </c>
      <c r="D5361" s="3">
        <v>7860</v>
      </c>
    </row>
    <row r="5362" spans="1:4">
      <c r="A5362" s="4" t="s">
        <v>390</v>
      </c>
      <c r="B5362" s="5">
        <v>1700086</v>
      </c>
      <c r="C5362" s="5" t="s">
        <v>346</v>
      </c>
      <c r="D5362" s="3">
        <v>1814</v>
      </c>
    </row>
    <row r="5363" spans="1:4">
      <c r="A5363" s="4" t="s">
        <v>390</v>
      </c>
      <c r="B5363" s="5">
        <v>1700087</v>
      </c>
      <c r="C5363" s="5" t="s">
        <v>347</v>
      </c>
      <c r="D5363" s="3">
        <v>4890</v>
      </c>
    </row>
    <row r="5364" spans="1:4">
      <c r="A5364" s="4" t="s">
        <v>390</v>
      </c>
      <c r="B5364" s="5">
        <v>1700088</v>
      </c>
      <c r="C5364" s="5" t="s">
        <v>348</v>
      </c>
      <c r="D5364" s="3">
        <v>15500</v>
      </c>
    </row>
    <row r="5365" spans="1:4">
      <c r="A5365" s="4" t="s">
        <v>390</v>
      </c>
      <c r="B5365" s="5">
        <v>1700089</v>
      </c>
      <c r="C5365" s="5" t="s">
        <v>349</v>
      </c>
      <c r="D5365" s="3">
        <v>18500</v>
      </c>
    </row>
    <row r="5366" spans="1:4">
      <c r="A5366" s="4" t="s">
        <v>390</v>
      </c>
      <c r="B5366" s="5">
        <v>1700090</v>
      </c>
      <c r="C5366" s="5" t="s">
        <v>350</v>
      </c>
      <c r="D5366" s="3">
        <v>25490</v>
      </c>
    </row>
    <row r="5367" spans="1:4">
      <c r="A5367" s="4" t="s">
        <v>390</v>
      </c>
      <c r="B5367" s="5">
        <v>1700091</v>
      </c>
      <c r="C5367" s="5" t="s">
        <v>351</v>
      </c>
      <c r="D5367" s="3">
        <v>18353</v>
      </c>
    </row>
    <row r="5368" spans="1:4">
      <c r="A5368" s="4" t="s">
        <v>390</v>
      </c>
      <c r="B5368" s="5">
        <v>1700092</v>
      </c>
      <c r="C5368" s="5" t="s">
        <v>352</v>
      </c>
      <c r="D5368" s="3">
        <v>1784</v>
      </c>
    </row>
    <row r="5369" spans="1:4">
      <c r="A5369" s="4" t="s">
        <v>390</v>
      </c>
      <c r="B5369" s="5">
        <v>1700093</v>
      </c>
      <c r="C5369" s="5" t="s">
        <v>353</v>
      </c>
      <c r="D5369" s="3">
        <v>11180</v>
      </c>
    </row>
    <row r="5370" spans="1:4">
      <c r="A5370" s="4" t="s">
        <v>390</v>
      </c>
      <c r="B5370" s="5">
        <v>1700094</v>
      </c>
      <c r="C5370" s="5" t="s">
        <v>354</v>
      </c>
      <c r="D5370" s="3">
        <v>13529</v>
      </c>
    </row>
    <row r="5371" spans="1:4">
      <c r="A5371" s="4" t="s">
        <v>390</v>
      </c>
      <c r="B5371" s="5">
        <v>1700095</v>
      </c>
      <c r="C5371" s="5" t="s">
        <v>355</v>
      </c>
      <c r="D5371" s="3">
        <v>4500</v>
      </c>
    </row>
    <row r="5372" spans="1:4">
      <c r="A5372" s="4" t="s">
        <v>390</v>
      </c>
      <c r="B5372" s="5">
        <v>1700096</v>
      </c>
      <c r="C5372" s="5" t="s">
        <v>356</v>
      </c>
      <c r="D5372" s="3">
        <v>24510</v>
      </c>
    </row>
    <row r="5373" spans="1:4">
      <c r="A5373" s="4" t="s">
        <v>390</v>
      </c>
      <c r="B5373" s="5">
        <v>1700097</v>
      </c>
      <c r="C5373" s="5" t="s">
        <v>357</v>
      </c>
      <c r="D5373" s="3">
        <v>19608</v>
      </c>
    </row>
    <row r="5374" spans="1:4">
      <c r="A5374" s="4" t="s">
        <v>390</v>
      </c>
      <c r="B5374" s="5">
        <v>1700098</v>
      </c>
      <c r="C5374" s="5" t="s">
        <v>358</v>
      </c>
      <c r="D5374" s="3">
        <v>19608</v>
      </c>
    </row>
    <row r="5375" spans="1:4">
      <c r="A5375" s="4" t="s">
        <v>390</v>
      </c>
      <c r="B5375" s="5">
        <v>1700099</v>
      </c>
      <c r="C5375" s="5" t="s">
        <v>359</v>
      </c>
      <c r="D5375" s="3">
        <v>9740</v>
      </c>
    </row>
    <row r="5376" spans="1:4">
      <c r="A5376" s="4" t="s">
        <v>390</v>
      </c>
      <c r="B5376" s="5">
        <v>1700100</v>
      </c>
      <c r="C5376" s="5" t="s">
        <v>360</v>
      </c>
      <c r="D5376" s="3">
        <v>3333</v>
      </c>
    </row>
    <row r="5377" spans="1:4">
      <c r="A5377" s="4" t="s">
        <v>390</v>
      </c>
      <c r="B5377" s="5">
        <v>1700101</v>
      </c>
      <c r="C5377" s="5" t="s">
        <v>361</v>
      </c>
      <c r="D5377" s="3">
        <v>7647</v>
      </c>
    </row>
    <row r="5378" spans="1:4">
      <c r="A5378" s="4" t="s">
        <v>390</v>
      </c>
      <c r="B5378" s="5">
        <v>1700102</v>
      </c>
      <c r="C5378" s="5" t="s">
        <v>362</v>
      </c>
      <c r="D5378" s="3">
        <v>40196</v>
      </c>
    </row>
    <row r="5379" spans="1:4">
      <c r="A5379" s="4" t="s">
        <v>390</v>
      </c>
      <c r="B5379" s="5">
        <v>1700103</v>
      </c>
      <c r="C5379" s="5" t="s">
        <v>363</v>
      </c>
      <c r="D5379" s="3">
        <v>9000</v>
      </c>
    </row>
    <row r="5380" spans="1:4">
      <c r="A5380" s="4" t="s">
        <v>390</v>
      </c>
      <c r="B5380" s="5">
        <v>1700104</v>
      </c>
      <c r="C5380" s="5" t="s">
        <v>364</v>
      </c>
      <c r="D5380" s="3">
        <v>25000</v>
      </c>
    </row>
    <row r="5381" spans="1:4">
      <c r="A5381" s="4" t="s">
        <v>390</v>
      </c>
      <c r="B5381" s="5">
        <v>1700105</v>
      </c>
      <c r="C5381" s="5" t="s">
        <v>365</v>
      </c>
      <c r="D5381" s="3">
        <v>11275</v>
      </c>
    </row>
    <row r="5382" spans="1:4">
      <c r="A5382" s="4" t="s">
        <v>390</v>
      </c>
      <c r="B5382" s="5">
        <v>1700106</v>
      </c>
      <c r="C5382" s="5" t="s">
        <v>366</v>
      </c>
      <c r="D5382" s="3">
        <v>12255</v>
      </c>
    </row>
    <row r="5383" spans="1:4">
      <c r="A5383" s="4" t="s">
        <v>390</v>
      </c>
      <c r="B5383" s="5">
        <v>1700107</v>
      </c>
      <c r="C5383" s="5" t="s">
        <v>367</v>
      </c>
      <c r="D5383" s="3">
        <v>9020</v>
      </c>
    </row>
    <row r="5384" spans="1:4">
      <c r="A5384" s="4" t="s">
        <v>390</v>
      </c>
      <c r="B5384" s="5">
        <v>1800002</v>
      </c>
      <c r="C5384" s="5" t="s">
        <v>368</v>
      </c>
      <c r="D5384" s="3">
        <v>9520</v>
      </c>
    </row>
    <row r="5385" spans="1:4">
      <c r="A5385" s="4" t="s">
        <v>390</v>
      </c>
      <c r="B5385" s="5">
        <v>1800004</v>
      </c>
      <c r="C5385" s="5" t="s">
        <v>369</v>
      </c>
      <c r="D5385" s="3">
        <v>0</v>
      </c>
    </row>
    <row r="5386" spans="1:4">
      <c r="A5386" s="4" t="s">
        <v>390</v>
      </c>
      <c r="B5386" s="5">
        <v>1800005</v>
      </c>
      <c r="C5386" s="5" t="s">
        <v>370</v>
      </c>
      <c r="D5386" s="3">
        <v>0</v>
      </c>
    </row>
    <row r="5387" spans="1:4">
      <c r="A5387" s="4" t="s">
        <v>390</v>
      </c>
      <c r="B5387" s="5">
        <v>1800006</v>
      </c>
      <c r="C5387" s="5" t="s">
        <v>371</v>
      </c>
      <c r="D5387" s="3">
        <v>0</v>
      </c>
    </row>
    <row r="5388" spans="1:4">
      <c r="A5388" s="4" t="s">
        <v>390</v>
      </c>
      <c r="B5388" s="5">
        <v>1800007</v>
      </c>
      <c r="C5388" s="5" t="s">
        <v>372</v>
      </c>
      <c r="D5388" s="3">
        <v>10000</v>
      </c>
    </row>
    <row r="5389" spans="1:4">
      <c r="A5389" s="4" t="s">
        <v>390</v>
      </c>
      <c r="B5389" s="5">
        <v>1800008</v>
      </c>
      <c r="C5389" s="5" t="s">
        <v>373</v>
      </c>
      <c r="D5389" s="3">
        <v>10230</v>
      </c>
    </row>
    <row r="5390" spans="1:4">
      <c r="A5390" s="4" t="s">
        <v>390</v>
      </c>
      <c r="B5390" s="5">
        <v>1800009</v>
      </c>
      <c r="C5390" s="5" t="s">
        <v>374</v>
      </c>
      <c r="D5390" s="3">
        <v>11800</v>
      </c>
    </row>
    <row r="5391" spans="1:4">
      <c r="A5391" s="4" t="s">
        <v>390</v>
      </c>
      <c r="B5391" s="5">
        <v>1800010</v>
      </c>
      <c r="C5391" s="5" t="s">
        <v>375</v>
      </c>
      <c r="D5391" s="3">
        <v>6863</v>
      </c>
    </row>
    <row r="5392" spans="1:4">
      <c r="A5392" s="4" t="s">
        <v>390</v>
      </c>
      <c r="B5392" s="5">
        <v>1800011</v>
      </c>
      <c r="C5392" s="5" t="s">
        <v>376</v>
      </c>
      <c r="D5392" s="3">
        <v>13235</v>
      </c>
    </row>
    <row r="5393" spans="1:4">
      <c r="A5393" s="4" t="s">
        <v>390</v>
      </c>
      <c r="B5393" s="5">
        <v>1800012</v>
      </c>
      <c r="C5393" s="5" t="s">
        <v>377</v>
      </c>
      <c r="D5393" s="3">
        <v>8235</v>
      </c>
    </row>
    <row r="5394" spans="1:4">
      <c r="A5394" s="4" t="s">
        <v>390</v>
      </c>
      <c r="B5394" s="5">
        <v>1800013</v>
      </c>
      <c r="C5394" s="5" t="s">
        <v>378</v>
      </c>
      <c r="D5394" s="3">
        <v>49100</v>
      </c>
    </row>
    <row r="5395" spans="1:4">
      <c r="A5395" s="4" t="s">
        <v>390</v>
      </c>
      <c r="B5395" s="5">
        <v>1800014</v>
      </c>
      <c r="C5395" s="5" t="s">
        <v>379</v>
      </c>
      <c r="D5395" s="3">
        <v>70000</v>
      </c>
    </row>
    <row r="5396" spans="1:4">
      <c r="A5396" s="4" t="s">
        <v>390</v>
      </c>
      <c r="B5396" s="5">
        <v>1800015</v>
      </c>
      <c r="C5396" s="5" t="s">
        <v>380</v>
      </c>
      <c r="D5396" s="3">
        <v>66700</v>
      </c>
    </row>
    <row r="5397" spans="1:4">
      <c r="A5397" s="4" t="s">
        <v>390</v>
      </c>
      <c r="B5397" s="5">
        <v>1900013</v>
      </c>
      <c r="C5397" s="5" t="s">
        <v>381</v>
      </c>
      <c r="D5397" s="3">
        <v>0</v>
      </c>
    </row>
    <row r="5398" spans="1:4">
      <c r="A5398" s="4" t="s">
        <v>390</v>
      </c>
      <c r="B5398" s="5">
        <v>1900018</v>
      </c>
      <c r="C5398" s="5" t="s">
        <v>382</v>
      </c>
      <c r="D5398" s="3">
        <v>0</v>
      </c>
    </row>
    <row r="5399" spans="1:4">
      <c r="A5399" s="4" t="s">
        <v>391</v>
      </c>
      <c r="B5399" s="5">
        <v>1010101</v>
      </c>
      <c r="C5399" s="5" t="s">
        <v>5</v>
      </c>
      <c r="D5399" s="3">
        <v>700</v>
      </c>
    </row>
    <row r="5400" spans="1:4">
      <c r="A5400" s="4" t="s">
        <v>391</v>
      </c>
      <c r="B5400" s="5">
        <v>1010111</v>
      </c>
      <c r="C5400" s="5" t="s">
        <v>9</v>
      </c>
      <c r="D5400" s="3">
        <v>19100</v>
      </c>
    </row>
    <row r="5401" spans="1:4">
      <c r="A5401" s="4" t="s">
        <v>391</v>
      </c>
      <c r="B5401" s="5">
        <v>1010201</v>
      </c>
      <c r="C5401" s="5" t="s">
        <v>11</v>
      </c>
      <c r="D5401" s="3">
        <v>1372</v>
      </c>
    </row>
    <row r="5402" spans="1:4">
      <c r="A5402" s="4" t="s">
        <v>391</v>
      </c>
      <c r="B5402" s="5">
        <v>1010300</v>
      </c>
      <c r="C5402" s="5" t="s">
        <v>213</v>
      </c>
      <c r="D5402" s="3">
        <v>9608</v>
      </c>
    </row>
    <row r="5403" spans="1:4">
      <c r="A5403" s="4" t="s">
        <v>391</v>
      </c>
      <c r="B5403" s="5">
        <v>1010301</v>
      </c>
      <c r="C5403" s="5" t="s">
        <v>214</v>
      </c>
      <c r="D5403" s="3">
        <v>6373</v>
      </c>
    </row>
    <row r="5404" spans="1:4">
      <c r="A5404" s="4" t="s">
        <v>391</v>
      </c>
      <c r="B5404" s="5">
        <v>1010302</v>
      </c>
      <c r="C5404" s="5" t="s">
        <v>16</v>
      </c>
      <c r="D5404" s="3">
        <v>4314</v>
      </c>
    </row>
    <row r="5405" spans="1:4">
      <c r="A5405" s="4" t="s">
        <v>391</v>
      </c>
      <c r="B5405" s="5">
        <v>1010303</v>
      </c>
      <c r="C5405" s="5" t="s">
        <v>18</v>
      </c>
      <c r="D5405" s="3">
        <v>882</v>
      </c>
    </row>
    <row r="5406" spans="1:4">
      <c r="A5406" s="4" t="s">
        <v>391</v>
      </c>
      <c r="B5406" s="5">
        <v>1010304</v>
      </c>
      <c r="C5406" s="5" t="s">
        <v>215</v>
      </c>
      <c r="D5406" s="3">
        <v>1422</v>
      </c>
    </row>
    <row r="5407" spans="1:4">
      <c r="A5407" s="4" t="s">
        <v>391</v>
      </c>
      <c r="B5407" s="5">
        <v>1010401</v>
      </c>
      <c r="C5407" s="5" t="s">
        <v>20</v>
      </c>
      <c r="D5407" s="3">
        <v>4412</v>
      </c>
    </row>
    <row r="5408" spans="1:4">
      <c r="A5408" s="4" t="s">
        <v>391</v>
      </c>
      <c r="B5408" s="5">
        <v>1010405</v>
      </c>
      <c r="C5408" s="5" t="s">
        <v>22</v>
      </c>
      <c r="D5408" s="3">
        <v>9975</v>
      </c>
    </row>
    <row r="5409" spans="1:4">
      <c r="A5409" s="4" t="s">
        <v>391</v>
      </c>
      <c r="B5409" s="5">
        <v>1010501</v>
      </c>
      <c r="C5409" s="5" t="s">
        <v>24</v>
      </c>
      <c r="D5409" s="3">
        <v>980</v>
      </c>
    </row>
    <row r="5410" spans="1:4">
      <c r="A5410" s="4" t="s">
        <v>391</v>
      </c>
      <c r="B5410" s="5">
        <v>1010502</v>
      </c>
      <c r="C5410" s="5" t="s">
        <v>216</v>
      </c>
      <c r="D5410" s="3">
        <v>0</v>
      </c>
    </row>
    <row r="5411" spans="1:4">
      <c r="A5411" s="4" t="s">
        <v>391</v>
      </c>
      <c r="B5411" s="5">
        <v>1010601</v>
      </c>
      <c r="C5411" s="5" t="s">
        <v>26</v>
      </c>
      <c r="D5411" s="3">
        <v>4902</v>
      </c>
    </row>
    <row r="5412" spans="1:4">
      <c r="A5412" s="4" t="s">
        <v>391</v>
      </c>
      <c r="B5412" s="5">
        <v>1010701</v>
      </c>
      <c r="C5412" s="5" t="s">
        <v>28</v>
      </c>
      <c r="D5412" s="3">
        <v>686</v>
      </c>
    </row>
    <row r="5413" spans="1:4">
      <c r="A5413" s="4" t="s">
        <v>391</v>
      </c>
      <c r="B5413" s="5">
        <v>1010801</v>
      </c>
      <c r="C5413" s="5" t="s">
        <v>30</v>
      </c>
      <c r="D5413" s="3">
        <v>11275</v>
      </c>
    </row>
    <row r="5414" spans="1:4">
      <c r="A5414" s="4" t="s">
        <v>391</v>
      </c>
      <c r="B5414" s="5">
        <v>1010901</v>
      </c>
      <c r="C5414" s="5" t="s">
        <v>32</v>
      </c>
      <c r="D5414" s="3">
        <v>4804</v>
      </c>
    </row>
    <row r="5415" spans="1:4">
      <c r="A5415" s="4" t="s">
        <v>391</v>
      </c>
      <c r="B5415" s="5">
        <v>1020101</v>
      </c>
      <c r="C5415" s="5" t="s">
        <v>34</v>
      </c>
      <c r="D5415" s="3">
        <v>11667</v>
      </c>
    </row>
    <row r="5416" spans="1:4">
      <c r="A5416" s="4" t="s">
        <v>391</v>
      </c>
      <c r="B5416" s="5">
        <v>1020201</v>
      </c>
      <c r="C5416" s="5" t="s">
        <v>217</v>
      </c>
      <c r="D5416" s="3">
        <v>5600</v>
      </c>
    </row>
    <row r="5417" spans="1:4">
      <c r="A5417" s="4" t="s">
        <v>391</v>
      </c>
      <c r="B5417" s="5">
        <v>1020301</v>
      </c>
      <c r="C5417" s="5" t="s">
        <v>38</v>
      </c>
      <c r="D5417" s="3">
        <v>2640</v>
      </c>
    </row>
    <row r="5418" spans="1:4">
      <c r="A5418" s="4" t="s">
        <v>391</v>
      </c>
      <c r="B5418" s="5">
        <v>1020401</v>
      </c>
      <c r="C5418" s="5" t="s">
        <v>40</v>
      </c>
      <c r="D5418" s="3">
        <v>3470</v>
      </c>
    </row>
    <row r="5419" spans="1:4">
      <c r="A5419" s="4" t="s">
        <v>391</v>
      </c>
      <c r="B5419" s="5">
        <v>1030102</v>
      </c>
      <c r="C5419" s="5" t="s">
        <v>218</v>
      </c>
      <c r="D5419" s="3">
        <v>0</v>
      </c>
    </row>
    <row r="5420" spans="1:4">
      <c r="A5420" s="4" t="s">
        <v>391</v>
      </c>
      <c r="B5420" s="5">
        <v>1030201</v>
      </c>
      <c r="C5420" s="5" t="s">
        <v>42</v>
      </c>
      <c r="D5420" s="3">
        <v>2843</v>
      </c>
    </row>
    <row r="5421" spans="1:4">
      <c r="A5421" s="4" t="s">
        <v>391</v>
      </c>
      <c r="B5421" s="5">
        <v>1030203</v>
      </c>
      <c r="C5421" s="5" t="s">
        <v>219</v>
      </c>
      <c r="D5421" s="3">
        <v>0</v>
      </c>
    </row>
    <row r="5422" spans="1:4">
      <c r="A5422" s="4" t="s">
        <v>391</v>
      </c>
      <c r="B5422" s="5">
        <v>1030204</v>
      </c>
      <c r="C5422" s="5" t="s">
        <v>220</v>
      </c>
      <c r="D5422" s="3">
        <v>0</v>
      </c>
    </row>
    <row r="5423" spans="1:4">
      <c r="A5423" s="4" t="s">
        <v>391</v>
      </c>
      <c r="B5423" s="5">
        <v>1030205</v>
      </c>
      <c r="C5423" s="5" t="s">
        <v>44</v>
      </c>
      <c r="D5423" s="3">
        <v>5000</v>
      </c>
    </row>
    <row r="5424" spans="1:4">
      <c r="A5424" s="4" t="s">
        <v>391</v>
      </c>
      <c r="B5424" s="5">
        <v>1030206</v>
      </c>
      <c r="C5424" s="5" t="s">
        <v>46</v>
      </c>
      <c r="D5424" s="3">
        <v>6200</v>
      </c>
    </row>
    <row r="5425" spans="1:4">
      <c r="A5425" s="4" t="s">
        <v>391</v>
      </c>
      <c r="B5425" s="5">
        <v>1030207</v>
      </c>
      <c r="C5425" s="5" t="s">
        <v>48</v>
      </c>
      <c r="D5425" s="3">
        <v>4600</v>
      </c>
    </row>
    <row r="5426" spans="1:4">
      <c r="A5426" s="4" t="s">
        <v>391</v>
      </c>
      <c r="B5426" s="5">
        <v>1030501</v>
      </c>
      <c r="C5426" s="5" t="s">
        <v>50</v>
      </c>
      <c r="D5426" s="3">
        <v>1163</v>
      </c>
    </row>
    <row r="5427" spans="1:4">
      <c r="A5427" s="4" t="s">
        <v>391</v>
      </c>
      <c r="B5427" s="5">
        <v>1030601</v>
      </c>
      <c r="C5427" s="5" t="s">
        <v>52</v>
      </c>
      <c r="D5427" s="3">
        <v>3050</v>
      </c>
    </row>
    <row r="5428" spans="1:4">
      <c r="A5428" s="4" t="s">
        <v>391</v>
      </c>
      <c r="B5428" s="5">
        <v>1030701</v>
      </c>
      <c r="C5428" s="5" t="s">
        <v>221</v>
      </c>
      <c r="D5428" s="3">
        <v>3000</v>
      </c>
    </row>
    <row r="5429" spans="1:4">
      <c r="A5429" s="4" t="s">
        <v>391</v>
      </c>
      <c r="B5429" s="5">
        <v>1030705</v>
      </c>
      <c r="C5429" s="5" t="s">
        <v>222</v>
      </c>
      <c r="D5429" s="3">
        <v>0</v>
      </c>
    </row>
    <row r="5430" spans="1:4">
      <c r="A5430" s="4" t="s">
        <v>391</v>
      </c>
      <c r="B5430" s="5">
        <v>1030801</v>
      </c>
      <c r="C5430" s="5" t="s">
        <v>54</v>
      </c>
      <c r="D5430" s="3">
        <v>1176</v>
      </c>
    </row>
    <row r="5431" spans="1:4">
      <c r="A5431" s="4" t="s">
        <v>391</v>
      </c>
      <c r="B5431" s="5">
        <v>1030901</v>
      </c>
      <c r="C5431" s="5" t="s">
        <v>223</v>
      </c>
      <c r="D5431" s="3">
        <v>0</v>
      </c>
    </row>
    <row r="5432" spans="1:4">
      <c r="A5432" s="4" t="s">
        <v>391</v>
      </c>
      <c r="B5432" s="5">
        <v>1040201</v>
      </c>
      <c r="C5432" s="5" t="s">
        <v>56</v>
      </c>
      <c r="D5432" s="3">
        <v>1650</v>
      </c>
    </row>
    <row r="5433" spans="1:4">
      <c r="A5433" s="4" t="s">
        <v>391</v>
      </c>
      <c r="B5433" s="5">
        <v>1040202</v>
      </c>
      <c r="C5433" s="5" t="s">
        <v>224</v>
      </c>
      <c r="D5433" s="3">
        <v>0</v>
      </c>
    </row>
    <row r="5434" spans="1:4">
      <c r="A5434" s="4" t="s">
        <v>391</v>
      </c>
      <c r="B5434" s="5">
        <v>1040203</v>
      </c>
      <c r="C5434" s="5" t="s">
        <v>225</v>
      </c>
      <c r="D5434" s="3">
        <v>0</v>
      </c>
    </row>
    <row r="5435" spans="1:4">
      <c r="A5435" s="4" t="s">
        <v>391</v>
      </c>
      <c r="B5435" s="5">
        <v>1040204</v>
      </c>
      <c r="C5435" s="5" t="s">
        <v>226</v>
      </c>
      <c r="D5435" s="3">
        <v>8583</v>
      </c>
    </row>
    <row r="5436" spans="1:4">
      <c r="A5436" s="4" t="s">
        <v>391</v>
      </c>
      <c r="B5436" s="5">
        <v>1040301</v>
      </c>
      <c r="C5436" s="5" t="s">
        <v>58</v>
      </c>
      <c r="D5436" s="3">
        <v>1650</v>
      </c>
    </row>
    <row r="5437" spans="1:4">
      <c r="A5437" s="4" t="s">
        <v>391</v>
      </c>
      <c r="B5437" s="5">
        <v>1040401</v>
      </c>
      <c r="C5437" s="5" t="s">
        <v>227</v>
      </c>
      <c r="D5437" s="3">
        <v>0</v>
      </c>
    </row>
    <row r="5438" spans="1:4">
      <c r="A5438" s="4" t="s">
        <v>391</v>
      </c>
      <c r="B5438" s="5">
        <v>1050102</v>
      </c>
      <c r="C5438" s="5" t="s">
        <v>60</v>
      </c>
      <c r="D5438" s="3">
        <v>33000</v>
      </c>
    </row>
    <row r="5439" spans="1:4">
      <c r="A5439" s="4" t="s">
        <v>391</v>
      </c>
      <c r="B5439" s="5">
        <v>1050103</v>
      </c>
      <c r="C5439" s="5" t="s">
        <v>228</v>
      </c>
      <c r="D5439" s="3">
        <v>11275</v>
      </c>
    </row>
    <row r="5440" spans="1:4">
      <c r="A5440" s="4" t="s">
        <v>391</v>
      </c>
      <c r="B5440" s="5">
        <v>1050301</v>
      </c>
      <c r="C5440" s="5" t="s">
        <v>62</v>
      </c>
      <c r="D5440" s="3">
        <v>9804</v>
      </c>
    </row>
    <row r="5441" spans="1:4">
      <c r="A5441" s="4" t="s">
        <v>391</v>
      </c>
      <c r="B5441" s="5">
        <v>1050401</v>
      </c>
      <c r="C5441" s="5" t="s">
        <v>64</v>
      </c>
      <c r="D5441" s="3">
        <v>8824</v>
      </c>
    </row>
    <row r="5442" spans="1:4">
      <c r="A5442" s="4" t="s">
        <v>391</v>
      </c>
      <c r="B5442" s="5">
        <v>1050501</v>
      </c>
      <c r="C5442" s="5" t="s">
        <v>66</v>
      </c>
      <c r="D5442" s="3">
        <v>10784</v>
      </c>
    </row>
    <row r="5443" spans="1:4">
      <c r="A5443" s="4" t="s">
        <v>391</v>
      </c>
      <c r="B5443" s="5">
        <v>1050511</v>
      </c>
      <c r="C5443" s="5" t="s">
        <v>68</v>
      </c>
      <c r="D5443" s="3">
        <v>18000</v>
      </c>
    </row>
    <row r="5444" spans="1:4">
      <c r="A5444" s="4" t="s">
        <v>391</v>
      </c>
      <c r="B5444" s="5">
        <v>1050512</v>
      </c>
      <c r="C5444" s="5" t="s">
        <v>229</v>
      </c>
      <c r="D5444" s="3">
        <v>0</v>
      </c>
    </row>
    <row r="5445" spans="1:4">
      <c r="A5445" s="4" t="s">
        <v>391</v>
      </c>
      <c r="B5445" s="5">
        <v>1050521</v>
      </c>
      <c r="C5445" s="5" t="s">
        <v>70</v>
      </c>
      <c r="D5445" s="3">
        <v>14706</v>
      </c>
    </row>
    <row r="5446" spans="1:4">
      <c r="A5446" s="4" t="s">
        <v>391</v>
      </c>
      <c r="B5446" s="5">
        <v>1050531</v>
      </c>
      <c r="C5446" s="5" t="s">
        <v>72</v>
      </c>
      <c r="D5446" s="3">
        <v>21000</v>
      </c>
    </row>
    <row r="5447" spans="1:4">
      <c r="A5447" s="4" t="s">
        <v>391</v>
      </c>
      <c r="B5447" s="5">
        <v>1050541</v>
      </c>
      <c r="C5447" s="5" t="s">
        <v>74</v>
      </c>
      <c r="D5447" s="3">
        <v>11000</v>
      </c>
    </row>
    <row r="5448" spans="1:4">
      <c r="A5448" s="4" t="s">
        <v>391</v>
      </c>
      <c r="B5448" s="5">
        <v>1050551</v>
      </c>
      <c r="C5448" s="5" t="s">
        <v>76</v>
      </c>
      <c r="D5448" s="3">
        <v>54000</v>
      </c>
    </row>
    <row r="5449" spans="1:4">
      <c r="A5449" s="4" t="s">
        <v>391</v>
      </c>
      <c r="B5449" s="5">
        <v>1050561</v>
      </c>
      <c r="C5449" s="5" t="s">
        <v>78</v>
      </c>
      <c r="D5449" s="3">
        <v>77321</v>
      </c>
    </row>
    <row r="5450" spans="1:4">
      <c r="A5450" s="4" t="s">
        <v>391</v>
      </c>
      <c r="B5450" s="5">
        <v>1050571</v>
      </c>
      <c r="C5450" s="5" t="s">
        <v>80</v>
      </c>
      <c r="D5450" s="3">
        <v>58000</v>
      </c>
    </row>
    <row r="5451" spans="1:4">
      <c r="A5451" s="4" t="s">
        <v>391</v>
      </c>
      <c r="B5451" s="5">
        <v>1050581</v>
      </c>
      <c r="C5451" s="5" t="s">
        <v>82</v>
      </c>
      <c r="D5451" s="3">
        <v>60760</v>
      </c>
    </row>
    <row r="5452" spans="1:4">
      <c r="A5452" s="4" t="s">
        <v>391</v>
      </c>
      <c r="B5452" s="5">
        <v>1050591</v>
      </c>
      <c r="C5452" s="5" t="s">
        <v>84</v>
      </c>
      <c r="D5452" s="3">
        <v>97750</v>
      </c>
    </row>
    <row r="5453" spans="1:4">
      <c r="A5453" s="4" t="s">
        <v>391</v>
      </c>
      <c r="B5453" s="5">
        <v>1050601</v>
      </c>
      <c r="C5453" s="5" t="s">
        <v>86</v>
      </c>
      <c r="D5453" s="3">
        <v>6400</v>
      </c>
    </row>
    <row r="5454" spans="1:4">
      <c r="A5454" s="4" t="s">
        <v>391</v>
      </c>
      <c r="B5454" s="5">
        <v>1050701</v>
      </c>
      <c r="C5454" s="5" t="s">
        <v>88</v>
      </c>
      <c r="D5454" s="3">
        <v>5930</v>
      </c>
    </row>
    <row r="5455" spans="1:4">
      <c r="A5455" s="4" t="s">
        <v>391</v>
      </c>
      <c r="B5455" s="5">
        <v>1050702</v>
      </c>
      <c r="C5455" s="5" t="s">
        <v>90</v>
      </c>
      <c r="D5455" s="3">
        <v>5870</v>
      </c>
    </row>
    <row r="5456" spans="1:4">
      <c r="A5456" s="4" t="s">
        <v>391</v>
      </c>
      <c r="B5456" s="5">
        <v>1050711</v>
      </c>
      <c r="C5456" s="5" t="s">
        <v>92</v>
      </c>
      <c r="D5456" s="3">
        <v>2600</v>
      </c>
    </row>
    <row r="5457" spans="1:4">
      <c r="A5457" s="4" t="s">
        <v>391</v>
      </c>
      <c r="B5457" s="5">
        <v>1050721</v>
      </c>
      <c r="C5457" s="5" t="s">
        <v>94</v>
      </c>
      <c r="D5457" s="3">
        <v>14510</v>
      </c>
    </row>
    <row r="5458" spans="1:4">
      <c r="A5458" s="4" t="s">
        <v>391</v>
      </c>
      <c r="B5458" s="5">
        <v>1050801</v>
      </c>
      <c r="C5458" s="5" t="s">
        <v>7</v>
      </c>
      <c r="D5458" s="3">
        <v>882</v>
      </c>
    </row>
    <row r="5459" spans="1:4">
      <c r="A5459" s="4" t="s">
        <v>391</v>
      </c>
      <c r="B5459" s="5">
        <v>1050901</v>
      </c>
      <c r="C5459" s="5" t="s">
        <v>96</v>
      </c>
      <c r="D5459" s="3">
        <v>1216</v>
      </c>
    </row>
    <row r="5460" spans="1:4">
      <c r="A5460" s="4" t="s">
        <v>391</v>
      </c>
      <c r="B5460" s="5">
        <v>1060101</v>
      </c>
      <c r="C5460" s="5" t="s">
        <v>98</v>
      </c>
      <c r="D5460" s="3">
        <v>2200</v>
      </c>
    </row>
    <row r="5461" spans="1:4">
      <c r="A5461" s="4" t="s">
        <v>391</v>
      </c>
      <c r="B5461" s="5">
        <v>1060401</v>
      </c>
      <c r="C5461" s="5" t="s">
        <v>100</v>
      </c>
      <c r="D5461" s="3">
        <v>75000</v>
      </c>
    </row>
    <row r="5462" spans="1:4">
      <c r="A5462" s="4" t="s">
        <v>391</v>
      </c>
      <c r="B5462" s="5">
        <v>1060412</v>
      </c>
      <c r="C5462" s="5" t="s">
        <v>230</v>
      </c>
      <c r="D5462" s="3">
        <v>33000</v>
      </c>
    </row>
    <row r="5463" spans="1:4">
      <c r="A5463" s="4" t="s">
        <v>391</v>
      </c>
      <c r="B5463" s="5">
        <v>1060421</v>
      </c>
      <c r="C5463" s="5" t="s">
        <v>104</v>
      </c>
      <c r="D5463" s="3">
        <v>118000</v>
      </c>
    </row>
    <row r="5464" spans="1:4">
      <c r="A5464" s="4" t="s">
        <v>391</v>
      </c>
      <c r="B5464" s="5">
        <v>1060441</v>
      </c>
      <c r="C5464" s="5" t="s">
        <v>106</v>
      </c>
      <c r="D5464" s="3">
        <v>6471</v>
      </c>
    </row>
    <row r="5465" spans="1:4">
      <c r="A5465" s="4" t="s">
        <v>391</v>
      </c>
      <c r="B5465" s="5">
        <v>1060451</v>
      </c>
      <c r="C5465" s="5" t="s">
        <v>108</v>
      </c>
      <c r="D5465" s="3">
        <v>38235</v>
      </c>
    </row>
    <row r="5466" spans="1:4">
      <c r="A5466" s="4" t="s">
        <v>391</v>
      </c>
      <c r="B5466" s="5">
        <v>1070101</v>
      </c>
      <c r="C5466" s="5" t="s">
        <v>110</v>
      </c>
      <c r="D5466" s="3">
        <v>4000</v>
      </c>
    </row>
    <row r="5467" spans="1:4">
      <c r="A5467" s="4" t="s">
        <v>391</v>
      </c>
      <c r="B5467" s="5">
        <v>1070301</v>
      </c>
      <c r="C5467" s="5" t="s">
        <v>112</v>
      </c>
      <c r="D5467" s="3">
        <v>43000</v>
      </c>
    </row>
    <row r="5468" spans="1:4">
      <c r="A5468" s="4" t="s">
        <v>391</v>
      </c>
      <c r="B5468" s="5">
        <v>1070401</v>
      </c>
      <c r="C5468" s="5" t="s">
        <v>114</v>
      </c>
      <c r="D5468" s="3">
        <v>16000</v>
      </c>
    </row>
    <row r="5469" spans="1:4">
      <c r="A5469" s="4" t="s">
        <v>391</v>
      </c>
      <c r="B5469" s="5">
        <v>1070501</v>
      </c>
      <c r="C5469" s="5" t="s">
        <v>231</v>
      </c>
      <c r="D5469" s="3">
        <v>5500</v>
      </c>
    </row>
    <row r="5470" spans="1:4">
      <c r="A5470" s="4" t="s">
        <v>391</v>
      </c>
      <c r="B5470" s="5">
        <v>1070701</v>
      </c>
      <c r="C5470" s="5" t="s">
        <v>118</v>
      </c>
      <c r="D5470" s="3">
        <v>36000</v>
      </c>
    </row>
    <row r="5471" spans="1:4">
      <c r="A5471" s="4" t="s">
        <v>391</v>
      </c>
      <c r="B5471" s="5">
        <v>1070801</v>
      </c>
      <c r="C5471" s="5" t="s">
        <v>232</v>
      </c>
      <c r="D5471" s="3">
        <v>35000</v>
      </c>
    </row>
    <row r="5472" spans="1:4">
      <c r="A5472" s="4" t="s">
        <v>391</v>
      </c>
      <c r="B5472" s="5">
        <v>1080101</v>
      </c>
      <c r="C5472" s="5" t="s">
        <v>120</v>
      </c>
      <c r="D5472" s="3">
        <v>12000</v>
      </c>
    </row>
    <row r="5473" spans="1:4">
      <c r="A5473" s="4" t="s">
        <v>391</v>
      </c>
      <c r="B5473" s="5">
        <v>1080201</v>
      </c>
      <c r="C5473" s="5" t="s">
        <v>122</v>
      </c>
      <c r="D5473" s="3">
        <v>540</v>
      </c>
    </row>
    <row r="5474" spans="1:4">
      <c r="A5474" s="4" t="s">
        <v>391</v>
      </c>
      <c r="B5474" s="5">
        <v>1080301</v>
      </c>
      <c r="C5474" s="5" t="s">
        <v>124</v>
      </c>
      <c r="D5474" s="3">
        <v>1550</v>
      </c>
    </row>
    <row r="5475" spans="1:4">
      <c r="A5475" s="4" t="s">
        <v>391</v>
      </c>
      <c r="B5475" s="5">
        <v>1080401</v>
      </c>
      <c r="C5475" s="5" t="s">
        <v>233</v>
      </c>
      <c r="D5475" s="3">
        <v>3150</v>
      </c>
    </row>
    <row r="5476" spans="1:4">
      <c r="A5476" s="4" t="s">
        <v>391</v>
      </c>
      <c r="B5476" s="5">
        <v>1080411</v>
      </c>
      <c r="C5476" s="5" t="s">
        <v>128</v>
      </c>
      <c r="D5476" s="3">
        <v>3150</v>
      </c>
    </row>
    <row r="5477" spans="1:4">
      <c r="A5477" s="4" t="s">
        <v>391</v>
      </c>
      <c r="B5477" s="5">
        <v>1080501</v>
      </c>
      <c r="C5477" s="5" t="s">
        <v>130</v>
      </c>
      <c r="D5477" s="3">
        <v>4200</v>
      </c>
    </row>
    <row r="5478" spans="1:4">
      <c r="A5478" s="4" t="s">
        <v>391</v>
      </c>
      <c r="B5478" s="5">
        <v>1080602</v>
      </c>
      <c r="C5478" s="5" t="s">
        <v>234</v>
      </c>
      <c r="D5478" s="3">
        <v>38600</v>
      </c>
    </row>
    <row r="5479" spans="1:4">
      <c r="A5479" s="4" t="s">
        <v>391</v>
      </c>
      <c r="B5479" s="5">
        <v>1080604</v>
      </c>
      <c r="C5479" s="5" t="s">
        <v>235</v>
      </c>
      <c r="D5479" s="3">
        <v>0</v>
      </c>
    </row>
    <row r="5480" spans="1:4">
      <c r="A5480" s="4" t="s">
        <v>391</v>
      </c>
      <c r="B5480" s="5">
        <v>1080702</v>
      </c>
      <c r="C5480" s="5" t="s">
        <v>236</v>
      </c>
      <c r="D5480" s="3">
        <v>43500</v>
      </c>
    </row>
    <row r="5481" spans="1:4">
      <c r="A5481" s="4" t="s">
        <v>391</v>
      </c>
      <c r="B5481" s="5">
        <v>1080704</v>
      </c>
      <c r="C5481" s="5" t="s">
        <v>237</v>
      </c>
      <c r="D5481" s="3">
        <v>0</v>
      </c>
    </row>
    <row r="5482" spans="1:4">
      <c r="A5482" s="4" t="s">
        <v>391</v>
      </c>
      <c r="B5482" s="5">
        <v>1090104</v>
      </c>
      <c r="C5482" s="5" t="s">
        <v>136</v>
      </c>
      <c r="D5482" s="3">
        <v>40000</v>
      </c>
    </row>
    <row r="5483" spans="1:4">
      <c r="A5483" s="4" t="s">
        <v>391</v>
      </c>
      <c r="B5483" s="5">
        <v>1090112</v>
      </c>
      <c r="C5483" s="5" t="s">
        <v>138</v>
      </c>
      <c r="D5483" s="3">
        <v>35000</v>
      </c>
    </row>
    <row r="5484" spans="1:4">
      <c r="A5484" s="4" t="s">
        <v>391</v>
      </c>
      <c r="B5484" s="5">
        <v>1090201</v>
      </c>
      <c r="C5484" s="5" t="s">
        <v>140</v>
      </c>
      <c r="D5484" s="3">
        <v>15800</v>
      </c>
    </row>
    <row r="5485" spans="1:4">
      <c r="A5485" s="4" t="s">
        <v>391</v>
      </c>
      <c r="B5485" s="5">
        <v>1090202</v>
      </c>
      <c r="C5485" s="5" t="s">
        <v>142</v>
      </c>
      <c r="D5485" s="3">
        <v>98000</v>
      </c>
    </row>
    <row r="5486" spans="1:4">
      <c r="A5486" s="4" t="s">
        <v>391</v>
      </c>
      <c r="B5486" s="5">
        <v>1090203</v>
      </c>
      <c r="C5486" s="5" t="s">
        <v>144</v>
      </c>
      <c r="D5486" s="3">
        <v>23000</v>
      </c>
    </row>
    <row r="5487" spans="1:4">
      <c r="A5487" s="4" t="s">
        <v>391</v>
      </c>
      <c r="B5487" s="5">
        <v>1090211</v>
      </c>
      <c r="C5487" s="5" t="s">
        <v>146</v>
      </c>
      <c r="D5487" s="3">
        <v>77451</v>
      </c>
    </row>
    <row r="5488" spans="1:4">
      <c r="A5488" s="4" t="s">
        <v>391</v>
      </c>
      <c r="B5488" s="5">
        <v>1090301</v>
      </c>
      <c r="C5488" s="5" t="s">
        <v>238</v>
      </c>
      <c r="D5488" s="3">
        <v>32000</v>
      </c>
    </row>
    <row r="5489" spans="1:4">
      <c r="A5489" s="4" t="s">
        <v>391</v>
      </c>
      <c r="B5489" s="5">
        <v>1090311</v>
      </c>
      <c r="C5489" s="5" t="s">
        <v>150</v>
      </c>
      <c r="D5489" s="3">
        <v>37000</v>
      </c>
    </row>
    <row r="5490" spans="1:4">
      <c r="A5490" s="4" t="s">
        <v>391</v>
      </c>
      <c r="B5490" s="5">
        <v>1090321</v>
      </c>
      <c r="C5490" s="5" t="s">
        <v>152</v>
      </c>
      <c r="D5490" s="3">
        <v>69000</v>
      </c>
    </row>
    <row r="5491" spans="1:4">
      <c r="A5491" s="4" t="s">
        <v>391</v>
      </c>
      <c r="B5491" s="5">
        <v>1090401</v>
      </c>
      <c r="C5491" s="5" t="s">
        <v>154</v>
      </c>
      <c r="D5491" s="3">
        <v>9300</v>
      </c>
    </row>
    <row r="5492" spans="1:4">
      <c r="A5492" s="4" t="s">
        <v>391</v>
      </c>
      <c r="B5492" s="5">
        <v>1090411</v>
      </c>
      <c r="C5492" s="5" t="s">
        <v>156</v>
      </c>
      <c r="D5492" s="3">
        <v>45000</v>
      </c>
    </row>
    <row r="5493" spans="1:4">
      <c r="A5493" s="4" t="s">
        <v>391</v>
      </c>
      <c r="B5493" s="5">
        <v>1090421</v>
      </c>
      <c r="C5493" s="5" t="s">
        <v>158</v>
      </c>
      <c r="D5493" s="3">
        <v>36000</v>
      </c>
    </row>
    <row r="5494" spans="1:4">
      <c r="A5494" s="4" t="s">
        <v>391</v>
      </c>
      <c r="B5494" s="5">
        <v>1090551</v>
      </c>
      <c r="C5494" s="5" t="s">
        <v>239</v>
      </c>
      <c r="D5494" s="3">
        <v>5300</v>
      </c>
    </row>
    <row r="5495" spans="1:4">
      <c r="A5495" s="4" t="s">
        <v>391</v>
      </c>
      <c r="B5495" s="5">
        <v>1090602</v>
      </c>
      <c r="C5495" s="5" t="s">
        <v>162</v>
      </c>
      <c r="D5495" s="3">
        <v>5600</v>
      </c>
    </row>
    <row r="5496" spans="1:4">
      <c r="A5496" s="4" t="s">
        <v>391</v>
      </c>
      <c r="B5496" s="5">
        <v>1090611</v>
      </c>
      <c r="C5496" s="5" t="s">
        <v>164</v>
      </c>
      <c r="D5496" s="3">
        <v>4800</v>
      </c>
    </row>
    <row r="5497" spans="1:4">
      <c r="A5497" s="4" t="s">
        <v>391</v>
      </c>
      <c r="B5497" s="5">
        <v>1090701</v>
      </c>
      <c r="C5497" s="5" t="s">
        <v>166</v>
      </c>
      <c r="D5497" s="3">
        <v>21000</v>
      </c>
    </row>
    <row r="5498" spans="1:4">
      <c r="A5498" s="4" t="s">
        <v>391</v>
      </c>
      <c r="B5498" s="5">
        <v>1090901</v>
      </c>
      <c r="C5498" s="5" t="s">
        <v>168</v>
      </c>
      <c r="D5498" s="3">
        <v>4300</v>
      </c>
    </row>
    <row r="5499" spans="1:4">
      <c r="A5499" s="4" t="s">
        <v>391</v>
      </c>
      <c r="B5499" s="5">
        <v>1091001</v>
      </c>
      <c r="C5499" s="5" t="s">
        <v>170</v>
      </c>
      <c r="D5499" s="3">
        <v>7000</v>
      </c>
    </row>
    <row r="5500" spans="1:4">
      <c r="A5500" s="4" t="s">
        <v>391</v>
      </c>
      <c r="B5500" s="5">
        <v>1091002</v>
      </c>
      <c r="C5500" s="5" t="s">
        <v>172</v>
      </c>
      <c r="D5500" s="3">
        <v>6304</v>
      </c>
    </row>
    <row r="5501" spans="1:4">
      <c r="A5501" s="4" t="s">
        <v>391</v>
      </c>
      <c r="B5501" s="5">
        <v>1091003</v>
      </c>
      <c r="C5501" s="5" t="s">
        <v>174</v>
      </c>
      <c r="D5501" s="3">
        <v>10069</v>
      </c>
    </row>
    <row r="5502" spans="1:4">
      <c r="A5502" s="4" t="s">
        <v>391</v>
      </c>
      <c r="B5502" s="5">
        <v>1091004</v>
      </c>
      <c r="C5502" s="5" t="s">
        <v>240</v>
      </c>
      <c r="D5502" s="3">
        <v>0</v>
      </c>
    </row>
    <row r="5503" spans="1:4">
      <c r="A5503" s="4" t="s">
        <v>391</v>
      </c>
      <c r="B5503" s="5">
        <v>1091005</v>
      </c>
      <c r="C5503" s="5" t="s">
        <v>241</v>
      </c>
      <c r="D5503" s="3">
        <v>0</v>
      </c>
    </row>
    <row r="5504" spans="1:4">
      <c r="A5504" s="4" t="s">
        <v>391</v>
      </c>
      <c r="B5504" s="5">
        <v>1091006</v>
      </c>
      <c r="C5504" s="5" t="s">
        <v>242</v>
      </c>
      <c r="D5504" s="3">
        <v>0</v>
      </c>
    </row>
    <row r="5505" spans="1:4">
      <c r="A5505" s="4" t="s">
        <v>391</v>
      </c>
      <c r="B5505" s="5">
        <v>1091007</v>
      </c>
      <c r="C5505" s="5" t="s">
        <v>243</v>
      </c>
      <c r="D5505" s="3">
        <v>2640</v>
      </c>
    </row>
    <row r="5506" spans="1:4">
      <c r="A5506" s="4" t="s">
        <v>391</v>
      </c>
      <c r="B5506" s="5">
        <v>1091008</v>
      </c>
      <c r="C5506" s="5" t="s">
        <v>176</v>
      </c>
      <c r="D5506" s="3">
        <v>450000</v>
      </c>
    </row>
    <row r="5507" spans="1:4">
      <c r="A5507" s="4" t="s">
        <v>391</v>
      </c>
      <c r="B5507" s="5">
        <v>1091009</v>
      </c>
      <c r="C5507" s="5" t="s">
        <v>178</v>
      </c>
      <c r="D5507" s="3">
        <v>190000</v>
      </c>
    </row>
    <row r="5508" spans="1:4">
      <c r="A5508" s="4" t="s">
        <v>391</v>
      </c>
      <c r="B5508" s="5">
        <v>1091010</v>
      </c>
      <c r="C5508" s="5" t="s">
        <v>180</v>
      </c>
      <c r="D5508" s="3">
        <v>27000</v>
      </c>
    </row>
    <row r="5509" spans="1:4">
      <c r="A5509" s="4" t="s">
        <v>391</v>
      </c>
      <c r="B5509" s="5">
        <v>1091011</v>
      </c>
      <c r="C5509" s="5" t="s">
        <v>182</v>
      </c>
      <c r="D5509" s="3">
        <v>33000</v>
      </c>
    </row>
    <row r="5510" spans="1:4">
      <c r="A5510" s="4" t="s">
        <v>391</v>
      </c>
      <c r="B5510" s="5">
        <v>1091012</v>
      </c>
      <c r="C5510" s="5" t="s">
        <v>184</v>
      </c>
      <c r="D5510" s="3">
        <v>47000</v>
      </c>
    </row>
    <row r="5511" spans="1:4">
      <c r="A5511" s="4" t="s">
        <v>391</v>
      </c>
      <c r="B5511" s="5">
        <v>1091013</v>
      </c>
      <c r="C5511" s="5" t="s">
        <v>186</v>
      </c>
      <c r="D5511" s="3">
        <v>33000</v>
      </c>
    </row>
    <row r="5512" spans="1:4">
      <c r="A5512" s="4" t="s">
        <v>391</v>
      </c>
      <c r="B5512" s="5">
        <v>1091014</v>
      </c>
      <c r="C5512" s="5" t="s">
        <v>244</v>
      </c>
      <c r="D5512" s="3">
        <v>6961</v>
      </c>
    </row>
    <row r="5513" spans="1:4">
      <c r="A5513" s="4" t="s">
        <v>391</v>
      </c>
      <c r="B5513" s="5">
        <v>1091015</v>
      </c>
      <c r="C5513" s="5" t="s">
        <v>245</v>
      </c>
      <c r="D5513" s="3">
        <v>28000</v>
      </c>
    </row>
    <row r="5514" spans="1:4">
      <c r="A5514" s="4" t="s">
        <v>391</v>
      </c>
      <c r="B5514" s="5">
        <v>1091016</v>
      </c>
      <c r="C5514" s="5" t="s">
        <v>246</v>
      </c>
      <c r="D5514" s="3">
        <v>50187</v>
      </c>
    </row>
    <row r="5515" spans="1:4">
      <c r="A5515" s="4" t="s">
        <v>391</v>
      </c>
      <c r="B5515" s="5">
        <v>1091017</v>
      </c>
      <c r="C5515" s="5" t="s">
        <v>247</v>
      </c>
      <c r="D5515" s="3">
        <v>74833</v>
      </c>
    </row>
    <row r="5516" spans="1:4">
      <c r="A5516" s="4" t="s">
        <v>391</v>
      </c>
      <c r="B5516" s="5">
        <v>1091018</v>
      </c>
      <c r="C5516" s="5" t="s">
        <v>248</v>
      </c>
      <c r="D5516" s="3">
        <v>33031</v>
      </c>
    </row>
    <row r="5517" spans="1:4">
      <c r="A5517" s="4" t="s">
        <v>391</v>
      </c>
      <c r="B5517" s="5">
        <v>1091019</v>
      </c>
      <c r="C5517" s="5" t="s">
        <v>249</v>
      </c>
      <c r="D5517" s="3">
        <v>53387</v>
      </c>
    </row>
    <row r="5518" spans="1:4">
      <c r="A5518" s="4" t="s">
        <v>391</v>
      </c>
      <c r="B5518" s="5">
        <v>1091020</v>
      </c>
      <c r="C5518" s="5" t="s">
        <v>250</v>
      </c>
      <c r="D5518" s="3">
        <v>100500</v>
      </c>
    </row>
    <row r="5519" spans="1:4">
      <c r="A5519" s="4" t="s">
        <v>391</v>
      </c>
      <c r="B5519" s="5">
        <v>1091021</v>
      </c>
      <c r="C5519" s="5" t="s">
        <v>251</v>
      </c>
      <c r="D5519" s="3">
        <v>50600</v>
      </c>
    </row>
    <row r="5520" spans="1:4">
      <c r="A5520" s="4" t="s">
        <v>391</v>
      </c>
      <c r="B5520" s="5">
        <v>1091022</v>
      </c>
      <c r="C5520" s="5" t="s">
        <v>252</v>
      </c>
      <c r="D5520" s="3">
        <v>3235</v>
      </c>
    </row>
    <row r="5521" spans="1:4">
      <c r="A5521" s="4" t="s">
        <v>391</v>
      </c>
      <c r="B5521" s="5">
        <v>1091023</v>
      </c>
      <c r="C5521" s="5" t="s">
        <v>253</v>
      </c>
      <c r="D5521" s="3">
        <v>4412</v>
      </c>
    </row>
    <row r="5522" spans="1:4">
      <c r="A5522" s="4" t="s">
        <v>391</v>
      </c>
      <c r="B5522" s="5">
        <v>1091024</v>
      </c>
      <c r="C5522" s="5" t="s">
        <v>254</v>
      </c>
      <c r="D5522" s="3">
        <v>3922</v>
      </c>
    </row>
    <row r="5523" spans="1:4">
      <c r="A5523" s="4" t="s">
        <v>391</v>
      </c>
      <c r="B5523" s="5">
        <v>1091025</v>
      </c>
      <c r="C5523" s="5" t="s">
        <v>255</v>
      </c>
      <c r="D5523" s="3">
        <v>6373</v>
      </c>
    </row>
    <row r="5524" spans="1:4">
      <c r="A5524" s="4" t="s">
        <v>391</v>
      </c>
      <c r="B5524" s="5">
        <v>1091026</v>
      </c>
      <c r="C5524" s="5" t="s">
        <v>256</v>
      </c>
      <c r="D5524" s="3">
        <v>32255</v>
      </c>
    </row>
    <row r="5525" spans="1:4">
      <c r="A5525" s="4" t="s">
        <v>391</v>
      </c>
      <c r="B5525" s="5">
        <v>1600101</v>
      </c>
      <c r="C5525" s="5" t="s">
        <v>188</v>
      </c>
      <c r="D5525" s="3">
        <v>2892</v>
      </c>
    </row>
    <row r="5526" spans="1:4">
      <c r="A5526" s="4" t="s">
        <v>391</v>
      </c>
      <c r="B5526" s="5">
        <v>1600102</v>
      </c>
      <c r="C5526" s="5" t="s">
        <v>257</v>
      </c>
      <c r="D5526" s="3">
        <v>17649</v>
      </c>
    </row>
    <row r="5527" spans="1:4">
      <c r="A5527" s="4" t="s">
        <v>391</v>
      </c>
      <c r="B5527" s="5">
        <v>1600103</v>
      </c>
      <c r="C5527" s="5" t="s">
        <v>258</v>
      </c>
      <c r="D5527" s="3">
        <v>19800</v>
      </c>
    </row>
    <row r="5528" spans="1:4">
      <c r="A5528" s="4" t="s">
        <v>391</v>
      </c>
      <c r="B5528" s="5">
        <v>1600104</v>
      </c>
      <c r="C5528" s="5" t="s">
        <v>259</v>
      </c>
      <c r="D5528" s="3">
        <v>73810</v>
      </c>
    </row>
    <row r="5529" spans="1:4">
      <c r="A5529" s="4" t="s">
        <v>391</v>
      </c>
      <c r="B5529" s="5">
        <v>1600105</v>
      </c>
      <c r="C5529" s="5" t="s">
        <v>260</v>
      </c>
      <c r="D5529" s="3">
        <v>83950</v>
      </c>
    </row>
    <row r="5530" spans="1:4">
      <c r="A5530" s="4" t="s">
        <v>391</v>
      </c>
      <c r="B5530" s="5">
        <v>1600106</v>
      </c>
      <c r="C5530" s="5" t="s">
        <v>261</v>
      </c>
      <c r="D5530" s="3">
        <v>108071</v>
      </c>
    </row>
    <row r="5531" spans="1:4">
      <c r="A5531" s="4" t="s">
        <v>391</v>
      </c>
      <c r="B5531" s="5">
        <v>1600107</v>
      </c>
      <c r="C5531" s="5" t="s">
        <v>262</v>
      </c>
      <c r="D5531" s="3">
        <v>86601</v>
      </c>
    </row>
    <row r="5532" spans="1:4">
      <c r="A5532" s="4" t="s">
        <v>391</v>
      </c>
      <c r="B5532" s="5">
        <v>1600108</v>
      </c>
      <c r="C5532" s="5" t="s">
        <v>263</v>
      </c>
      <c r="D5532" s="3">
        <v>73810</v>
      </c>
    </row>
    <row r="5533" spans="1:4">
      <c r="A5533" s="4" t="s">
        <v>391</v>
      </c>
      <c r="B5533" s="5">
        <v>1600109</v>
      </c>
      <c r="C5533" s="5" t="s">
        <v>264</v>
      </c>
      <c r="D5533" s="3">
        <v>5882</v>
      </c>
    </row>
    <row r="5534" spans="1:4">
      <c r="A5534" s="4" t="s">
        <v>391</v>
      </c>
      <c r="B5534" s="5">
        <v>1600110</v>
      </c>
      <c r="C5534" s="5" t="s">
        <v>265</v>
      </c>
      <c r="D5534" s="3">
        <v>7917</v>
      </c>
    </row>
    <row r="5535" spans="1:4">
      <c r="A5535" s="4" t="s">
        <v>391</v>
      </c>
      <c r="B5535" s="5">
        <v>1600111</v>
      </c>
      <c r="C5535" s="5" t="s">
        <v>266</v>
      </c>
      <c r="D5535" s="3">
        <v>2266</v>
      </c>
    </row>
    <row r="5536" spans="1:4">
      <c r="A5536" s="4" t="s">
        <v>391</v>
      </c>
      <c r="B5536" s="5">
        <v>1600112</v>
      </c>
      <c r="C5536" s="5" t="s">
        <v>190</v>
      </c>
      <c r="D5536" s="3">
        <v>4800</v>
      </c>
    </row>
    <row r="5537" spans="1:4">
      <c r="A5537" s="4" t="s">
        <v>391</v>
      </c>
      <c r="B5537" s="5">
        <v>1600113</v>
      </c>
      <c r="C5537" s="5" t="s">
        <v>267</v>
      </c>
      <c r="D5537" s="3">
        <v>0</v>
      </c>
    </row>
    <row r="5538" spans="1:4">
      <c r="A5538" s="4" t="s">
        <v>391</v>
      </c>
      <c r="B5538" s="5">
        <v>1600114</v>
      </c>
      <c r="C5538" s="5" t="s">
        <v>268</v>
      </c>
      <c r="D5538" s="3">
        <v>13333</v>
      </c>
    </row>
    <row r="5539" spans="1:4">
      <c r="A5539" s="4" t="s">
        <v>391</v>
      </c>
      <c r="B5539" s="5">
        <v>1700001</v>
      </c>
      <c r="C5539" s="5" t="s">
        <v>269</v>
      </c>
      <c r="D5539" s="3">
        <v>4570</v>
      </c>
    </row>
    <row r="5540" spans="1:4">
      <c r="A5540" s="4" t="s">
        <v>391</v>
      </c>
      <c r="B5540" s="5">
        <v>1700002</v>
      </c>
      <c r="C5540" s="5" t="s">
        <v>270</v>
      </c>
      <c r="D5540" s="3">
        <v>3726</v>
      </c>
    </row>
    <row r="5541" spans="1:4">
      <c r="A5541" s="4" t="s">
        <v>391</v>
      </c>
      <c r="B5541" s="5">
        <v>1700003</v>
      </c>
      <c r="C5541" s="5" t="s">
        <v>271</v>
      </c>
      <c r="D5541" s="3">
        <v>5392</v>
      </c>
    </row>
    <row r="5542" spans="1:4">
      <c r="A5542" s="4" t="s">
        <v>391</v>
      </c>
      <c r="B5542" s="5">
        <v>1700004</v>
      </c>
      <c r="C5542" s="5" t="s">
        <v>272</v>
      </c>
      <c r="D5542" s="3">
        <v>15784</v>
      </c>
    </row>
    <row r="5543" spans="1:4">
      <c r="A5543" s="4" t="s">
        <v>391</v>
      </c>
      <c r="B5543" s="5">
        <v>1700005</v>
      </c>
      <c r="C5543" s="5" t="s">
        <v>192</v>
      </c>
      <c r="D5543" s="3">
        <v>1765</v>
      </c>
    </row>
    <row r="5544" spans="1:4">
      <c r="A5544" s="4" t="s">
        <v>391</v>
      </c>
      <c r="B5544" s="5">
        <v>1700006</v>
      </c>
      <c r="C5544" s="5" t="s">
        <v>273</v>
      </c>
      <c r="D5544" s="3">
        <v>7176</v>
      </c>
    </row>
    <row r="5545" spans="1:4">
      <c r="A5545" s="4" t="s">
        <v>391</v>
      </c>
      <c r="B5545" s="5">
        <v>1700007</v>
      </c>
      <c r="C5545" s="5" t="s">
        <v>274</v>
      </c>
      <c r="D5545" s="3">
        <v>0</v>
      </c>
    </row>
    <row r="5546" spans="1:4">
      <c r="A5546" s="4" t="s">
        <v>391</v>
      </c>
      <c r="B5546" s="5">
        <v>1700008</v>
      </c>
      <c r="C5546" s="5" t="s">
        <v>275</v>
      </c>
      <c r="D5546" s="3">
        <v>0</v>
      </c>
    </row>
    <row r="5547" spans="1:4">
      <c r="A5547" s="4" t="s">
        <v>391</v>
      </c>
      <c r="B5547" s="5">
        <v>1700009</v>
      </c>
      <c r="C5547" s="5" t="s">
        <v>276</v>
      </c>
      <c r="D5547" s="3">
        <v>0</v>
      </c>
    </row>
    <row r="5548" spans="1:4">
      <c r="A5548" s="4" t="s">
        <v>391</v>
      </c>
      <c r="B5548" s="5">
        <v>1700010</v>
      </c>
      <c r="C5548" s="5" t="s">
        <v>277</v>
      </c>
      <c r="D5548" s="3">
        <v>3990</v>
      </c>
    </row>
    <row r="5549" spans="1:4">
      <c r="A5549" s="4" t="s">
        <v>391</v>
      </c>
      <c r="B5549" s="5">
        <v>1700011</v>
      </c>
      <c r="C5549" s="5" t="s">
        <v>278</v>
      </c>
      <c r="D5549" s="3">
        <v>13235</v>
      </c>
    </row>
    <row r="5550" spans="1:4">
      <c r="A5550" s="4" t="s">
        <v>391</v>
      </c>
      <c r="B5550" s="5">
        <v>1700012</v>
      </c>
      <c r="C5550" s="5" t="s">
        <v>279</v>
      </c>
      <c r="D5550" s="3">
        <v>15980</v>
      </c>
    </row>
    <row r="5551" spans="1:4">
      <c r="A5551" s="4" t="s">
        <v>391</v>
      </c>
      <c r="B5551" s="5">
        <v>1700013</v>
      </c>
      <c r="C5551" s="5" t="s">
        <v>280</v>
      </c>
      <c r="D5551" s="3">
        <v>18137</v>
      </c>
    </row>
    <row r="5552" spans="1:4">
      <c r="A5552" s="4" t="s">
        <v>391</v>
      </c>
      <c r="B5552" s="5">
        <v>1700014</v>
      </c>
      <c r="C5552" s="5" t="s">
        <v>194</v>
      </c>
      <c r="D5552" s="3">
        <v>2300</v>
      </c>
    </row>
    <row r="5553" spans="1:4">
      <c r="A5553" s="4" t="s">
        <v>391</v>
      </c>
      <c r="B5553" s="5">
        <v>1700015</v>
      </c>
      <c r="C5553" s="5" t="s">
        <v>281</v>
      </c>
      <c r="D5553" s="3">
        <v>5160</v>
      </c>
    </row>
    <row r="5554" spans="1:4">
      <c r="A5554" s="4" t="s">
        <v>391</v>
      </c>
      <c r="B5554" s="5">
        <v>1700016</v>
      </c>
      <c r="C5554" s="5" t="s">
        <v>282</v>
      </c>
      <c r="D5554" s="3">
        <v>3864</v>
      </c>
    </row>
    <row r="5555" spans="1:4">
      <c r="A5555" s="4" t="s">
        <v>391</v>
      </c>
      <c r="B5555" s="5">
        <v>1700017</v>
      </c>
      <c r="C5555" s="5" t="s">
        <v>283</v>
      </c>
      <c r="D5555" s="3">
        <v>10784</v>
      </c>
    </row>
    <row r="5556" spans="1:4">
      <c r="A5556" s="4" t="s">
        <v>391</v>
      </c>
      <c r="B5556" s="5">
        <v>1700018</v>
      </c>
      <c r="C5556" s="5" t="s">
        <v>284</v>
      </c>
      <c r="D5556" s="3">
        <v>4031</v>
      </c>
    </row>
    <row r="5557" spans="1:4">
      <c r="A5557" s="4" t="s">
        <v>391</v>
      </c>
      <c r="B5557" s="5">
        <v>1700019</v>
      </c>
      <c r="C5557" s="5" t="s">
        <v>285</v>
      </c>
      <c r="D5557" s="3">
        <v>0</v>
      </c>
    </row>
    <row r="5558" spans="1:4">
      <c r="A5558" s="4" t="s">
        <v>391</v>
      </c>
      <c r="B5558" s="5">
        <v>1700020</v>
      </c>
      <c r="C5558" s="5" t="s">
        <v>286</v>
      </c>
      <c r="D5558" s="3">
        <v>49412</v>
      </c>
    </row>
    <row r="5559" spans="1:4">
      <c r="A5559" s="4" t="s">
        <v>391</v>
      </c>
      <c r="B5559" s="5">
        <v>1700021</v>
      </c>
      <c r="C5559" s="5" t="s">
        <v>287</v>
      </c>
      <c r="D5559" s="3">
        <v>86137</v>
      </c>
    </row>
    <row r="5560" spans="1:4">
      <c r="A5560" s="4" t="s">
        <v>391</v>
      </c>
      <c r="B5560" s="5">
        <v>1700022</v>
      </c>
      <c r="C5560" s="5" t="s">
        <v>288</v>
      </c>
      <c r="D5560" s="3">
        <v>33706</v>
      </c>
    </row>
    <row r="5561" spans="1:4">
      <c r="A5561" s="4" t="s">
        <v>391</v>
      </c>
      <c r="B5561" s="5">
        <v>1700023</v>
      </c>
      <c r="C5561" s="5" t="s">
        <v>289</v>
      </c>
      <c r="D5561" s="3">
        <v>8581</v>
      </c>
    </row>
    <row r="5562" spans="1:4">
      <c r="A5562" s="4" t="s">
        <v>391</v>
      </c>
      <c r="B5562" s="5">
        <v>1700024</v>
      </c>
      <c r="C5562" s="5" t="s">
        <v>290</v>
      </c>
      <c r="D5562" s="3">
        <v>0</v>
      </c>
    </row>
    <row r="5563" spans="1:4">
      <c r="A5563" s="4" t="s">
        <v>391</v>
      </c>
      <c r="B5563" s="5">
        <v>1700025</v>
      </c>
      <c r="C5563" s="5" t="s">
        <v>291</v>
      </c>
      <c r="D5563" s="3">
        <v>1961</v>
      </c>
    </row>
    <row r="5564" spans="1:4">
      <c r="A5564" s="4" t="s">
        <v>391</v>
      </c>
      <c r="B5564" s="5">
        <v>1700026</v>
      </c>
      <c r="C5564" s="5" t="s">
        <v>292</v>
      </c>
      <c r="D5564" s="3">
        <v>4314</v>
      </c>
    </row>
    <row r="5565" spans="1:4">
      <c r="A5565" s="4" t="s">
        <v>391</v>
      </c>
      <c r="B5565" s="5">
        <v>1700027</v>
      </c>
      <c r="C5565" s="5" t="s">
        <v>293</v>
      </c>
      <c r="D5565" s="3">
        <v>4902</v>
      </c>
    </row>
    <row r="5566" spans="1:4">
      <c r="A5566" s="4" t="s">
        <v>391</v>
      </c>
      <c r="B5566" s="5">
        <v>1700028</v>
      </c>
      <c r="C5566" s="5" t="s">
        <v>294</v>
      </c>
      <c r="D5566" s="3">
        <v>9500</v>
      </c>
    </row>
    <row r="5567" spans="1:4">
      <c r="A5567" s="4" t="s">
        <v>391</v>
      </c>
      <c r="B5567" s="5">
        <v>1700029</v>
      </c>
      <c r="C5567" s="5" t="s">
        <v>295</v>
      </c>
      <c r="D5567" s="3">
        <v>10670</v>
      </c>
    </row>
    <row r="5568" spans="1:4">
      <c r="A5568" s="4" t="s">
        <v>391</v>
      </c>
      <c r="B5568" s="5">
        <v>1700030</v>
      </c>
      <c r="C5568" s="5" t="s">
        <v>296</v>
      </c>
      <c r="D5568" s="3">
        <v>12720</v>
      </c>
    </row>
    <row r="5569" spans="1:4">
      <c r="A5569" s="4" t="s">
        <v>391</v>
      </c>
      <c r="B5569" s="5">
        <v>1700031</v>
      </c>
      <c r="C5569" s="5" t="s">
        <v>196</v>
      </c>
      <c r="D5569" s="3">
        <v>2069</v>
      </c>
    </row>
    <row r="5570" spans="1:4">
      <c r="A5570" s="4" t="s">
        <v>391</v>
      </c>
      <c r="B5570" s="5">
        <v>1700032</v>
      </c>
      <c r="C5570" s="5" t="s">
        <v>297</v>
      </c>
      <c r="D5570" s="3">
        <v>0</v>
      </c>
    </row>
    <row r="5571" spans="1:4">
      <c r="A5571" s="4" t="s">
        <v>391</v>
      </c>
      <c r="B5571" s="5">
        <v>1700033</v>
      </c>
      <c r="C5571" s="5" t="s">
        <v>298</v>
      </c>
      <c r="D5571" s="3">
        <v>0</v>
      </c>
    </row>
    <row r="5572" spans="1:4">
      <c r="A5572" s="4" t="s">
        <v>391</v>
      </c>
      <c r="B5572" s="5">
        <v>1700034</v>
      </c>
      <c r="C5572" s="5" t="s">
        <v>299</v>
      </c>
      <c r="D5572" s="3">
        <v>17475</v>
      </c>
    </row>
    <row r="5573" spans="1:4">
      <c r="A5573" s="4" t="s">
        <v>391</v>
      </c>
      <c r="B5573" s="5">
        <v>1700035</v>
      </c>
      <c r="C5573" s="5" t="s">
        <v>300</v>
      </c>
      <c r="D5573" s="3">
        <v>64367</v>
      </c>
    </row>
    <row r="5574" spans="1:4">
      <c r="A5574" s="4" t="s">
        <v>391</v>
      </c>
      <c r="B5574" s="5">
        <v>1700036</v>
      </c>
      <c r="C5574" s="5" t="s">
        <v>301</v>
      </c>
      <c r="D5574" s="3">
        <v>5200</v>
      </c>
    </row>
    <row r="5575" spans="1:4">
      <c r="A5575" s="4" t="s">
        <v>391</v>
      </c>
      <c r="B5575" s="5">
        <v>1700037</v>
      </c>
      <c r="C5575" s="5" t="s">
        <v>302</v>
      </c>
      <c r="D5575" s="3">
        <v>7533</v>
      </c>
    </row>
    <row r="5576" spans="1:4">
      <c r="A5576" s="4" t="s">
        <v>391</v>
      </c>
      <c r="B5576" s="5">
        <v>1700038</v>
      </c>
      <c r="C5576" s="5" t="s">
        <v>303</v>
      </c>
      <c r="D5576" s="3">
        <v>2108</v>
      </c>
    </row>
    <row r="5577" spans="1:4">
      <c r="A5577" s="4" t="s">
        <v>391</v>
      </c>
      <c r="B5577" s="5">
        <v>1700039</v>
      </c>
      <c r="C5577" s="5" t="s">
        <v>304</v>
      </c>
      <c r="D5577" s="3">
        <v>3480</v>
      </c>
    </row>
    <row r="5578" spans="1:4">
      <c r="A5578" s="4" t="s">
        <v>391</v>
      </c>
      <c r="B5578" s="5">
        <v>1700040</v>
      </c>
      <c r="C5578" s="5" t="s">
        <v>305</v>
      </c>
      <c r="D5578" s="3">
        <v>1967</v>
      </c>
    </row>
    <row r="5579" spans="1:4">
      <c r="A5579" s="4" t="s">
        <v>391</v>
      </c>
      <c r="B5579" s="5">
        <v>1700041</v>
      </c>
      <c r="C5579" s="5" t="s">
        <v>306</v>
      </c>
      <c r="D5579" s="3">
        <v>3000</v>
      </c>
    </row>
    <row r="5580" spans="1:4">
      <c r="A5580" s="4" t="s">
        <v>391</v>
      </c>
      <c r="B5580" s="5">
        <v>1700042</v>
      </c>
      <c r="C5580" s="5" t="s">
        <v>307</v>
      </c>
      <c r="D5580" s="3">
        <v>3163</v>
      </c>
    </row>
    <row r="5581" spans="1:4">
      <c r="A5581" s="4" t="s">
        <v>391</v>
      </c>
      <c r="B5581" s="5">
        <v>1700043</v>
      </c>
      <c r="C5581" s="5" t="s">
        <v>308</v>
      </c>
      <c r="D5581" s="3">
        <v>5877</v>
      </c>
    </row>
    <row r="5582" spans="1:4">
      <c r="A5582" s="4" t="s">
        <v>391</v>
      </c>
      <c r="B5582" s="5">
        <v>1700044</v>
      </c>
      <c r="C5582" s="5" t="s">
        <v>309</v>
      </c>
      <c r="D5582" s="3">
        <v>7000</v>
      </c>
    </row>
    <row r="5583" spans="1:4">
      <c r="A5583" s="4" t="s">
        <v>391</v>
      </c>
      <c r="B5583" s="5">
        <v>1700045</v>
      </c>
      <c r="C5583" s="5" t="s">
        <v>310</v>
      </c>
      <c r="D5583" s="3">
        <v>3696</v>
      </c>
    </row>
    <row r="5584" spans="1:4">
      <c r="A5584" s="4" t="s">
        <v>391</v>
      </c>
      <c r="B5584" s="5">
        <v>1700046</v>
      </c>
      <c r="C5584" s="5" t="s">
        <v>311</v>
      </c>
      <c r="D5584" s="3">
        <v>6863</v>
      </c>
    </row>
    <row r="5585" spans="1:4">
      <c r="A5585" s="4" t="s">
        <v>391</v>
      </c>
      <c r="B5585" s="5">
        <v>1700047</v>
      </c>
      <c r="C5585" s="5" t="s">
        <v>312</v>
      </c>
      <c r="D5585" s="3">
        <v>22350</v>
      </c>
    </row>
    <row r="5586" spans="1:4">
      <c r="A5586" s="4" t="s">
        <v>391</v>
      </c>
      <c r="B5586" s="5">
        <v>1700048</v>
      </c>
      <c r="C5586" s="5" t="s">
        <v>313</v>
      </c>
      <c r="D5586" s="3">
        <v>13330</v>
      </c>
    </row>
    <row r="5587" spans="1:4">
      <c r="A5587" s="4" t="s">
        <v>391</v>
      </c>
      <c r="B5587" s="5">
        <v>1700049</v>
      </c>
      <c r="C5587" s="5" t="s">
        <v>314</v>
      </c>
      <c r="D5587" s="3">
        <v>5785</v>
      </c>
    </row>
    <row r="5588" spans="1:4">
      <c r="A5588" s="4" t="s">
        <v>391</v>
      </c>
      <c r="B5588" s="5">
        <v>1700050</v>
      </c>
      <c r="C5588" s="5" t="s">
        <v>315</v>
      </c>
      <c r="D5588" s="3">
        <v>39000</v>
      </c>
    </row>
    <row r="5589" spans="1:4">
      <c r="A5589" s="4" t="s">
        <v>391</v>
      </c>
      <c r="B5589" s="5">
        <v>1700051</v>
      </c>
      <c r="C5589" s="5" t="s">
        <v>316</v>
      </c>
      <c r="D5589" s="3">
        <v>11500</v>
      </c>
    </row>
    <row r="5590" spans="1:4">
      <c r="A5590" s="4" t="s">
        <v>391</v>
      </c>
      <c r="B5590" s="5">
        <v>1700052</v>
      </c>
      <c r="C5590" s="5" t="s">
        <v>317</v>
      </c>
      <c r="D5590" s="3">
        <v>3444</v>
      </c>
    </row>
    <row r="5591" spans="1:4">
      <c r="A5591" s="4" t="s">
        <v>391</v>
      </c>
      <c r="B5591" s="5">
        <v>1700053</v>
      </c>
      <c r="C5591" s="5" t="s">
        <v>318</v>
      </c>
      <c r="D5591" s="3">
        <v>15530</v>
      </c>
    </row>
    <row r="5592" spans="1:4">
      <c r="A5592" s="4" t="s">
        <v>391</v>
      </c>
      <c r="B5592" s="5">
        <v>1700054</v>
      </c>
      <c r="C5592" s="5" t="s">
        <v>319</v>
      </c>
      <c r="D5592" s="3">
        <v>11670</v>
      </c>
    </row>
    <row r="5593" spans="1:4">
      <c r="A5593" s="4" t="s">
        <v>391</v>
      </c>
      <c r="B5593" s="5">
        <v>1700055</v>
      </c>
      <c r="C5593" s="5" t="s">
        <v>320</v>
      </c>
      <c r="D5593" s="3">
        <v>11940</v>
      </c>
    </row>
    <row r="5594" spans="1:4">
      <c r="A5594" s="4" t="s">
        <v>391</v>
      </c>
      <c r="B5594" s="5">
        <v>1700056</v>
      </c>
      <c r="C5594" s="5" t="s">
        <v>321</v>
      </c>
      <c r="D5594" s="3">
        <v>6226</v>
      </c>
    </row>
    <row r="5595" spans="1:4">
      <c r="A5595" s="4" t="s">
        <v>391</v>
      </c>
      <c r="B5595" s="5">
        <v>1700057</v>
      </c>
      <c r="C5595" s="5" t="s">
        <v>322</v>
      </c>
      <c r="D5595" s="3">
        <v>2098</v>
      </c>
    </row>
    <row r="5596" spans="1:4">
      <c r="A5596" s="4" t="s">
        <v>391</v>
      </c>
      <c r="B5596" s="5">
        <v>1700058</v>
      </c>
      <c r="C5596" s="5" t="s">
        <v>323</v>
      </c>
      <c r="D5596" s="3">
        <v>5800</v>
      </c>
    </row>
    <row r="5597" spans="1:4">
      <c r="A5597" s="4" t="s">
        <v>391</v>
      </c>
      <c r="B5597" s="5">
        <v>1700059</v>
      </c>
      <c r="C5597" s="5" t="s">
        <v>324</v>
      </c>
      <c r="D5597" s="3">
        <v>27667</v>
      </c>
    </row>
    <row r="5598" spans="1:4">
      <c r="A5598" s="4" t="s">
        <v>391</v>
      </c>
      <c r="B5598" s="5">
        <v>1700060</v>
      </c>
      <c r="C5598" s="5" t="s">
        <v>325</v>
      </c>
      <c r="D5598" s="3">
        <v>5471</v>
      </c>
    </row>
    <row r="5599" spans="1:4">
      <c r="A5599" s="4" t="s">
        <v>391</v>
      </c>
      <c r="B5599" s="5">
        <v>1700061</v>
      </c>
      <c r="C5599" s="5" t="s">
        <v>326</v>
      </c>
      <c r="D5599" s="3">
        <v>8920</v>
      </c>
    </row>
    <row r="5600" spans="1:4">
      <c r="A5600" s="4" t="s">
        <v>391</v>
      </c>
      <c r="B5600" s="5">
        <v>1700062</v>
      </c>
      <c r="C5600" s="5" t="s">
        <v>327</v>
      </c>
      <c r="D5600" s="3">
        <v>10520</v>
      </c>
    </row>
    <row r="5601" spans="1:4">
      <c r="A5601" s="4" t="s">
        <v>391</v>
      </c>
      <c r="B5601" s="5">
        <v>1700063</v>
      </c>
      <c r="C5601" s="5" t="s">
        <v>328</v>
      </c>
      <c r="D5601" s="3">
        <v>10550</v>
      </c>
    </row>
    <row r="5602" spans="1:4">
      <c r="A5602" s="4" t="s">
        <v>391</v>
      </c>
      <c r="B5602" s="5">
        <v>1700064</v>
      </c>
      <c r="C5602" s="5" t="s">
        <v>329</v>
      </c>
      <c r="D5602" s="3">
        <v>11060</v>
      </c>
    </row>
    <row r="5603" spans="1:4">
      <c r="A5603" s="4" t="s">
        <v>391</v>
      </c>
      <c r="B5603" s="5">
        <v>1700065</v>
      </c>
      <c r="C5603" s="5" t="s">
        <v>330</v>
      </c>
      <c r="D5603" s="3">
        <v>12760</v>
      </c>
    </row>
    <row r="5604" spans="1:4">
      <c r="A5604" s="4" t="s">
        <v>391</v>
      </c>
      <c r="B5604" s="5">
        <v>1700066</v>
      </c>
      <c r="C5604" s="5" t="s">
        <v>331</v>
      </c>
      <c r="D5604" s="3">
        <v>13200</v>
      </c>
    </row>
    <row r="5605" spans="1:4">
      <c r="A5605" s="4" t="s">
        <v>391</v>
      </c>
      <c r="B5605" s="5">
        <v>1700067</v>
      </c>
      <c r="C5605" s="5" t="s">
        <v>332</v>
      </c>
      <c r="D5605" s="3">
        <v>10720</v>
      </c>
    </row>
    <row r="5606" spans="1:4">
      <c r="A5606" s="4" t="s">
        <v>391</v>
      </c>
      <c r="B5606" s="5">
        <v>1700068</v>
      </c>
      <c r="C5606" s="5" t="s">
        <v>333</v>
      </c>
      <c r="D5606" s="3">
        <v>12720</v>
      </c>
    </row>
    <row r="5607" spans="1:4">
      <c r="A5607" s="4" t="s">
        <v>391</v>
      </c>
      <c r="B5607" s="5">
        <v>1700069</v>
      </c>
      <c r="C5607" s="5" t="s">
        <v>334</v>
      </c>
      <c r="D5607" s="3">
        <v>14000</v>
      </c>
    </row>
    <row r="5608" spans="1:4">
      <c r="A5608" s="4" t="s">
        <v>391</v>
      </c>
      <c r="B5608" s="5">
        <v>1700070</v>
      </c>
      <c r="C5608" s="5" t="s">
        <v>335</v>
      </c>
      <c r="D5608" s="3">
        <v>1618</v>
      </c>
    </row>
    <row r="5609" spans="1:4">
      <c r="A5609" s="4" t="s">
        <v>391</v>
      </c>
      <c r="B5609" s="5">
        <v>1700071</v>
      </c>
      <c r="C5609" s="5" t="s">
        <v>336</v>
      </c>
      <c r="D5609" s="3">
        <v>12190</v>
      </c>
    </row>
    <row r="5610" spans="1:4">
      <c r="A5610" s="4" t="s">
        <v>391</v>
      </c>
      <c r="B5610" s="5">
        <v>1700072</v>
      </c>
      <c r="C5610" s="5" t="s">
        <v>337</v>
      </c>
      <c r="D5610" s="3">
        <v>10180</v>
      </c>
    </row>
    <row r="5611" spans="1:4">
      <c r="A5611" s="4" t="s">
        <v>391</v>
      </c>
      <c r="B5611" s="5">
        <v>1700073</v>
      </c>
      <c r="C5611" s="5" t="s">
        <v>338</v>
      </c>
      <c r="D5611" s="3">
        <v>9020</v>
      </c>
    </row>
    <row r="5612" spans="1:4">
      <c r="A5612" s="4" t="s">
        <v>391</v>
      </c>
      <c r="B5612" s="5">
        <v>1700076</v>
      </c>
      <c r="C5612" s="5" t="s">
        <v>339</v>
      </c>
      <c r="D5612" s="3">
        <v>4108</v>
      </c>
    </row>
    <row r="5613" spans="1:4">
      <c r="A5613" s="4" t="s">
        <v>391</v>
      </c>
      <c r="B5613" s="5">
        <v>1700077</v>
      </c>
      <c r="C5613" s="5" t="s">
        <v>340</v>
      </c>
      <c r="D5613" s="3">
        <v>3843</v>
      </c>
    </row>
    <row r="5614" spans="1:4">
      <c r="A5614" s="4" t="s">
        <v>391</v>
      </c>
      <c r="B5614" s="5">
        <v>1700078</v>
      </c>
      <c r="C5614" s="5" t="s">
        <v>341</v>
      </c>
      <c r="D5614" s="3">
        <v>4716</v>
      </c>
    </row>
    <row r="5615" spans="1:4">
      <c r="A5615" s="4" t="s">
        <v>391</v>
      </c>
      <c r="B5615" s="5">
        <v>1700080</v>
      </c>
      <c r="C5615" s="5" t="s">
        <v>342</v>
      </c>
      <c r="D5615" s="3">
        <v>3922</v>
      </c>
    </row>
    <row r="5616" spans="1:4">
      <c r="A5616" s="4" t="s">
        <v>391</v>
      </c>
      <c r="B5616" s="5">
        <v>1700083</v>
      </c>
      <c r="C5616" s="5" t="s">
        <v>343</v>
      </c>
      <c r="D5616" s="3">
        <v>8333</v>
      </c>
    </row>
    <row r="5617" spans="1:4">
      <c r="A5617" s="4" t="s">
        <v>391</v>
      </c>
      <c r="B5617" s="5">
        <v>1700084</v>
      </c>
      <c r="C5617" s="5" t="s">
        <v>344</v>
      </c>
      <c r="D5617" s="3">
        <v>12010</v>
      </c>
    </row>
    <row r="5618" spans="1:4">
      <c r="A5618" s="4" t="s">
        <v>391</v>
      </c>
      <c r="B5618" s="5">
        <v>1700085</v>
      </c>
      <c r="C5618" s="5" t="s">
        <v>345</v>
      </c>
      <c r="D5618" s="3">
        <v>7860</v>
      </c>
    </row>
    <row r="5619" spans="1:4">
      <c r="A5619" s="4" t="s">
        <v>391</v>
      </c>
      <c r="B5619" s="5">
        <v>1700086</v>
      </c>
      <c r="C5619" s="5" t="s">
        <v>346</v>
      </c>
      <c r="D5619" s="3">
        <v>1814</v>
      </c>
    </row>
    <row r="5620" spans="1:4">
      <c r="A5620" s="4" t="s">
        <v>391</v>
      </c>
      <c r="B5620" s="5">
        <v>1700087</v>
      </c>
      <c r="C5620" s="5" t="s">
        <v>347</v>
      </c>
      <c r="D5620" s="3">
        <v>4890</v>
      </c>
    </row>
    <row r="5621" spans="1:4">
      <c r="A5621" s="4" t="s">
        <v>391</v>
      </c>
      <c r="B5621" s="5">
        <v>1700088</v>
      </c>
      <c r="C5621" s="5" t="s">
        <v>348</v>
      </c>
      <c r="D5621" s="3">
        <v>15500</v>
      </c>
    </row>
    <row r="5622" spans="1:4">
      <c r="A5622" s="4" t="s">
        <v>391</v>
      </c>
      <c r="B5622" s="5">
        <v>1700089</v>
      </c>
      <c r="C5622" s="5" t="s">
        <v>349</v>
      </c>
      <c r="D5622" s="3">
        <v>18500</v>
      </c>
    </row>
    <row r="5623" spans="1:4">
      <c r="A5623" s="4" t="s">
        <v>391</v>
      </c>
      <c r="B5623" s="5">
        <v>1700090</v>
      </c>
      <c r="C5623" s="5" t="s">
        <v>350</v>
      </c>
      <c r="D5623" s="3">
        <v>25490</v>
      </c>
    </row>
    <row r="5624" spans="1:4">
      <c r="A5624" s="4" t="s">
        <v>391</v>
      </c>
      <c r="B5624" s="5">
        <v>1700091</v>
      </c>
      <c r="C5624" s="5" t="s">
        <v>351</v>
      </c>
      <c r="D5624" s="3">
        <v>18353</v>
      </c>
    </row>
    <row r="5625" spans="1:4">
      <c r="A5625" s="4" t="s">
        <v>391</v>
      </c>
      <c r="B5625" s="5">
        <v>1700092</v>
      </c>
      <c r="C5625" s="5" t="s">
        <v>352</v>
      </c>
      <c r="D5625" s="3">
        <v>1784</v>
      </c>
    </row>
    <row r="5626" spans="1:4">
      <c r="A5626" s="4" t="s">
        <v>391</v>
      </c>
      <c r="B5626" s="5">
        <v>1700093</v>
      </c>
      <c r="C5626" s="5" t="s">
        <v>353</v>
      </c>
      <c r="D5626" s="3">
        <v>11180</v>
      </c>
    </row>
    <row r="5627" spans="1:4">
      <c r="A5627" s="4" t="s">
        <v>391</v>
      </c>
      <c r="B5627" s="5">
        <v>1700094</v>
      </c>
      <c r="C5627" s="5" t="s">
        <v>354</v>
      </c>
      <c r="D5627" s="3">
        <v>13529</v>
      </c>
    </row>
    <row r="5628" spans="1:4">
      <c r="A5628" s="4" t="s">
        <v>391</v>
      </c>
      <c r="B5628" s="5">
        <v>1700095</v>
      </c>
      <c r="C5628" s="5" t="s">
        <v>355</v>
      </c>
      <c r="D5628" s="3">
        <v>4500</v>
      </c>
    </row>
    <row r="5629" spans="1:4">
      <c r="A5629" s="4" t="s">
        <v>391</v>
      </c>
      <c r="B5629" s="5">
        <v>1700096</v>
      </c>
      <c r="C5629" s="5" t="s">
        <v>356</v>
      </c>
      <c r="D5629" s="3">
        <v>24510</v>
      </c>
    </row>
    <row r="5630" spans="1:4">
      <c r="A5630" s="4" t="s">
        <v>391</v>
      </c>
      <c r="B5630" s="5">
        <v>1700097</v>
      </c>
      <c r="C5630" s="5" t="s">
        <v>357</v>
      </c>
      <c r="D5630" s="3">
        <v>19608</v>
      </c>
    </row>
    <row r="5631" spans="1:4">
      <c r="A5631" s="4" t="s">
        <v>391</v>
      </c>
      <c r="B5631" s="5">
        <v>1700098</v>
      </c>
      <c r="C5631" s="5" t="s">
        <v>358</v>
      </c>
      <c r="D5631" s="3">
        <v>19608</v>
      </c>
    </row>
    <row r="5632" spans="1:4">
      <c r="A5632" s="4" t="s">
        <v>391</v>
      </c>
      <c r="B5632" s="5">
        <v>1700099</v>
      </c>
      <c r="C5632" s="5" t="s">
        <v>359</v>
      </c>
      <c r="D5632" s="3">
        <v>9740</v>
      </c>
    </row>
    <row r="5633" spans="1:4">
      <c r="A5633" s="4" t="s">
        <v>391</v>
      </c>
      <c r="B5633" s="5">
        <v>1700100</v>
      </c>
      <c r="C5633" s="5" t="s">
        <v>360</v>
      </c>
      <c r="D5633" s="3">
        <v>3333</v>
      </c>
    </row>
    <row r="5634" spans="1:4">
      <c r="A5634" s="4" t="s">
        <v>391</v>
      </c>
      <c r="B5634" s="5">
        <v>1700101</v>
      </c>
      <c r="C5634" s="5" t="s">
        <v>361</v>
      </c>
      <c r="D5634" s="3">
        <v>7647</v>
      </c>
    </row>
    <row r="5635" spans="1:4">
      <c r="A5635" s="4" t="s">
        <v>391</v>
      </c>
      <c r="B5635" s="5">
        <v>1700102</v>
      </c>
      <c r="C5635" s="5" t="s">
        <v>362</v>
      </c>
      <c r="D5635" s="3">
        <v>40196</v>
      </c>
    </row>
    <row r="5636" spans="1:4">
      <c r="A5636" s="4" t="s">
        <v>391</v>
      </c>
      <c r="B5636" s="5">
        <v>1700103</v>
      </c>
      <c r="C5636" s="5" t="s">
        <v>363</v>
      </c>
      <c r="D5636" s="3">
        <v>9000</v>
      </c>
    </row>
    <row r="5637" spans="1:4">
      <c r="A5637" s="4" t="s">
        <v>391</v>
      </c>
      <c r="B5637" s="5">
        <v>1700104</v>
      </c>
      <c r="C5637" s="5" t="s">
        <v>364</v>
      </c>
      <c r="D5637" s="3">
        <v>25000</v>
      </c>
    </row>
    <row r="5638" spans="1:4">
      <c r="A5638" s="4" t="s">
        <v>391</v>
      </c>
      <c r="B5638" s="5">
        <v>1700105</v>
      </c>
      <c r="C5638" s="5" t="s">
        <v>365</v>
      </c>
      <c r="D5638" s="3">
        <v>11275</v>
      </c>
    </row>
    <row r="5639" spans="1:4">
      <c r="A5639" s="4" t="s">
        <v>391</v>
      </c>
      <c r="B5639" s="5">
        <v>1700106</v>
      </c>
      <c r="C5639" s="5" t="s">
        <v>366</v>
      </c>
      <c r="D5639" s="3">
        <v>12255</v>
      </c>
    </row>
    <row r="5640" spans="1:4">
      <c r="A5640" s="4" t="s">
        <v>391</v>
      </c>
      <c r="B5640" s="5">
        <v>1700107</v>
      </c>
      <c r="C5640" s="5" t="s">
        <v>367</v>
      </c>
      <c r="D5640" s="3">
        <v>9020</v>
      </c>
    </row>
    <row r="5641" spans="1:4">
      <c r="A5641" s="4" t="s">
        <v>391</v>
      </c>
      <c r="B5641" s="5">
        <v>1800002</v>
      </c>
      <c r="C5641" s="5" t="s">
        <v>368</v>
      </c>
      <c r="D5641" s="3">
        <v>9520</v>
      </c>
    </row>
    <row r="5642" spans="1:4">
      <c r="A5642" s="4" t="s">
        <v>391</v>
      </c>
      <c r="B5642" s="5">
        <v>1800004</v>
      </c>
      <c r="C5642" s="5" t="s">
        <v>369</v>
      </c>
      <c r="D5642" s="3">
        <v>0</v>
      </c>
    </row>
    <row r="5643" spans="1:4">
      <c r="A5643" s="4" t="s">
        <v>391</v>
      </c>
      <c r="B5643" s="5">
        <v>1800005</v>
      </c>
      <c r="C5643" s="5" t="s">
        <v>370</v>
      </c>
      <c r="D5643" s="3">
        <v>0</v>
      </c>
    </row>
    <row r="5644" spans="1:4">
      <c r="A5644" s="4" t="s">
        <v>391</v>
      </c>
      <c r="B5644" s="5">
        <v>1800006</v>
      </c>
      <c r="C5644" s="5" t="s">
        <v>371</v>
      </c>
      <c r="D5644" s="3">
        <v>0</v>
      </c>
    </row>
    <row r="5645" spans="1:4">
      <c r="A5645" s="4" t="s">
        <v>391</v>
      </c>
      <c r="B5645" s="5">
        <v>1800007</v>
      </c>
      <c r="C5645" s="5" t="s">
        <v>372</v>
      </c>
      <c r="D5645" s="3">
        <v>10000</v>
      </c>
    </row>
    <row r="5646" spans="1:4">
      <c r="A5646" s="4" t="s">
        <v>391</v>
      </c>
      <c r="B5646" s="5">
        <v>1800008</v>
      </c>
      <c r="C5646" s="5" t="s">
        <v>373</v>
      </c>
      <c r="D5646" s="3">
        <v>10230</v>
      </c>
    </row>
    <row r="5647" spans="1:4">
      <c r="A5647" s="4" t="s">
        <v>391</v>
      </c>
      <c r="B5647" s="5">
        <v>1800009</v>
      </c>
      <c r="C5647" s="5" t="s">
        <v>374</v>
      </c>
      <c r="D5647" s="3">
        <v>11800</v>
      </c>
    </row>
    <row r="5648" spans="1:4">
      <c r="A5648" s="4" t="s">
        <v>391</v>
      </c>
      <c r="B5648" s="5">
        <v>1800010</v>
      </c>
      <c r="C5648" s="5" t="s">
        <v>375</v>
      </c>
      <c r="D5648" s="3">
        <v>6863</v>
      </c>
    </row>
    <row r="5649" spans="1:4">
      <c r="A5649" s="4" t="s">
        <v>391</v>
      </c>
      <c r="B5649" s="5">
        <v>1800011</v>
      </c>
      <c r="C5649" s="5" t="s">
        <v>376</v>
      </c>
      <c r="D5649" s="3">
        <v>13235</v>
      </c>
    </row>
    <row r="5650" spans="1:4">
      <c r="A5650" s="4" t="s">
        <v>391</v>
      </c>
      <c r="B5650" s="5">
        <v>1800012</v>
      </c>
      <c r="C5650" s="5" t="s">
        <v>377</v>
      </c>
      <c r="D5650" s="3">
        <v>8235</v>
      </c>
    </row>
    <row r="5651" spans="1:4">
      <c r="A5651" s="4" t="s">
        <v>391</v>
      </c>
      <c r="B5651" s="5">
        <v>1800013</v>
      </c>
      <c r="C5651" s="5" t="s">
        <v>378</v>
      </c>
      <c r="D5651" s="3">
        <v>49100</v>
      </c>
    </row>
    <row r="5652" spans="1:4">
      <c r="A5652" s="4" t="s">
        <v>391</v>
      </c>
      <c r="B5652" s="5">
        <v>1800014</v>
      </c>
      <c r="C5652" s="5" t="s">
        <v>379</v>
      </c>
      <c r="D5652" s="3">
        <v>70000</v>
      </c>
    </row>
    <row r="5653" spans="1:4">
      <c r="A5653" s="4" t="s">
        <v>391</v>
      </c>
      <c r="B5653" s="5">
        <v>1800015</v>
      </c>
      <c r="C5653" s="5" t="s">
        <v>380</v>
      </c>
      <c r="D5653" s="3">
        <v>66700</v>
      </c>
    </row>
    <row r="5654" spans="1:4">
      <c r="A5654" s="4" t="s">
        <v>391</v>
      </c>
      <c r="B5654" s="5">
        <v>1900013</v>
      </c>
      <c r="C5654" s="5" t="s">
        <v>381</v>
      </c>
      <c r="D5654" s="3">
        <v>0</v>
      </c>
    </row>
    <row r="5655" spans="1:4">
      <c r="A5655" s="4" t="s">
        <v>391</v>
      </c>
      <c r="B5655" s="5">
        <v>1900018</v>
      </c>
      <c r="C5655" s="5" t="s">
        <v>382</v>
      </c>
      <c r="D5655" s="3">
        <v>0</v>
      </c>
    </row>
    <row r="5656" spans="1:4">
      <c r="A5656" s="4" t="s">
        <v>392</v>
      </c>
      <c r="B5656" s="5">
        <v>1010101</v>
      </c>
      <c r="C5656" s="5" t="s">
        <v>5</v>
      </c>
      <c r="D5656" s="3">
        <v>700</v>
      </c>
    </row>
    <row r="5657" spans="1:4">
      <c r="A5657" s="4" t="s">
        <v>392</v>
      </c>
      <c r="B5657" s="5">
        <v>1010111</v>
      </c>
      <c r="C5657" s="5" t="s">
        <v>9</v>
      </c>
      <c r="D5657" s="3">
        <v>22500</v>
      </c>
    </row>
    <row r="5658" spans="1:4">
      <c r="A5658" s="4" t="s">
        <v>392</v>
      </c>
      <c r="B5658" s="5">
        <v>1010201</v>
      </c>
      <c r="C5658" s="5" t="s">
        <v>11</v>
      </c>
      <c r="D5658" s="3">
        <v>1372</v>
      </c>
    </row>
    <row r="5659" spans="1:4">
      <c r="A5659" s="4" t="s">
        <v>392</v>
      </c>
      <c r="B5659" s="5">
        <v>1010300</v>
      </c>
      <c r="C5659" s="5" t="s">
        <v>213</v>
      </c>
      <c r="D5659" s="3">
        <v>9608</v>
      </c>
    </row>
    <row r="5660" spans="1:4">
      <c r="A5660" s="4" t="s">
        <v>392</v>
      </c>
      <c r="B5660" s="5">
        <v>1010301</v>
      </c>
      <c r="C5660" s="5" t="s">
        <v>214</v>
      </c>
      <c r="D5660" s="3">
        <v>6373</v>
      </c>
    </row>
    <row r="5661" spans="1:4">
      <c r="A5661" s="4" t="s">
        <v>392</v>
      </c>
      <c r="B5661" s="5">
        <v>1010302</v>
      </c>
      <c r="C5661" s="5" t="s">
        <v>16</v>
      </c>
      <c r="D5661" s="3">
        <v>4314</v>
      </c>
    </row>
    <row r="5662" spans="1:4">
      <c r="A5662" s="4" t="s">
        <v>392</v>
      </c>
      <c r="B5662" s="5">
        <v>1010303</v>
      </c>
      <c r="C5662" s="5" t="s">
        <v>18</v>
      </c>
      <c r="D5662" s="3">
        <v>882</v>
      </c>
    </row>
    <row r="5663" spans="1:4">
      <c r="A5663" s="4" t="s">
        <v>392</v>
      </c>
      <c r="B5663" s="5">
        <v>1010304</v>
      </c>
      <c r="C5663" s="5" t="s">
        <v>215</v>
      </c>
      <c r="D5663" s="3">
        <v>1422</v>
      </c>
    </row>
    <row r="5664" spans="1:4">
      <c r="A5664" s="4" t="s">
        <v>392</v>
      </c>
      <c r="B5664" s="5">
        <v>1010401</v>
      </c>
      <c r="C5664" s="5" t="s">
        <v>20</v>
      </c>
      <c r="D5664" s="3">
        <v>4412</v>
      </c>
    </row>
    <row r="5665" spans="1:4">
      <c r="A5665" s="4" t="s">
        <v>392</v>
      </c>
      <c r="B5665" s="5">
        <v>1010405</v>
      </c>
      <c r="C5665" s="5" t="s">
        <v>22</v>
      </c>
      <c r="D5665" s="3">
        <v>9975</v>
      </c>
    </row>
    <row r="5666" spans="1:4">
      <c r="A5666" s="4" t="s">
        <v>392</v>
      </c>
      <c r="B5666" s="5">
        <v>1010501</v>
      </c>
      <c r="C5666" s="5" t="s">
        <v>24</v>
      </c>
      <c r="D5666" s="3">
        <v>980</v>
      </c>
    </row>
    <row r="5667" spans="1:4">
      <c r="A5667" s="4" t="s">
        <v>392</v>
      </c>
      <c r="B5667" s="5">
        <v>1010502</v>
      </c>
      <c r="C5667" s="5" t="s">
        <v>216</v>
      </c>
      <c r="D5667" s="3">
        <v>0</v>
      </c>
    </row>
    <row r="5668" spans="1:4">
      <c r="A5668" s="4" t="s">
        <v>392</v>
      </c>
      <c r="B5668" s="5">
        <v>1010601</v>
      </c>
      <c r="C5668" s="5" t="s">
        <v>26</v>
      </c>
      <c r="D5668" s="3">
        <v>4902</v>
      </c>
    </row>
    <row r="5669" spans="1:4">
      <c r="A5669" s="4" t="s">
        <v>392</v>
      </c>
      <c r="B5669" s="5">
        <v>1010701</v>
      </c>
      <c r="C5669" s="5" t="s">
        <v>28</v>
      </c>
      <c r="D5669" s="3">
        <v>686</v>
      </c>
    </row>
    <row r="5670" spans="1:4">
      <c r="A5670" s="4" t="s">
        <v>392</v>
      </c>
      <c r="B5670" s="5">
        <v>1010801</v>
      </c>
      <c r="C5670" s="5" t="s">
        <v>30</v>
      </c>
      <c r="D5670" s="3">
        <v>11275</v>
      </c>
    </row>
    <row r="5671" spans="1:4">
      <c r="A5671" s="4" t="s">
        <v>392</v>
      </c>
      <c r="B5671" s="5">
        <v>1010901</v>
      </c>
      <c r="C5671" s="5" t="s">
        <v>32</v>
      </c>
      <c r="D5671" s="3">
        <v>4804</v>
      </c>
    </row>
    <row r="5672" spans="1:4">
      <c r="A5672" s="4" t="s">
        <v>392</v>
      </c>
      <c r="B5672" s="5">
        <v>1020101</v>
      </c>
      <c r="C5672" s="5" t="s">
        <v>34</v>
      </c>
      <c r="D5672" s="3">
        <v>11667</v>
      </c>
    </row>
    <row r="5673" spans="1:4">
      <c r="A5673" s="4" t="s">
        <v>392</v>
      </c>
      <c r="B5673" s="5">
        <v>1020201</v>
      </c>
      <c r="C5673" s="5" t="s">
        <v>217</v>
      </c>
      <c r="D5673" s="3">
        <v>5600</v>
      </c>
    </row>
    <row r="5674" spans="1:4">
      <c r="A5674" s="4" t="s">
        <v>392</v>
      </c>
      <c r="B5674" s="5">
        <v>1020301</v>
      </c>
      <c r="C5674" s="5" t="s">
        <v>38</v>
      </c>
      <c r="D5674" s="3">
        <v>2700</v>
      </c>
    </row>
    <row r="5675" spans="1:4">
      <c r="A5675" s="4" t="s">
        <v>392</v>
      </c>
      <c r="B5675" s="5">
        <v>1020401</v>
      </c>
      <c r="C5675" s="5" t="s">
        <v>40</v>
      </c>
      <c r="D5675" s="3">
        <v>3470</v>
      </c>
    </row>
    <row r="5676" spans="1:4">
      <c r="A5676" s="4" t="s">
        <v>392</v>
      </c>
      <c r="B5676" s="5">
        <v>1030102</v>
      </c>
      <c r="C5676" s="5" t="s">
        <v>218</v>
      </c>
      <c r="D5676" s="3">
        <v>0</v>
      </c>
    </row>
    <row r="5677" spans="1:4">
      <c r="A5677" s="4" t="s">
        <v>392</v>
      </c>
      <c r="B5677" s="5">
        <v>1030201</v>
      </c>
      <c r="C5677" s="5" t="s">
        <v>42</v>
      </c>
      <c r="D5677" s="3">
        <v>2843</v>
      </c>
    </row>
    <row r="5678" spans="1:4">
      <c r="A5678" s="4" t="s">
        <v>392</v>
      </c>
      <c r="B5678" s="5">
        <v>1030203</v>
      </c>
      <c r="C5678" s="5" t="s">
        <v>219</v>
      </c>
      <c r="D5678" s="3">
        <v>0</v>
      </c>
    </row>
    <row r="5679" spans="1:4">
      <c r="A5679" s="4" t="s">
        <v>392</v>
      </c>
      <c r="B5679" s="5">
        <v>1030204</v>
      </c>
      <c r="C5679" s="5" t="s">
        <v>220</v>
      </c>
      <c r="D5679" s="3">
        <v>0</v>
      </c>
    </row>
    <row r="5680" spans="1:4">
      <c r="A5680" s="4" t="s">
        <v>392</v>
      </c>
      <c r="B5680" s="5">
        <v>1030205</v>
      </c>
      <c r="C5680" s="5" t="s">
        <v>44</v>
      </c>
      <c r="D5680" s="3">
        <v>5000</v>
      </c>
    </row>
    <row r="5681" spans="1:4">
      <c r="A5681" s="4" t="s">
        <v>392</v>
      </c>
      <c r="B5681" s="5">
        <v>1030206</v>
      </c>
      <c r="C5681" s="5" t="s">
        <v>46</v>
      </c>
      <c r="D5681" s="3">
        <v>6200</v>
      </c>
    </row>
    <row r="5682" spans="1:4">
      <c r="A5682" s="4" t="s">
        <v>392</v>
      </c>
      <c r="B5682" s="5">
        <v>1030207</v>
      </c>
      <c r="C5682" s="5" t="s">
        <v>48</v>
      </c>
      <c r="D5682" s="3">
        <v>4600</v>
      </c>
    </row>
    <row r="5683" spans="1:4">
      <c r="A5683" s="4" t="s">
        <v>392</v>
      </c>
      <c r="B5683" s="5">
        <v>1030501</v>
      </c>
      <c r="C5683" s="5" t="s">
        <v>50</v>
      </c>
      <c r="D5683" s="3">
        <v>1163</v>
      </c>
    </row>
    <row r="5684" spans="1:4">
      <c r="A5684" s="4" t="s">
        <v>392</v>
      </c>
      <c r="B5684" s="5">
        <v>1030601</v>
      </c>
      <c r="C5684" s="5" t="s">
        <v>52</v>
      </c>
      <c r="D5684" s="3">
        <v>3050</v>
      </c>
    </row>
    <row r="5685" spans="1:4">
      <c r="A5685" s="4" t="s">
        <v>392</v>
      </c>
      <c r="B5685" s="5">
        <v>1030701</v>
      </c>
      <c r="C5685" s="5" t="s">
        <v>221</v>
      </c>
      <c r="D5685" s="3">
        <v>3000</v>
      </c>
    </row>
    <row r="5686" spans="1:4">
      <c r="A5686" s="4" t="s">
        <v>392</v>
      </c>
      <c r="B5686" s="5">
        <v>1030705</v>
      </c>
      <c r="C5686" s="5" t="s">
        <v>222</v>
      </c>
      <c r="D5686" s="3">
        <v>0</v>
      </c>
    </row>
    <row r="5687" spans="1:4">
      <c r="A5687" s="4" t="s">
        <v>392</v>
      </c>
      <c r="B5687" s="5">
        <v>1030801</v>
      </c>
      <c r="C5687" s="5" t="s">
        <v>54</v>
      </c>
      <c r="D5687" s="3">
        <v>1176</v>
      </c>
    </row>
    <row r="5688" spans="1:4">
      <c r="A5688" s="4" t="s">
        <v>392</v>
      </c>
      <c r="B5688" s="5">
        <v>1030901</v>
      </c>
      <c r="C5688" s="5" t="s">
        <v>223</v>
      </c>
      <c r="D5688" s="3">
        <v>0</v>
      </c>
    </row>
    <row r="5689" spans="1:4">
      <c r="A5689" s="4" t="s">
        <v>392</v>
      </c>
      <c r="B5689" s="5">
        <v>1040201</v>
      </c>
      <c r="C5689" s="5" t="s">
        <v>56</v>
      </c>
      <c r="D5689" s="3">
        <v>1650</v>
      </c>
    </row>
    <row r="5690" spans="1:4">
      <c r="A5690" s="4" t="s">
        <v>392</v>
      </c>
      <c r="B5690" s="5">
        <v>1040202</v>
      </c>
      <c r="C5690" s="5" t="s">
        <v>224</v>
      </c>
      <c r="D5690" s="3">
        <v>0</v>
      </c>
    </row>
    <row r="5691" spans="1:4">
      <c r="A5691" s="4" t="s">
        <v>392</v>
      </c>
      <c r="B5691" s="5">
        <v>1040203</v>
      </c>
      <c r="C5691" s="5" t="s">
        <v>225</v>
      </c>
      <c r="D5691" s="3">
        <v>0</v>
      </c>
    </row>
    <row r="5692" spans="1:4">
      <c r="A5692" s="4" t="s">
        <v>392</v>
      </c>
      <c r="B5692" s="5">
        <v>1040204</v>
      </c>
      <c r="C5692" s="5" t="s">
        <v>226</v>
      </c>
      <c r="D5692" s="3">
        <v>8583</v>
      </c>
    </row>
    <row r="5693" spans="1:4">
      <c r="A5693" s="4" t="s">
        <v>392</v>
      </c>
      <c r="B5693" s="5">
        <v>1040301</v>
      </c>
      <c r="C5693" s="5" t="s">
        <v>58</v>
      </c>
      <c r="D5693" s="3">
        <v>1650</v>
      </c>
    </row>
    <row r="5694" spans="1:4">
      <c r="A5694" s="4" t="s">
        <v>392</v>
      </c>
      <c r="B5694" s="5">
        <v>1040401</v>
      </c>
      <c r="C5694" s="5" t="s">
        <v>227</v>
      </c>
      <c r="D5694" s="3">
        <v>0</v>
      </c>
    </row>
    <row r="5695" spans="1:4">
      <c r="A5695" s="4" t="s">
        <v>392</v>
      </c>
      <c r="B5695" s="5">
        <v>1050102</v>
      </c>
      <c r="C5695" s="5" t="s">
        <v>60</v>
      </c>
      <c r="D5695" s="3">
        <v>33000</v>
      </c>
    </row>
    <row r="5696" spans="1:4">
      <c r="A5696" s="4" t="s">
        <v>392</v>
      </c>
      <c r="B5696" s="5">
        <v>1050103</v>
      </c>
      <c r="C5696" s="5" t="s">
        <v>228</v>
      </c>
      <c r="D5696" s="3">
        <v>11275</v>
      </c>
    </row>
    <row r="5697" spans="1:4">
      <c r="A5697" s="4" t="s">
        <v>392</v>
      </c>
      <c r="B5697" s="5">
        <v>1050301</v>
      </c>
      <c r="C5697" s="5" t="s">
        <v>62</v>
      </c>
      <c r="D5697" s="3">
        <v>9804</v>
      </c>
    </row>
    <row r="5698" spans="1:4">
      <c r="A5698" s="4" t="s">
        <v>392</v>
      </c>
      <c r="B5698" s="5">
        <v>1050401</v>
      </c>
      <c r="C5698" s="5" t="s">
        <v>64</v>
      </c>
      <c r="D5698" s="3">
        <v>8824</v>
      </c>
    </row>
    <row r="5699" spans="1:4">
      <c r="A5699" s="4" t="s">
        <v>392</v>
      </c>
      <c r="B5699" s="5">
        <v>1050501</v>
      </c>
      <c r="C5699" s="5" t="s">
        <v>66</v>
      </c>
      <c r="D5699" s="3">
        <v>10784</v>
      </c>
    </row>
    <row r="5700" spans="1:4">
      <c r="A5700" s="4" t="s">
        <v>392</v>
      </c>
      <c r="B5700" s="5">
        <v>1050511</v>
      </c>
      <c r="C5700" s="5" t="s">
        <v>68</v>
      </c>
      <c r="D5700" s="3">
        <v>18000</v>
      </c>
    </row>
    <row r="5701" spans="1:4">
      <c r="A5701" s="4" t="s">
        <v>392</v>
      </c>
      <c r="B5701" s="5">
        <v>1050512</v>
      </c>
      <c r="C5701" s="5" t="s">
        <v>229</v>
      </c>
      <c r="D5701" s="3">
        <v>0</v>
      </c>
    </row>
    <row r="5702" spans="1:4">
      <c r="A5702" s="4" t="s">
        <v>392</v>
      </c>
      <c r="B5702" s="5">
        <v>1050521</v>
      </c>
      <c r="C5702" s="5" t="s">
        <v>70</v>
      </c>
      <c r="D5702" s="3">
        <v>14706</v>
      </c>
    </row>
    <row r="5703" spans="1:4">
      <c r="A5703" s="4" t="s">
        <v>392</v>
      </c>
      <c r="B5703" s="5">
        <v>1050531</v>
      </c>
      <c r="C5703" s="5" t="s">
        <v>72</v>
      </c>
      <c r="D5703" s="3">
        <v>21000</v>
      </c>
    </row>
    <row r="5704" spans="1:4">
      <c r="A5704" s="4" t="s">
        <v>392</v>
      </c>
      <c r="B5704" s="5">
        <v>1050541</v>
      </c>
      <c r="C5704" s="5" t="s">
        <v>74</v>
      </c>
      <c r="D5704" s="3">
        <v>11000</v>
      </c>
    </row>
    <row r="5705" spans="1:4">
      <c r="A5705" s="4" t="s">
        <v>392</v>
      </c>
      <c r="B5705" s="5">
        <v>1050551</v>
      </c>
      <c r="C5705" s="5" t="s">
        <v>76</v>
      </c>
      <c r="D5705" s="3">
        <v>54000</v>
      </c>
    </row>
    <row r="5706" spans="1:4">
      <c r="A5706" s="4" t="s">
        <v>392</v>
      </c>
      <c r="B5706" s="5">
        <v>1050561</v>
      </c>
      <c r="C5706" s="5" t="s">
        <v>78</v>
      </c>
      <c r="D5706" s="3">
        <v>77321</v>
      </c>
    </row>
    <row r="5707" spans="1:4">
      <c r="A5707" s="4" t="s">
        <v>392</v>
      </c>
      <c r="B5707" s="5">
        <v>1050571</v>
      </c>
      <c r="C5707" s="5" t="s">
        <v>80</v>
      </c>
      <c r="D5707" s="3">
        <v>58000</v>
      </c>
    </row>
    <row r="5708" spans="1:4">
      <c r="A5708" s="4" t="s">
        <v>392</v>
      </c>
      <c r="B5708" s="5">
        <v>1050581</v>
      </c>
      <c r="C5708" s="5" t="s">
        <v>82</v>
      </c>
      <c r="D5708" s="3">
        <v>73000</v>
      </c>
    </row>
    <row r="5709" spans="1:4">
      <c r="A5709" s="4" t="s">
        <v>392</v>
      </c>
      <c r="B5709" s="5">
        <v>1050591</v>
      </c>
      <c r="C5709" s="5" t="s">
        <v>84</v>
      </c>
      <c r="D5709" s="3">
        <v>97750</v>
      </c>
    </row>
    <row r="5710" spans="1:4">
      <c r="A5710" s="4" t="s">
        <v>392</v>
      </c>
      <c r="B5710" s="5">
        <v>1050601</v>
      </c>
      <c r="C5710" s="5" t="s">
        <v>86</v>
      </c>
      <c r="D5710" s="3">
        <v>6400</v>
      </c>
    </row>
    <row r="5711" spans="1:4">
      <c r="A5711" s="4" t="s">
        <v>392</v>
      </c>
      <c r="B5711" s="5">
        <v>1050701</v>
      </c>
      <c r="C5711" s="5" t="s">
        <v>88</v>
      </c>
      <c r="D5711" s="3">
        <v>5930</v>
      </c>
    </row>
    <row r="5712" spans="1:4">
      <c r="A5712" s="4" t="s">
        <v>392</v>
      </c>
      <c r="B5712" s="5">
        <v>1050702</v>
      </c>
      <c r="C5712" s="5" t="s">
        <v>90</v>
      </c>
      <c r="D5712" s="3">
        <v>5870</v>
      </c>
    </row>
    <row r="5713" spans="1:4">
      <c r="A5713" s="4" t="s">
        <v>392</v>
      </c>
      <c r="B5713" s="5">
        <v>1050711</v>
      </c>
      <c r="C5713" s="5" t="s">
        <v>92</v>
      </c>
      <c r="D5713" s="3">
        <v>2600</v>
      </c>
    </row>
    <row r="5714" spans="1:4">
      <c r="A5714" s="4" t="s">
        <v>392</v>
      </c>
      <c r="B5714" s="5">
        <v>1050721</v>
      </c>
      <c r="C5714" s="5" t="s">
        <v>94</v>
      </c>
      <c r="D5714" s="3">
        <v>14510</v>
      </c>
    </row>
    <row r="5715" spans="1:4">
      <c r="A5715" s="4" t="s">
        <v>392</v>
      </c>
      <c r="B5715" s="5">
        <v>1050801</v>
      </c>
      <c r="C5715" s="5" t="s">
        <v>7</v>
      </c>
      <c r="D5715" s="3">
        <v>882</v>
      </c>
    </row>
    <row r="5716" spans="1:4">
      <c r="A5716" s="4" t="s">
        <v>392</v>
      </c>
      <c r="B5716" s="5">
        <v>1050901</v>
      </c>
      <c r="C5716" s="5" t="s">
        <v>96</v>
      </c>
      <c r="D5716" s="3">
        <v>1216</v>
      </c>
    </row>
    <row r="5717" spans="1:4">
      <c r="A5717" s="4" t="s">
        <v>392</v>
      </c>
      <c r="B5717" s="5">
        <v>1060101</v>
      </c>
      <c r="C5717" s="5" t="s">
        <v>98</v>
      </c>
      <c r="D5717" s="3">
        <v>2200</v>
      </c>
    </row>
    <row r="5718" spans="1:4">
      <c r="A5718" s="4" t="s">
        <v>392</v>
      </c>
      <c r="B5718" s="5">
        <v>1060401</v>
      </c>
      <c r="C5718" s="5" t="s">
        <v>100</v>
      </c>
      <c r="D5718" s="3">
        <v>105000</v>
      </c>
    </row>
    <row r="5719" spans="1:4">
      <c r="A5719" s="4" t="s">
        <v>392</v>
      </c>
      <c r="B5719" s="5">
        <v>1060412</v>
      </c>
      <c r="C5719" s="5" t="s">
        <v>230</v>
      </c>
      <c r="D5719" s="3">
        <v>33000</v>
      </c>
    </row>
    <row r="5720" spans="1:4">
      <c r="A5720" s="4" t="s">
        <v>392</v>
      </c>
      <c r="B5720" s="5">
        <v>1060421</v>
      </c>
      <c r="C5720" s="5" t="s">
        <v>104</v>
      </c>
      <c r="D5720" s="3">
        <v>118000</v>
      </c>
    </row>
    <row r="5721" spans="1:4">
      <c r="A5721" s="4" t="s">
        <v>392</v>
      </c>
      <c r="B5721" s="5">
        <v>1060441</v>
      </c>
      <c r="C5721" s="5" t="s">
        <v>106</v>
      </c>
      <c r="D5721" s="3">
        <v>6471</v>
      </c>
    </row>
    <row r="5722" spans="1:4">
      <c r="A5722" s="4" t="s">
        <v>392</v>
      </c>
      <c r="B5722" s="5">
        <v>1060451</v>
      </c>
      <c r="C5722" s="5" t="s">
        <v>108</v>
      </c>
      <c r="D5722" s="3">
        <v>38235</v>
      </c>
    </row>
    <row r="5723" spans="1:4">
      <c r="A5723" s="4" t="s">
        <v>392</v>
      </c>
      <c r="B5723" s="5">
        <v>1070101</v>
      </c>
      <c r="C5723" s="5" t="s">
        <v>110</v>
      </c>
      <c r="D5723" s="3">
        <v>4500</v>
      </c>
    </row>
    <row r="5724" spans="1:4">
      <c r="A5724" s="4" t="s">
        <v>392</v>
      </c>
      <c r="B5724" s="5">
        <v>1070301</v>
      </c>
      <c r="C5724" s="5" t="s">
        <v>112</v>
      </c>
      <c r="D5724" s="3">
        <v>43000</v>
      </c>
    </row>
    <row r="5725" spans="1:4">
      <c r="A5725" s="4" t="s">
        <v>392</v>
      </c>
      <c r="B5725" s="5">
        <v>1070401</v>
      </c>
      <c r="C5725" s="5" t="s">
        <v>114</v>
      </c>
      <c r="D5725" s="3">
        <v>16000</v>
      </c>
    </row>
    <row r="5726" spans="1:4">
      <c r="A5726" s="4" t="s">
        <v>392</v>
      </c>
      <c r="B5726" s="5">
        <v>1070501</v>
      </c>
      <c r="C5726" s="5" t="s">
        <v>231</v>
      </c>
      <c r="D5726" s="3">
        <v>5500</v>
      </c>
    </row>
    <row r="5727" spans="1:4">
      <c r="A5727" s="4" t="s">
        <v>392</v>
      </c>
      <c r="B5727" s="5">
        <v>1070701</v>
      </c>
      <c r="C5727" s="5" t="s">
        <v>118</v>
      </c>
      <c r="D5727" s="3">
        <v>36000</v>
      </c>
    </row>
    <row r="5728" spans="1:4">
      <c r="A5728" s="4" t="s">
        <v>392</v>
      </c>
      <c r="B5728" s="5">
        <v>1070801</v>
      </c>
      <c r="C5728" s="5" t="s">
        <v>232</v>
      </c>
      <c r="D5728" s="3">
        <v>35000</v>
      </c>
    </row>
    <row r="5729" spans="1:4">
      <c r="A5729" s="4" t="s">
        <v>392</v>
      </c>
      <c r="B5729" s="5">
        <v>1080101</v>
      </c>
      <c r="C5729" s="5" t="s">
        <v>120</v>
      </c>
      <c r="D5729" s="3">
        <v>12000</v>
      </c>
    </row>
    <row r="5730" spans="1:4">
      <c r="A5730" s="4" t="s">
        <v>392</v>
      </c>
      <c r="B5730" s="5">
        <v>1080201</v>
      </c>
      <c r="C5730" s="5" t="s">
        <v>122</v>
      </c>
      <c r="D5730" s="3">
        <v>540</v>
      </c>
    </row>
    <row r="5731" spans="1:4">
      <c r="A5731" s="4" t="s">
        <v>392</v>
      </c>
      <c r="B5731" s="5">
        <v>1080301</v>
      </c>
      <c r="C5731" s="5" t="s">
        <v>124</v>
      </c>
      <c r="D5731" s="3">
        <v>1550</v>
      </c>
    </row>
    <row r="5732" spans="1:4">
      <c r="A5732" s="4" t="s">
        <v>392</v>
      </c>
      <c r="B5732" s="5">
        <v>1080401</v>
      </c>
      <c r="C5732" s="5" t="s">
        <v>233</v>
      </c>
      <c r="D5732" s="3">
        <v>3150</v>
      </c>
    </row>
    <row r="5733" spans="1:4">
      <c r="A5733" s="4" t="s">
        <v>392</v>
      </c>
      <c r="B5733" s="5">
        <v>1080411</v>
      </c>
      <c r="C5733" s="5" t="s">
        <v>128</v>
      </c>
      <c r="D5733" s="3">
        <v>3150</v>
      </c>
    </row>
    <row r="5734" spans="1:4">
      <c r="A5734" s="4" t="s">
        <v>392</v>
      </c>
      <c r="B5734" s="5">
        <v>1080501</v>
      </c>
      <c r="C5734" s="5" t="s">
        <v>130</v>
      </c>
      <c r="D5734" s="3">
        <v>4200</v>
      </c>
    </row>
    <row r="5735" spans="1:4">
      <c r="A5735" s="4" t="s">
        <v>392</v>
      </c>
      <c r="B5735" s="5">
        <v>1080602</v>
      </c>
      <c r="C5735" s="5" t="s">
        <v>234</v>
      </c>
      <c r="D5735" s="3">
        <v>38600</v>
      </c>
    </row>
    <row r="5736" spans="1:4">
      <c r="A5736" s="4" t="s">
        <v>392</v>
      </c>
      <c r="B5736" s="5">
        <v>1080604</v>
      </c>
      <c r="C5736" s="5" t="s">
        <v>235</v>
      </c>
      <c r="D5736" s="3">
        <v>0</v>
      </c>
    </row>
    <row r="5737" spans="1:4">
      <c r="A5737" s="4" t="s">
        <v>392</v>
      </c>
      <c r="B5737" s="5">
        <v>1080702</v>
      </c>
      <c r="C5737" s="5" t="s">
        <v>236</v>
      </c>
      <c r="D5737" s="3">
        <v>43500</v>
      </c>
    </row>
    <row r="5738" spans="1:4">
      <c r="A5738" s="4" t="s">
        <v>392</v>
      </c>
      <c r="B5738" s="5">
        <v>1080704</v>
      </c>
      <c r="C5738" s="5" t="s">
        <v>237</v>
      </c>
      <c r="D5738" s="3">
        <v>0</v>
      </c>
    </row>
    <row r="5739" spans="1:4">
      <c r="A5739" s="4" t="s">
        <v>392</v>
      </c>
      <c r="B5739" s="5">
        <v>1090104</v>
      </c>
      <c r="C5739" s="5" t="s">
        <v>136</v>
      </c>
      <c r="D5739" s="3">
        <v>40000</v>
      </c>
    </row>
    <row r="5740" spans="1:4">
      <c r="A5740" s="4" t="s">
        <v>392</v>
      </c>
      <c r="B5740" s="5">
        <v>1090112</v>
      </c>
      <c r="C5740" s="5" t="s">
        <v>138</v>
      </c>
      <c r="D5740" s="3">
        <v>35000</v>
      </c>
    </row>
    <row r="5741" spans="1:4">
      <c r="A5741" s="4" t="s">
        <v>392</v>
      </c>
      <c r="B5741" s="5">
        <v>1090201</v>
      </c>
      <c r="C5741" s="5" t="s">
        <v>140</v>
      </c>
      <c r="D5741" s="3">
        <v>15800</v>
      </c>
    </row>
    <row r="5742" spans="1:4">
      <c r="A5742" s="4" t="s">
        <v>392</v>
      </c>
      <c r="B5742" s="5">
        <v>1090202</v>
      </c>
      <c r="C5742" s="5" t="s">
        <v>142</v>
      </c>
      <c r="D5742" s="3">
        <v>98000</v>
      </c>
    </row>
    <row r="5743" spans="1:4">
      <c r="A5743" s="4" t="s">
        <v>392</v>
      </c>
      <c r="B5743" s="5">
        <v>1090203</v>
      </c>
      <c r="C5743" s="5" t="s">
        <v>144</v>
      </c>
      <c r="D5743" s="3">
        <v>23000</v>
      </c>
    </row>
    <row r="5744" spans="1:4">
      <c r="A5744" s="4" t="s">
        <v>392</v>
      </c>
      <c r="B5744" s="5">
        <v>1090211</v>
      </c>
      <c r="C5744" s="5" t="s">
        <v>146</v>
      </c>
      <c r="D5744" s="3">
        <v>77451</v>
      </c>
    </row>
    <row r="5745" spans="1:4">
      <c r="A5745" s="4" t="s">
        <v>392</v>
      </c>
      <c r="B5745" s="5">
        <v>1090301</v>
      </c>
      <c r="C5745" s="5" t="s">
        <v>238</v>
      </c>
      <c r="D5745" s="3">
        <v>32000</v>
      </c>
    </row>
    <row r="5746" spans="1:4">
      <c r="A5746" s="4" t="s">
        <v>392</v>
      </c>
      <c r="B5746" s="5">
        <v>1090311</v>
      </c>
      <c r="C5746" s="5" t="s">
        <v>150</v>
      </c>
      <c r="D5746" s="3">
        <v>37000</v>
      </c>
    </row>
    <row r="5747" spans="1:4">
      <c r="A5747" s="4" t="s">
        <v>392</v>
      </c>
      <c r="B5747" s="5">
        <v>1090321</v>
      </c>
      <c r="C5747" s="5" t="s">
        <v>152</v>
      </c>
      <c r="D5747" s="3">
        <v>69000</v>
      </c>
    </row>
    <row r="5748" spans="1:4">
      <c r="A5748" s="4" t="s">
        <v>392</v>
      </c>
      <c r="B5748" s="5">
        <v>1090401</v>
      </c>
      <c r="C5748" s="5" t="s">
        <v>154</v>
      </c>
      <c r="D5748" s="3">
        <v>9300</v>
      </c>
    </row>
    <row r="5749" spans="1:4">
      <c r="A5749" s="4" t="s">
        <v>392</v>
      </c>
      <c r="B5749" s="5">
        <v>1090411</v>
      </c>
      <c r="C5749" s="5" t="s">
        <v>156</v>
      </c>
      <c r="D5749" s="3">
        <v>45000</v>
      </c>
    </row>
    <row r="5750" spans="1:4">
      <c r="A5750" s="4" t="s">
        <v>392</v>
      </c>
      <c r="B5750" s="5">
        <v>1090421</v>
      </c>
      <c r="C5750" s="5" t="s">
        <v>158</v>
      </c>
      <c r="D5750" s="3">
        <v>36000</v>
      </c>
    </row>
    <row r="5751" spans="1:4">
      <c r="A5751" s="4" t="s">
        <v>392</v>
      </c>
      <c r="B5751" s="5">
        <v>1090551</v>
      </c>
      <c r="C5751" s="5" t="s">
        <v>239</v>
      </c>
      <c r="D5751" s="3">
        <v>5300</v>
      </c>
    </row>
    <row r="5752" spans="1:4">
      <c r="A5752" s="4" t="s">
        <v>392</v>
      </c>
      <c r="B5752" s="5">
        <v>1090602</v>
      </c>
      <c r="C5752" s="5" t="s">
        <v>162</v>
      </c>
      <c r="D5752" s="3">
        <v>5600</v>
      </c>
    </row>
    <row r="5753" spans="1:4">
      <c r="A5753" s="4" t="s">
        <v>392</v>
      </c>
      <c r="B5753" s="5">
        <v>1090611</v>
      </c>
      <c r="C5753" s="5" t="s">
        <v>164</v>
      </c>
      <c r="D5753" s="3">
        <v>4800</v>
      </c>
    </row>
    <row r="5754" spans="1:4">
      <c r="A5754" s="4" t="s">
        <v>392</v>
      </c>
      <c r="B5754" s="5">
        <v>1090701</v>
      </c>
      <c r="C5754" s="5" t="s">
        <v>166</v>
      </c>
      <c r="D5754" s="3">
        <v>21000</v>
      </c>
    </row>
    <row r="5755" spans="1:4">
      <c r="A5755" s="4" t="s">
        <v>392</v>
      </c>
      <c r="B5755" s="5">
        <v>1090901</v>
      </c>
      <c r="C5755" s="5" t="s">
        <v>168</v>
      </c>
      <c r="D5755" s="3">
        <v>4300</v>
      </c>
    </row>
    <row r="5756" spans="1:4">
      <c r="A5756" s="4" t="s">
        <v>392</v>
      </c>
      <c r="B5756" s="5">
        <v>1091001</v>
      </c>
      <c r="C5756" s="5" t="s">
        <v>170</v>
      </c>
      <c r="D5756" s="3">
        <v>7000</v>
      </c>
    </row>
    <row r="5757" spans="1:4">
      <c r="A5757" s="4" t="s">
        <v>392</v>
      </c>
      <c r="B5757" s="5">
        <v>1091002</v>
      </c>
      <c r="C5757" s="5" t="s">
        <v>172</v>
      </c>
      <c r="D5757" s="3">
        <v>6304</v>
      </c>
    </row>
    <row r="5758" spans="1:4">
      <c r="A5758" s="4" t="s">
        <v>392</v>
      </c>
      <c r="B5758" s="5">
        <v>1091003</v>
      </c>
      <c r="C5758" s="5" t="s">
        <v>174</v>
      </c>
      <c r="D5758" s="3">
        <v>10069</v>
      </c>
    </row>
    <row r="5759" spans="1:4">
      <c r="A5759" s="4" t="s">
        <v>392</v>
      </c>
      <c r="B5759" s="5">
        <v>1091004</v>
      </c>
      <c r="C5759" s="5" t="s">
        <v>240</v>
      </c>
      <c r="D5759" s="3">
        <v>0</v>
      </c>
    </row>
    <row r="5760" spans="1:4">
      <c r="A5760" s="4" t="s">
        <v>392</v>
      </c>
      <c r="B5760" s="5">
        <v>1091005</v>
      </c>
      <c r="C5760" s="5" t="s">
        <v>241</v>
      </c>
      <c r="D5760" s="3">
        <v>0</v>
      </c>
    </row>
    <row r="5761" spans="1:4">
      <c r="A5761" s="4" t="s">
        <v>392</v>
      </c>
      <c r="B5761" s="5">
        <v>1091006</v>
      </c>
      <c r="C5761" s="5" t="s">
        <v>242</v>
      </c>
      <c r="D5761" s="3">
        <v>0</v>
      </c>
    </row>
    <row r="5762" spans="1:4">
      <c r="A5762" s="4" t="s">
        <v>392</v>
      </c>
      <c r="B5762" s="5">
        <v>1091007</v>
      </c>
      <c r="C5762" s="5" t="s">
        <v>243</v>
      </c>
      <c r="D5762" s="3">
        <v>2640</v>
      </c>
    </row>
    <row r="5763" spans="1:4">
      <c r="A5763" s="4" t="s">
        <v>392</v>
      </c>
      <c r="B5763" s="5">
        <v>1091008</v>
      </c>
      <c r="C5763" s="5" t="s">
        <v>176</v>
      </c>
      <c r="D5763" s="3">
        <v>450000</v>
      </c>
    </row>
    <row r="5764" spans="1:4">
      <c r="A5764" s="4" t="s">
        <v>392</v>
      </c>
      <c r="B5764" s="5">
        <v>1091009</v>
      </c>
      <c r="C5764" s="5" t="s">
        <v>178</v>
      </c>
      <c r="D5764" s="3">
        <v>190000</v>
      </c>
    </row>
    <row r="5765" spans="1:4">
      <c r="A5765" s="4" t="s">
        <v>392</v>
      </c>
      <c r="B5765" s="5">
        <v>1091010</v>
      </c>
      <c r="C5765" s="5" t="s">
        <v>180</v>
      </c>
      <c r="D5765" s="3">
        <v>27000</v>
      </c>
    </row>
    <row r="5766" spans="1:4">
      <c r="A5766" s="4" t="s">
        <v>392</v>
      </c>
      <c r="B5766" s="5">
        <v>1091011</v>
      </c>
      <c r="C5766" s="5" t="s">
        <v>182</v>
      </c>
      <c r="D5766" s="3">
        <v>33000</v>
      </c>
    </row>
    <row r="5767" spans="1:4">
      <c r="A5767" s="4" t="s">
        <v>392</v>
      </c>
      <c r="B5767" s="5">
        <v>1091012</v>
      </c>
      <c r="C5767" s="5" t="s">
        <v>184</v>
      </c>
      <c r="D5767" s="3">
        <v>47000</v>
      </c>
    </row>
    <row r="5768" spans="1:4">
      <c r="A5768" s="4" t="s">
        <v>392</v>
      </c>
      <c r="B5768" s="5">
        <v>1091013</v>
      </c>
      <c r="C5768" s="5" t="s">
        <v>186</v>
      </c>
      <c r="D5768" s="3">
        <v>33000</v>
      </c>
    </row>
    <row r="5769" spans="1:4">
      <c r="A5769" s="4" t="s">
        <v>392</v>
      </c>
      <c r="B5769" s="5">
        <v>1091014</v>
      </c>
      <c r="C5769" s="5" t="s">
        <v>244</v>
      </c>
      <c r="D5769" s="3">
        <v>6961</v>
      </c>
    </row>
    <row r="5770" spans="1:4">
      <c r="A5770" s="4" t="s">
        <v>392</v>
      </c>
      <c r="B5770" s="5">
        <v>1091015</v>
      </c>
      <c r="C5770" s="5" t="s">
        <v>245</v>
      </c>
      <c r="D5770" s="3">
        <v>28000</v>
      </c>
    </row>
    <row r="5771" spans="1:4">
      <c r="A5771" s="4" t="s">
        <v>392</v>
      </c>
      <c r="B5771" s="5">
        <v>1091016</v>
      </c>
      <c r="C5771" s="5" t="s">
        <v>246</v>
      </c>
      <c r="D5771" s="3">
        <v>50187</v>
      </c>
    </row>
    <row r="5772" spans="1:4">
      <c r="A5772" s="4" t="s">
        <v>392</v>
      </c>
      <c r="B5772" s="5">
        <v>1091017</v>
      </c>
      <c r="C5772" s="5" t="s">
        <v>247</v>
      </c>
      <c r="D5772" s="3">
        <v>74833</v>
      </c>
    </row>
    <row r="5773" spans="1:4">
      <c r="A5773" s="4" t="s">
        <v>392</v>
      </c>
      <c r="B5773" s="5">
        <v>1091018</v>
      </c>
      <c r="C5773" s="5" t="s">
        <v>248</v>
      </c>
      <c r="D5773" s="3">
        <v>33031</v>
      </c>
    </row>
    <row r="5774" spans="1:4">
      <c r="A5774" s="4" t="s">
        <v>392</v>
      </c>
      <c r="B5774" s="5">
        <v>1091019</v>
      </c>
      <c r="C5774" s="5" t="s">
        <v>249</v>
      </c>
      <c r="D5774" s="3">
        <v>53387</v>
      </c>
    </row>
    <row r="5775" spans="1:4">
      <c r="A5775" s="4" t="s">
        <v>392</v>
      </c>
      <c r="B5775" s="5">
        <v>1091020</v>
      </c>
      <c r="C5775" s="5" t="s">
        <v>250</v>
      </c>
      <c r="D5775" s="3">
        <v>100500</v>
      </c>
    </row>
    <row r="5776" spans="1:4">
      <c r="A5776" s="4" t="s">
        <v>392</v>
      </c>
      <c r="B5776" s="5">
        <v>1091021</v>
      </c>
      <c r="C5776" s="5" t="s">
        <v>251</v>
      </c>
      <c r="D5776" s="3">
        <v>50600</v>
      </c>
    </row>
    <row r="5777" spans="1:4">
      <c r="A5777" s="4" t="s">
        <v>392</v>
      </c>
      <c r="B5777" s="5">
        <v>1091022</v>
      </c>
      <c r="C5777" s="5" t="s">
        <v>252</v>
      </c>
      <c r="D5777" s="3">
        <v>3235</v>
      </c>
    </row>
    <row r="5778" spans="1:4">
      <c r="A5778" s="4" t="s">
        <v>392</v>
      </c>
      <c r="B5778" s="5">
        <v>1091023</v>
      </c>
      <c r="C5778" s="5" t="s">
        <v>253</v>
      </c>
      <c r="D5778" s="3">
        <v>4412</v>
      </c>
    </row>
    <row r="5779" spans="1:4">
      <c r="A5779" s="4" t="s">
        <v>392</v>
      </c>
      <c r="B5779" s="5">
        <v>1091024</v>
      </c>
      <c r="C5779" s="5" t="s">
        <v>254</v>
      </c>
      <c r="D5779" s="3">
        <v>3922</v>
      </c>
    </row>
    <row r="5780" spans="1:4">
      <c r="A5780" s="4" t="s">
        <v>392</v>
      </c>
      <c r="B5780" s="5">
        <v>1091025</v>
      </c>
      <c r="C5780" s="5" t="s">
        <v>255</v>
      </c>
      <c r="D5780" s="3">
        <v>7843</v>
      </c>
    </row>
    <row r="5781" spans="1:4">
      <c r="A5781" s="4" t="s">
        <v>392</v>
      </c>
      <c r="B5781" s="5">
        <v>1091026</v>
      </c>
      <c r="C5781" s="5" t="s">
        <v>256</v>
      </c>
      <c r="D5781" s="3">
        <v>32255</v>
      </c>
    </row>
    <row r="5782" spans="1:4">
      <c r="A5782" s="4" t="s">
        <v>392</v>
      </c>
      <c r="B5782" s="5">
        <v>1600101</v>
      </c>
      <c r="C5782" s="5" t="s">
        <v>188</v>
      </c>
      <c r="D5782" s="3">
        <v>2892</v>
      </c>
    </row>
    <row r="5783" spans="1:4">
      <c r="A5783" s="4" t="s">
        <v>392</v>
      </c>
      <c r="B5783" s="5">
        <v>1600102</v>
      </c>
      <c r="C5783" s="5" t="s">
        <v>257</v>
      </c>
      <c r="D5783" s="3">
        <v>17649</v>
      </c>
    </row>
    <row r="5784" spans="1:4">
      <c r="A5784" s="4" t="s">
        <v>392</v>
      </c>
      <c r="B5784" s="5">
        <v>1600103</v>
      </c>
      <c r="C5784" s="5" t="s">
        <v>258</v>
      </c>
      <c r="D5784" s="3">
        <v>19800</v>
      </c>
    </row>
    <row r="5785" spans="1:4">
      <c r="A5785" s="4" t="s">
        <v>392</v>
      </c>
      <c r="B5785" s="5">
        <v>1600104</v>
      </c>
      <c r="C5785" s="5" t="s">
        <v>259</v>
      </c>
      <c r="D5785" s="3">
        <v>73810</v>
      </c>
    </row>
    <row r="5786" spans="1:4">
      <c r="A5786" s="4" t="s">
        <v>392</v>
      </c>
      <c r="B5786" s="5">
        <v>1600105</v>
      </c>
      <c r="C5786" s="5" t="s">
        <v>260</v>
      </c>
      <c r="D5786" s="3">
        <v>83950</v>
      </c>
    </row>
    <row r="5787" spans="1:4">
      <c r="A5787" s="4" t="s">
        <v>392</v>
      </c>
      <c r="B5787" s="5">
        <v>1600106</v>
      </c>
      <c r="C5787" s="5" t="s">
        <v>261</v>
      </c>
      <c r="D5787" s="3">
        <v>108071</v>
      </c>
    </row>
    <row r="5788" spans="1:4">
      <c r="A5788" s="4" t="s">
        <v>392</v>
      </c>
      <c r="B5788" s="5">
        <v>1600107</v>
      </c>
      <c r="C5788" s="5" t="s">
        <v>262</v>
      </c>
      <c r="D5788" s="3">
        <v>86601</v>
      </c>
    </row>
    <row r="5789" spans="1:4">
      <c r="A5789" s="4" t="s">
        <v>392</v>
      </c>
      <c r="B5789" s="5">
        <v>1600108</v>
      </c>
      <c r="C5789" s="5" t="s">
        <v>263</v>
      </c>
      <c r="D5789" s="3">
        <v>73810</v>
      </c>
    </row>
    <row r="5790" spans="1:4">
      <c r="A5790" s="4" t="s">
        <v>392</v>
      </c>
      <c r="B5790" s="5">
        <v>1600109</v>
      </c>
      <c r="C5790" s="5" t="s">
        <v>264</v>
      </c>
      <c r="D5790" s="3">
        <v>5882</v>
      </c>
    </row>
    <row r="5791" spans="1:4">
      <c r="A5791" s="4" t="s">
        <v>392</v>
      </c>
      <c r="B5791" s="5">
        <v>1600110</v>
      </c>
      <c r="C5791" s="5" t="s">
        <v>265</v>
      </c>
      <c r="D5791" s="3">
        <v>7917</v>
      </c>
    </row>
    <row r="5792" spans="1:4">
      <c r="A5792" s="4" t="s">
        <v>392</v>
      </c>
      <c r="B5792" s="5">
        <v>1600111</v>
      </c>
      <c r="C5792" s="5" t="s">
        <v>266</v>
      </c>
      <c r="D5792" s="3">
        <v>2266</v>
      </c>
    </row>
    <row r="5793" spans="1:4">
      <c r="A5793" s="4" t="s">
        <v>392</v>
      </c>
      <c r="B5793" s="5">
        <v>1600112</v>
      </c>
      <c r="C5793" s="5" t="s">
        <v>190</v>
      </c>
      <c r="D5793" s="3">
        <v>4800</v>
      </c>
    </row>
    <row r="5794" spans="1:4">
      <c r="A5794" s="4" t="s">
        <v>392</v>
      </c>
      <c r="B5794" s="5">
        <v>1600113</v>
      </c>
      <c r="C5794" s="5" t="s">
        <v>267</v>
      </c>
      <c r="D5794" s="3">
        <v>0</v>
      </c>
    </row>
    <row r="5795" spans="1:4">
      <c r="A5795" s="4" t="s">
        <v>392</v>
      </c>
      <c r="B5795" s="5">
        <v>1600114</v>
      </c>
      <c r="C5795" s="5" t="s">
        <v>268</v>
      </c>
      <c r="D5795" s="3">
        <v>13333</v>
      </c>
    </row>
    <row r="5796" spans="1:4">
      <c r="A5796" s="4" t="s">
        <v>392</v>
      </c>
      <c r="B5796" s="5">
        <v>1700001</v>
      </c>
      <c r="C5796" s="5" t="s">
        <v>269</v>
      </c>
      <c r="D5796" s="3">
        <v>4570</v>
      </c>
    </row>
    <row r="5797" spans="1:4">
      <c r="A5797" s="4" t="s">
        <v>392</v>
      </c>
      <c r="B5797" s="5">
        <v>1700002</v>
      </c>
      <c r="C5797" s="5" t="s">
        <v>270</v>
      </c>
      <c r="D5797" s="3">
        <v>3726</v>
      </c>
    </row>
    <row r="5798" spans="1:4">
      <c r="A5798" s="4" t="s">
        <v>392</v>
      </c>
      <c r="B5798" s="5">
        <v>1700003</v>
      </c>
      <c r="C5798" s="5" t="s">
        <v>271</v>
      </c>
      <c r="D5798" s="3">
        <v>5392</v>
      </c>
    </row>
    <row r="5799" spans="1:4">
      <c r="A5799" s="4" t="s">
        <v>392</v>
      </c>
      <c r="B5799" s="5">
        <v>1700004</v>
      </c>
      <c r="C5799" s="5" t="s">
        <v>272</v>
      </c>
      <c r="D5799" s="3">
        <v>15784</v>
      </c>
    </row>
    <row r="5800" spans="1:4">
      <c r="A5800" s="4" t="s">
        <v>392</v>
      </c>
      <c r="B5800" s="5">
        <v>1700005</v>
      </c>
      <c r="C5800" s="5" t="s">
        <v>192</v>
      </c>
      <c r="D5800" s="3">
        <v>1765</v>
      </c>
    </row>
    <row r="5801" spans="1:4">
      <c r="A5801" s="4" t="s">
        <v>392</v>
      </c>
      <c r="B5801" s="5">
        <v>1700006</v>
      </c>
      <c r="C5801" s="5" t="s">
        <v>273</v>
      </c>
      <c r="D5801" s="3">
        <v>7176</v>
      </c>
    </row>
    <row r="5802" spans="1:4">
      <c r="A5802" s="4" t="s">
        <v>392</v>
      </c>
      <c r="B5802" s="5">
        <v>1700007</v>
      </c>
      <c r="C5802" s="5" t="s">
        <v>274</v>
      </c>
      <c r="D5802" s="3">
        <v>0</v>
      </c>
    </row>
    <row r="5803" spans="1:4">
      <c r="A5803" s="4" t="s">
        <v>392</v>
      </c>
      <c r="B5803" s="5">
        <v>1700008</v>
      </c>
      <c r="C5803" s="5" t="s">
        <v>275</v>
      </c>
      <c r="D5803" s="3">
        <v>0</v>
      </c>
    </row>
    <row r="5804" spans="1:4">
      <c r="A5804" s="4" t="s">
        <v>392</v>
      </c>
      <c r="B5804" s="5">
        <v>1700009</v>
      </c>
      <c r="C5804" s="5" t="s">
        <v>276</v>
      </c>
      <c r="D5804" s="3">
        <v>0</v>
      </c>
    </row>
    <row r="5805" spans="1:4">
      <c r="A5805" s="4" t="s">
        <v>392</v>
      </c>
      <c r="B5805" s="5">
        <v>1700010</v>
      </c>
      <c r="C5805" s="5" t="s">
        <v>277</v>
      </c>
      <c r="D5805" s="3">
        <v>3990</v>
      </c>
    </row>
    <row r="5806" spans="1:4">
      <c r="A5806" s="4" t="s">
        <v>392</v>
      </c>
      <c r="B5806" s="5">
        <v>1700011</v>
      </c>
      <c r="C5806" s="5" t="s">
        <v>278</v>
      </c>
      <c r="D5806" s="3">
        <v>13235</v>
      </c>
    </row>
    <row r="5807" spans="1:4">
      <c r="A5807" s="4" t="s">
        <v>392</v>
      </c>
      <c r="B5807" s="5">
        <v>1700012</v>
      </c>
      <c r="C5807" s="5" t="s">
        <v>279</v>
      </c>
      <c r="D5807" s="3">
        <v>15980</v>
      </c>
    </row>
    <row r="5808" spans="1:4">
      <c r="A5808" s="4" t="s">
        <v>392</v>
      </c>
      <c r="B5808" s="5">
        <v>1700013</v>
      </c>
      <c r="C5808" s="5" t="s">
        <v>280</v>
      </c>
      <c r="D5808" s="3">
        <v>18137</v>
      </c>
    </row>
    <row r="5809" spans="1:4">
      <c r="A5809" s="4" t="s">
        <v>392</v>
      </c>
      <c r="B5809" s="5">
        <v>1700014</v>
      </c>
      <c r="C5809" s="5" t="s">
        <v>194</v>
      </c>
      <c r="D5809" s="3">
        <v>2300</v>
      </c>
    </row>
    <row r="5810" spans="1:4">
      <c r="A5810" s="4" t="s">
        <v>392</v>
      </c>
      <c r="B5810" s="5">
        <v>1700015</v>
      </c>
      <c r="C5810" s="5" t="s">
        <v>281</v>
      </c>
      <c r="D5810" s="3">
        <v>5160</v>
      </c>
    </row>
    <row r="5811" spans="1:4">
      <c r="A5811" s="4" t="s">
        <v>392</v>
      </c>
      <c r="B5811" s="5">
        <v>1700016</v>
      </c>
      <c r="C5811" s="5" t="s">
        <v>282</v>
      </c>
      <c r="D5811" s="3">
        <v>3864</v>
      </c>
    </row>
    <row r="5812" spans="1:4">
      <c r="A5812" s="4" t="s">
        <v>392</v>
      </c>
      <c r="B5812" s="5">
        <v>1700017</v>
      </c>
      <c r="C5812" s="5" t="s">
        <v>283</v>
      </c>
      <c r="D5812" s="3">
        <v>10784</v>
      </c>
    </row>
    <row r="5813" spans="1:4">
      <c r="A5813" s="4" t="s">
        <v>392</v>
      </c>
      <c r="B5813" s="5">
        <v>1700018</v>
      </c>
      <c r="C5813" s="5" t="s">
        <v>284</v>
      </c>
      <c r="D5813" s="3">
        <v>4031</v>
      </c>
    </row>
    <row r="5814" spans="1:4">
      <c r="A5814" s="4" t="s">
        <v>392</v>
      </c>
      <c r="B5814" s="5">
        <v>1700019</v>
      </c>
      <c r="C5814" s="5" t="s">
        <v>285</v>
      </c>
      <c r="D5814" s="3">
        <v>0</v>
      </c>
    </row>
    <row r="5815" spans="1:4">
      <c r="A5815" s="4" t="s">
        <v>392</v>
      </c>
      <c r="B5815" s="5">
        <v>1700020</v>
      </c>
      <c r="C5815" s="5" t="s">
        <v>286</v>
      </c>
      <c r="D5815" s="3">
        <v>49412</v>
      </c>
    </row>
    <row r="5816" spans="1:4">
      <c r="A5816" s="4" t="s">
        <v>392</v>
      </c>
      <c r="B5816" s="5">
        <v>1700021</v>
      </c>
      <c r="C5816" s="5" t="s">
        <v>287</v>
      </c>
      <c r="D5816" s="3">
        <v>86137</v>
      </c>
    </row>
    <row r="5817" spans="1:4">
      <c r="A5817" s="4" t="s">
        <v>392</v>
      </c>
      <c r="B5817" s="5">
        <v>1700022</v>
      </c>
      <c r="C5817" s="5" t="s">
        <v>288</v>
      </c>
      <c r="D5817" s="3">
        <v>33706</v>
      </c>
    </row>
    <row r="5818" spans="1:4">
      <c r="A5818" s="4" t="s">
        <v>392</v>
      </c>
      <c r="B5818" s="5">
        <v>1700023</v>
      </c>
      <c r="C5818" s="5" t="s">
        <v>289</v>
      </c>
      <c r="D5818" s="3">
        <v>8581</v>
      </c>
    </row>
    <row r="5819" spans="1:4">
      <c r="A5819" s="4" t="s">
        <v>392</v>
      </c>
      <c r="B5819" s="5">
        <v>1700024</v>
      </c>
      <c r="C5819" s="5" t="s">
        <v>290</v>
      </c>
      <c r="D5819" s="3">
        <v>0</v>
      </c>
    </row>
    <row r="5820" spans="1:4">
      <c r="A5820" s="4" t="s">
        <v>392</v>
      </c>
      <c r="B5820" s="5">
        <v>1700025</v>
      </c>
      <c r="C5820" s="5" t="s">
        <v>291</v>
      </c>
      <c r="D5820" s="3">
        <v>1961</v>
      </c>
    </row>
    <row r="5821" spans="1:4">
      <c r="A5821" s="4" t="s">
        <v>392</v>
      </c>
      <c r="B5821" s="5">
        <v>1700026</v>
      </c>
      <c r="C5821" s="5" t="s">
        <v>292</v>
      </c>
      <c r="D5821" s="3">
        <v>4314</v>
      </c>
    </row>
    <row r="5822" spans="1:4">
      <c r="A5822" s="4" t="s">
        <v>392</v>
      </c>
      <c r="B5822" s="5">
        <v>1700027</v>
      </c>
      <c r="C5822" s="5" t="s">
        <v>293</v>
      </c>
      <c r="D5822" s="3">
        <v>4902</v>
      </c>
    </row>
    <row r="5823" spans="1:4">
      <c r="A5823" s="4" t="s">
        <v>392</v>
      </c>
      <c r="B5823" s="5">
        <v>1700028</v>
      </c>
      <c r="C5823" s="5" t="s">
        <v>294</v>
      </c>
      <c r="D5823" s="3">
        <v>9500</v>
      </c>
    </row>
    <row r="5824" spans="1:4">
      <c r="A5824" s="4" t="s">
        <v>392</v>
      </c>
      <c r="B5824" s="5">
        <v>1700029</v>
      </c>
      <c r="C5824" s="5" t="s">
        <v>295</v>
      </c>
      <c r="D5824" s="3">
        <v>10670</v>
      </c>
    </row>
    <row r="5825" spans="1:4">
      <c r="A5825" s="4" t="s">
        <v>392</v>
      </c>
      <c r="B5825" s="5">
        <v>1700030</v>
      </c>
      <c r="C5825" s="5" t="s">
        <v>296</v>
      </c>
      <c r="D5825" s="3">
        <v>12720</v>
      </c>
    </row>
    <row r="5826" spans="1:4">
      <c r="A5826" s="4" t="s">
        <v>392</v>
      </c>
      <c r="B5826" s="5">
        <v>1700031</v>
      </c>
      <c r="C5826" s="5" t="s">
        <v>196</v>
      </c>
      <c r="D5826" s="3">
        <v>2069</v>
      </c>
    </row>
    <row r="5827" spans="1:4">
      <c r="A5827" s="4" t="s">
        <v>392</v>
      </c>
      <c r="B5827" s="5">
        <v>1700032</v>
      </c>
      <c r="C5827" s="5" t="s">
        <v>297</v>
      </c>
      <c r="D5827" s="3">
        <v>0</v>
      </c>
    </row>
    <row r="5828" spans="1:4">
      <c r="A5828" s="4" t="s">
        <v>392</v>
      </c>
      <c r="B5828" s="5">
        <v>1700033</v>
      </c>
      <c r="C5828" s="5" t="s">
        <v>298</v>
      </c>
      <c r="D5828" s="3">
        <v>0</v>
      </c>
    </row>
    <row r="5829" spans="1:4">
      <c r="A5829" s="4" t="s">
        <v>392</v>
      </c>
      <c r="B5829" s="5">
        <v>1700034</v>
      </c>
      <c r="C5829" s="5" t="s">
        <v>299</v>
      </c>
      <c r="D5829" s="3">
        <v>17475</v>
      </c>
    </row>
    <row r="5830" spans="1:4">
      <c r="A5830" s="4" t="s">
        <v>392</v>
      </c>
      <c r="B5830" s="5">
        <v>1700035</v>
      </c>
      <c r="C5830" s="5" t="s">
        <v>300</v>
      </c>
      <c r="D5830" s="3">
        <v>64367</v>
      </c>
    </row>
    <row r="5831" spans="1:4">
      <c r="A5831" s="4" t="s">
        <v>392</v>
      </c>
      <c r="B5831" s="5">
        <v>1700036</v>
      </c>
      <c r="C5831" s="5" t="s">
        <v>301</v>
      </c>
      <c r="D5831" s="3">
        <v>5200</v>
      </c>
    </row>
    <row r="5832" spans="1:4">
      <c r="A5832" s="4" t="s">
        <v>392</v>
      </c>
      <c r="B5832" s="5">
        <v>1700037</v>
      </c>
      <c r="C5832" s="5" t="s">
        <v>302</v>
      </c>
      <c r="D5832" s="3">
        <v>7533</v>
      </c>
    </row>
    <row r="5833" spans="1:4">
      <c r="A5833" s="4" t="s">
        <v>392</v>
      </c>
      <c r="B5833" s="5">
        <v>1700038</v>
      </c>
      <c r="C5833" s="5" t="s">
        <v>303</v>
      </c>
      <c r="D5833" s="3">
        <v>2108</v>
      </c>
    </row>
    <row r="5834" spans="1:4">
      <c r="A5834" s="4" t="s">
        <v>392</v>
      </c>
      <c r="B5834" s="5">
        <v>1700039</v>
      </c>
      <c r="C5834" s="5" t="s">
        <v>304</v>
      </c>
      <c r="D5834" s="3">
        <v>3480</v>
      </c>
    </row>
    <row r="5835" spans="1:4">
      <c r="A5835" s="4" t="s">
        <v>392</v>
      </c>
      <c r="B5835" s="5">
        <v>1700040</v>
      </c>
      <c r="C5835" s="5" t="s">
        <v>305</v>
      </c>
      <c r="D5835" s="3">
        <v>1967</v>
      </c>
    </row>
    <row r="5836" spans="1:4">
      <c r="A5836" s="4" t="s">
        <v>392</v>
      </c>
      <c r="B5836" s="5">
        <v>1700041</v>
      </c>
      <c r="C5836" s="5" t="s">
        <v>306</v>
      </c>
      <c r="D5836" s="3">
        <v>3000</v>
      </c>
    </row>
    <row r="5837" spans="1:4">
      <c r="A5837" s="4" t="s">
        <v>392</v>
      </c>
      <c r="B5837" s="5">
        <v>1700042</v>
      </c>
      <c r="C5837" s="5" t="s">
        <v>307</v>
      </c>
      <c r="D5837" s="3">
        <v>3163</v>
      </c>
    </row>
    <row r="5838" spans="1:4">
      <c r="A5838" s="4" t="s">
        <v>392</v>
      </c>
      <c r="B5838" s="5">
        <v>1700043</v>
      </c>
      <c r="C5838" s="5" t="s">
        <v>308</v>
      </c>
      <c r="D5838" s="3">
        <v>5877</v>
      </c>
    </row>
    <row r="5839" spans="1:4">
      <c r="A5839" s="4" t="s">
        <v>392</v>
      </c>
      <c r="B5839" s="5">
        <v>1700044</v>
      </c>
      <c r="C5839" s="5" t="s">
        <v>309</v>
      </c>
      <c r="D5839" s="3">
        <v>7000</v>
      </c>
    </row>
    <row r="5840" spans="1:4">
      <c r="A5840" s="4" t="s">
        <v>392</v>
      </c>
      <c r="B5840" s="5">
        <v>1700045</v>
      </c>
      <c r="C5840" s="5" t="s">
        <v>310</v>
      </c>
      <c r="D5840" s="3">
        <v>3696</v>
      </c>
    </row>
    <row r="5841" spans="1:4">
      <c r="A5841" s="4" t="s">
        <v>392</v>
      </c>
      <c r="B5841" s="5">
        <v>1700046</v>
      </c>
      <c r="C5841" s="5" t="s">
        <v>311</v>
      </c>
      <c r="D5841" s="3">
        <v>6863</v>
      </c>
    </row>
    <row r="5842" spans="1:4">
      <c r="A5842" s="4" t="s">
        <v>392</v>
      </c>
      <c r="B5842" s="5">
        <v>1700047</v>
      </c>
      <c r="C5842" s="5" t="s">
        <v>312</v>
      </c>
      <c r="D5842" s="3">
        <v>22350</v>
      </c>
    </row>
    <row r="5843" spans="1:4">
      <c r="A5843" s="4" t="s">
        <v>392</v>
      </c>
      <c r="B5843" s="5">
        <v>1700048</v>
      </c>
      <c r="C5843" s="5" t="s">
        <v>313</v>
      </c>
      <c r="D5843" s="3">
        <v>13330</v>
      </c>
    </row>
    <row r="5844" spans="1:4">
      <c r="A5844" s="4" t="s">
        <v>392</v>
      </c>
      <c r="B5844" s="5">
        <v>1700049</v>
      </c>
      <c r="C5844" s="5" t="s">
        <v>314</v>
      </c>
      <c r="D5844" s="3">
        <v>5785</v>
      </c>
    </row>
    <row r="5845" spans="1:4">
      <c r="A5845" s="4" t="s">
        <v>392</v>
      </c>
      <c r="B5845" s="5">
        <v>1700050</v>
      </c>
      <c r="C5845" s="5" t="s">
        <v>315</v>
      </c>
      <c r="D5845" s="3">
        <v>39000</v>
      </c>
    </row>
    <row r="5846" spans="1:4">
      <c r="A5846" s="4" t="s">
        <v>392</v>
      </c>
      <c r="B5846" s="5">
        <v>1700051</v>
      </c>
      <c r="C5846" s="5" t="s">
        <v>316</v>
      </c>
      <c r="D5846" s="3">
        <v>11500</v>
      </c>
    </row>
    <row r="5847" spans="1:4">
      <c r="A5847" s="4" t="s">
        <v>392</v>
      </c>
      <c r="B5847" s="5">
        <v>1700052</v>
      </c>
      <c r="C5847" s="5" t="s">
        <v>317</v>
      </c>
      <c r="D5847" s="3">
        <v>3444</v>
      </c>
    </row>
    <row r="5848" spans="1:4">
      <c r="A5848" s="4" t="s">
        <v>392</v>
      </c>
      <c r="B5848" s="5">
        <v>1700053</v>
      </c>
      <c r="C5848" s="5" t="s">
        <v>318</v>
      </c>
      <c r="D5848" s="3">
        <v>15530</v>
      </c>
    </row>
    <row r="5849" spans="1:4">
      <c r="A5849" s="4" t="s">
        <v>392</v>
      </c>
      <c r="B5849" s="5">
        <v>1700054</v>
      </c>
      <c r="C5849" s="5" t="s">
        <v>319</v>
      </c>
      <c r="D5849" s="3">
        <v>11670</v>
      </c>
    </row>
    <row r="5850" spans="1:4">
      <c r="A5850" s="4" t="s">
        <v>392</v>
      </c>
      <c r="B5850" s="5">
        <v>1700055</v>
      </c>
      <c r="C5850" s="5" t="s">
        <v>320</v>
      </c>
      <c r="D5850" s="3">
        <v>11940</v>
      </c>
    </row>
    <row r="5851" spans="1:4">
      <c r="A5851" s="4" t="s">
        <v>392</v>
      </c>
      <c r="B5851" s="5">
        <v>1700056</v>
      </c>
      <c r="C5851" s="5" t="s">
        <v>321</v>
      </c>
      <c r="D5851" s="3">
        <v>6226</v>
      </c>
    </row>
    <row r="5852" spans="1:4">
      <c r="A5852" s="4" t="s">
        <v>392</v>
      </c>
      <c r="B5852" s="5">
        <v>1700057</v>
      </c>
      <c r="C5852" s="5" t="s">
        <v>322</v>
      </c>
      <c r="D5852" s="3">
        <v>2098</v>
      </c>
    </row>
    <row r="5853" spans="1:4">
      <c r="A5853" s="4" t="s">
        <v>392</v>
      </c>
      <c r="B5853" s="5">
        <v>1700058</v>
      </c>
      <c r="C5853" s="5" t="s">
        <v>323</v>
      </c>
      <c r="D5853" s="3">
        <v>5800</v>
      </c>
    </row>
    <row r="5854" spans="1:4">
      <c r="A5854" s="4" t="s">
        <v>392</v>
      </c>
      <c r="B5854" s="5">
        <v>1700059</v>
      </c>
      <c r="C5854" s="5" t="s">
        <v>324</v>
      </c>
      <c r="D5854" s="3">
        <v>27667</v>
      </c>
    </row>
    <row r="5855" spans="1:4">
      <c r="A5855" s="4" t="s">
        <v>392</v>
      </c>
      <c r="B5855" s="5">
        <v>1700060</v>
      </c>
      <c r="C5855" s="5" t="s">
        <v>325</v>
      </c>
      <c r="D5855" s="3">
        <v>5471</v>
      </c>
    </row>
    <row r="5856" spans="1:4">
      <c r="A5856" s="4" t="s">
        <v>392</v>
      </c>
      <c r="B5856" s="5">
        <v>1700061</v>
      </c>
      <c r="C5856" s="5" t="s">
        <v>326</v>
      </c>
      <c r="D5856" s="3">
        <v>8920</v>
      </c>
    </row>
    <row r="5857" spans="1:4">
      <c r="A5857" s="4" t="s">
        <v>392</v>
      </c>
      <c r="B5857" s="5">
        <v>1700062</v>
      </c>
      <c r="C5857" s="5" t="s">
        <v>327</v>
      </c>
      <c r="D5857" s="3">
        <v>10520</v>
      </c>
    </row>
    <row r="5858" spans="1:4">
      <c r="A5858" s="4" t="s">
        <v>392</v>
      </c>
      <c r="B5858" s="5">
        <v>1700063</v>
      </c>
      <c r="C5858" s="5" t="s">
        <v>328</v>
      </c>
      <c r="D5858" s="3">
        <v>10550</v>
      </c>
    </row>
    <row r="5859" spans="1:4">
      <c r="A5859" s="4" t="s">
        <v>392</v>
      </c>
      <c r="B5859" s="5">
        <v>1700064</v>
      </c>
      <c r="C5859" s="5" t="s">
        <v>329</v>
      </c>
      <c r="D5859" s="3">
        <v>11060</v>
      </c>
    </row>
    <row r="5860" spans="1:4">
      <c r="A5860" s="4" t="s">
        <v>392</v>
      </c>
      <c r="B5860" s="5">
        <v>1700065</v>
      </c>
      <c r="C5860" s="5" t="s">
        <v>330</v>
      </c>
      <c r="D5860" s="3">
        <v>12760</v>
      </c>
    </row>
    <row r="5861" spans="1:4">
      <c r="A5861" s="4" t="s">
        <v>392</v>
      </c>
      <c r="B5861" s="5">
        <v>1700066</v>
      </c>
      <c r="C5861" s="5" t="s">
        <v>331</v>
      </c>
      <c r="D5861" s="3">
        <v>13200</v>
      </c>
    </row>
    <row r="5862" spans="1:4">
      <c r="A5862" s="4" t="s">
        <v>392</v>
      </c>
      <c r="B5862" s="5">
        <v>1700067</v>
      </c>
      <c r="C5862" s="5" t="s">
        <v>332</v>
      </c>
      <c r="D5862" s="3">
        <v>10720</v>
      </c>
    </row>
    <row r="5863" spans="1:4">
      <c r="A5863" s="4" t="s">
        <v>392</v>
      </c>
      <c r="B5863" s="5">
        <v>1700068</v>
      </c>
      <c r="C5863" s="5" t="s">
        <v>333</v>
      </c>
      <c r="D5863" s="3">
        <v>12720</v>
      </c>
    </row>
    <row r="5864" spans="1:4">
      <c r="A5864" s="4" t="s">
        <v>392</v>
      </c>
      <c r="B5864" s="5">
        <v>1700069</v>
      </c>
      <c r="C5864" s="5" t="s">
        <v>334</v>
      </c>
      <c r="D5864" s="3">
        <v>14000</v>
      </c>
    </row>
    <row r="5865" spans="1:4">
      <c r="A5865" s="4" t="s">
        <v>392</v>
      </c>
      <c r="B5865" s="5">
        <v>1700070</v>
      </c>
      <c r="C5865" s="5" t="s">
        <v>335</v>
      </c>
      <c r="D5865" s="3">
        <v>1618</v>
      </c>
    </row>
    <row r="5866" spans="1:4">
      <c r="A5866" s="4" t="s">
        <v>392</v>
      </c>
      <c r="B5866" s="5">
        <v>1700071</v>
      </c>
      <c r="C5866" s="5" t="s">
        <v>336</v>
      </c>
      <c r="D5866" s="3">
        <v>12190</v>
      </c>
    </row>
    <row r="5867" spans="1:4">
      <c r="A5867" s="4" t="s">
        <v>392</v>
      </c>
      <c r="B5867" s="5">
        <v>1700072</v>
      </c>
      <c r="C5867" s="5" t="s">
        <v>337</v>
      </c>
      <c r="D5867" s="3">
        <v>10180</v>
      </c>
    </row>
    <row r="5868" spans="1:4">
      <c r="A5868" s="4" t="s">
        <v>392</v>
      </c>
      <c r="B5868" s="5">
        <v>1700073</v>
      </c>
      <c r="C5868" s="5" t="s">
        <v>338</v>
      </c>
      <c r="D5868" s="3">
        <v>9020</v>
      </c>
    </row>
    <row r="5869" spans="1:4">
      <c r="A5869" s="4" t="s">
        <v>392</v>
      </c>
      <c r="B5869" s="5">
        <v>1700076</v>
      </c>
      <c r="C5869" s="5" t="s">
        <v>339</v>
      </c>
      <c r="D5869" s="3">
        <v>4108</v>
      </c>
    </row>
    <row r="5870" spans="1:4">
      <c r="A5870" s="4" t="s">
        <v>392</v>
      </c>
      <c r="B5870" s="5">
        <v>1700077</v>
      </c>
      <c r="C5870" s="5" t="s">
        <v>340</v>
      </c>
      <c r="D5870" s="3">
        <v>3843</v>
      </c>
    </row>
    <row r="5871" spans="1:4">
      <c r="A5871" s="4" t="s">
        <v>392</v>
      </c>
      <c r="B5871" s="5">
        <v>1700078</v>
      </c>
      <c r="C5871" s="5" t="s">
        <v>341</v>
      </c>
      <c r="D5871" s="3">
        <v>4716</v>
      </c>
    </row>
    <row r="5872" spans="1:4">
      <c r="A5872" s="4" t="s">
        <v>392</v>
      </c>
      <c r="B5872" s="5">
        <v>1700080</v>
      </c>
      <c r="C5872" s="5" t="s">
        <v>342</v>
      </c>
      <c r="D5872" s="3">
        <v>3922</v>
      </c>
    </row>
    <row r="5873" spans="1:4">
      <c r="A5873" s="4" t="s">
        <v>392</v>
      </c>
      <c r="B5873" s="5">
        <v>1700083</v>
      </c>
      <c r="C5873" s="5" t="s">
        <v>343</v>
      </c>
      <c r="D5873" s="3">
        <v>8333</v>
      </c>
    </row>
    <row r="5874" spans="1:4">
      <c r="A5874" s="4" t="s">
        <v>392</v>
      </c>
      <c r="B5874" s="5">
        <v>1700084</v>
      </c>
      <c r="C5874" s="5" t="s">
        <v>344</v>
      </c>
      <c r="D5874" s="3">
        <v>12010</v>
      </c>
    </row>
    <row r="5875" spans="1:4">
      <c r="A5875" s="4" t="s">
        <v>392</v>
      </c>
      <c r="B5875" s="5">
        <v>1700085</v>
      </c>
      <c r="C5875" s="5" t="s">
        <v>345</v>
      </c>
      <c r="D5875" s="3">
        <v>7860</v>
      </c>
    </row>
    <row r="5876" spans="1:4">
      <c r="A5876" s="4" t="s">
        <v>392</v>
      </c>
      <c r="B5876" s="5">
        <v>1700086</v>
      </c>
      <c r="C5876" s="5" t="s">
        <v>346</v>
      </c>
      <c r="D5876" s="3">
        <v>1814</v>
      </c>
    </row>
    <row r="5877" spans="1:4">
      <c r="A5877" s="4" t="s">
        <v>392</v>
      </c>
      <c r="B5877" s="5">
        <v>1700087</v>
      </c>
      <c r="C5877" s="5" t="s">
        <v>347</v>
      </c>
      <c r="D5877" s="3">
        <v>4890</v>
      </c>
    </row>
    <row r="5878" spans="1:4">
      <c r="A5878" s="4" t="s">
        <v>392</v>
      </c>
      <c r="B5878" s="5">
        <v>1700088</v>
      </c>
      <c r="C5878" s="5" t="s">
        <v>348</v>
      </c>
      <c r="D5878" s="3">
        <v>15500</v>
      </c>
    </row>
    <row r="5879" spans="1:4">
      <c r="A5879" s="4" t="s">
        <v>392</v>
      </c>
      <c r="B5879" s="5">
        <v>1700089</v>
      </c>
      <c r="C5879" s="5" t="s">
        <v>349</v>
      </c>
      <c r="D5879" s="3">
        <v>18500</v>
      </c>
    </row>
    <row r="5880" spans="1:4">
      <c r="A5880" s="4" t="s">
        <v>392</v>
      </c>
      <c r="B5880" s="5">
        <v>1700090</v>
      </c>
      <c r="C5880" s="5" t="s">
        <v>350</v>
      </c>
      <c r="D5880" s="3">
        <v>25490</v>
      </c>
    </row>
    <row r="5881" spans="1:4">
      <c r="A5881" s="4" t="s">
        <v>392</v>
      </c>
      <c r="B5881" s="5">
        <v>1700091</v>
      </c>
      <c r="C5881" s="5" t="s">
        <v>351</v>
      </c>
      <c r="D5881" s="3">
        <v>18353</v>
      </c>
    </row>
    <row r="5882" spans="1:4">
      <c r="A5882" s="4" t="s">
        <v>392</v>
      </c>
      <c r="B5882" s="5">
        <v>1700092</v>
      </c>
      <c r="C5882" s="5" t="s">
        <v>352</v>
      </c>
      <c r="D5882" s="3">
        <v>1784</v>
      </c>
    </row>
    <row r="5883" spans="1:4">
      <c r="A5883" s="4" t="s">
        <v>392</v>
      </c>
      <c r="B5883" s="5">
        <v>1700093</v>
      </c>
      <c r="C5883" s="5" t="s">
        <v>353</v>
      </c>
      <c r="D5883" s="3">
        <v>11180</v>
      </c>
    </row>
    <row r="5884" spans="1:4">
      <c r="A5884" s="4" t="s">
        <v>392</v>
      </c>
      <c r="B5884" s="5">
        <v>1700094</v>
      </c>
      <c r="C5884" s="5" t="s">
        <v>354</v>
      </c>
      <c r="D5884" s="3">
        <v>13529</v>
      </c>
    </row>
    <row r="5885" spans="1:4">
      <c r="A5885" s="4" t="s">
        <v>392</v>
      </c>
      <c r="B5885" s="5">
        <v>1700095</v>
      </c>
      <c r="C5885" s="5" t="s">
        <v>355</v>
      </c>
      <c r="D5885" s="3">
        <v>4500</v>
      </c>
    </row>
    <row r="5886" spans="1:4">
      <c r="A5886" s="4" t="s">
        <v>392</v>
      </c>
      <c r="B5886" s="5">
        <v>1700096</v>
      </c>
      <c r="C5886" s="5" t="s">
        <v>356</v>
      </c>
      <c r="D5886" s="3">
        <v>24510</v>
      </c>
    </row>
    <row r="5887" spans="1:4">
      <c r="A5887" s="4" t="s">
        <v>392</v>
      </c>
      <c r="B5887" s="5">
        <v>1700097</v>
      </c>
      <c r="C5887" s="5" t="s">
        <v>357</v>
      </c>
      <c r="D5887" s="3">
        <v>19608</v>
      </c>
    </row>
    <row r="5888" spans="1:4">
      <c r="A5888" s="4" t="s">
        <v>392</v>
      </c>
      <c r="B5888" s="5">
        <v>1700098</v>
      </c>
      <c r="C5888" s="5" t="s">
        <v>358</v>
      </c>
      <c r="D5888" s="3">
        <v>19608</v>
      </c>
    </row>
    <row r="5889" spans="1:4">
      <c r="A5889" s="4" t="s">
        <v>392</v>
      </c>
      <c r="B5889" s="5">
        <v>1700099</v>
      </c>
      <c r="C5889" s="5" t="s">
        <v>359</v>
      </c>
      <c r="D5889" s="3">
        <v>9740</v>
      </c>
    </row>
    <row r="5890" spans="1:4">
      <c r="A5890" s="4" t="s">
        <v>392</v>
      </c>
      <c r="B5890" s="5">
        <v>1700100</v>
      </c>
      <c r="C5890" s="5" t="s">
        <v>360</v>
      </c>
      <c r="D5890" s="3">
        <v>3333</v>
      </c>
    </row>
    <row r="5891" spans="1:4">
      <c r="A5891" s="4" t="s">
        <v>392</v>
      </c>
      <c r="B5891" s="5">
        <v>1700101</v>
      </c>
      <c r="C5891" s="5" t="s">
        <v>361</v>
      </c>
      <c r="D5891" s="3">
        <v>7647</v>
      </c>
    </row>
    <row r="5892" spans="1:4">
      <c r="A5892" s="4" t="s">
        <v>392</v>
      </c>
      <c r="B5892" s="5">
        <v>1700102</v>
      </c>
      <c r="C5892" s="5" t="s">
        <v>362</v>
      </c>
      <c r="D5892" s="3">
        <v>40196</v>
      </c>
    </row>
    <row r="5893" spans="1:4">
      <c r="A5893" s="4" t="s">
        <v>392</v>
      </c>
      <c r="B5893" s="5">
        <v>1700103</v>
      </c>
      <c r="C5893" s="5" t="s">
        <v>363</v>
      </c>
      <c r="D5893" s="3">
        <v>9000</v>
      </c>
    </row>
    <row r="5894" spans="1:4">
      <c r="A5894" s="4" t="s">
        <v>392</v>
      </c>
      <c r="B5894" s="5">
        <v>1700104</v>
      </c>
      <c r="C5894" s="5" t="s">
        <v>364</v>
      </c>
      <c r="D5894" s="3">
        <v>25000</v>
      </c>
    </row>
    <row r="5895" spans="1:4">
      <c r="A5895" s="4" t="s">
        <v>392</v>
      </c>
      <c r="B5895" s="5">
        <v>1700105</v>
      </c>
      <c r="C5895" s="5" t="s">
        <v>365</v>
      </c>
      <c r="D5895" s="3">
        <v>11275</v>
      </c>
    </row>
    <row r="5896" spans="1:4">
      <c r="A5896" s="4" t="s">
        <v>392</v>
      </c>
      <c r="B5896" s="5">
        <v>1700106</v>
      </c>
      <c r="C5896" s="5" t="s">
        <v>366</v>
      </c>
      <c r="D5896" s="3">
        <v>12255</v>
      </c>
    </row>
    <row r="5897" spans="1:4">
      <c r="A5897" s="4" t="s">
        <v>392</v>
      </c>
      <c r="B5897" s="5">
        <v>1700107</v>
      </c>
      <c r="C5897" s="5" t="s">
        <v>367</v>
      </c>
      <c r="D5897" s="3">
        <v>9020</v>
      </c>
    </row>
    <row r="5898" spans="1:4">
      <c r="A5898" s="4" t="s">
        <v>392</v>
      </c>
      <c r="B5898" s="5">
        <v>1800002</v>
      </c>
      <c r="C5898" s="5" t="s">
        <v>368</v>
      </c>
      <c r="D5898" s="3">
        <v>9520</v>
      </c>
    </row>
    <row r="5899" spans="1:4">
      <c r="A5899" s="4" t="s">
        <v>392</v>
      </c>
      <c r="B5899" s="5">
        <v>1800004</v>
      </c>
      <c r="C5899" s="5" t="s">
        <v>369</v>
      </c>
      <c r="D5899" s="3">
        <v>0</v>
      </c>
    </row>
    <row r="5900" spans="1:4">
      <c r="A5900" s="4" t="s">
        <v>392</v>
      </c>
      <c r="B5900" s="5">
        <v>1800005</v>
      </c>
      <c r="C5900" s="5" t="s">
        <v>370</v>
      </c>
      <c r="D5900" s="3">
        <v>0</v>
      </c>
    </row>
    <row r="5901" spans="1:4">
      <c r="A5901" s="4" t="s">
        <v>392</v>
      </c>
      <c r="B5901" s="5">
        <v>1800006</v>
      </c>
      <c r="C5901" s="5" t="s">
        <v>371</v>
      </c>
      <c r="D5901" s="3">
        <v>0</v>
      </c>
    </row>
    <row r="5902" spans="1:4">
      <c r="A5902" s="4" t="s">
        <v>392</v>
      </c>
      <c r="B5902" s="5">
        <v>1800007</v>
      </c>
      <c r="C5902" s="5" t="s">
        <v>372</v>
      </c>
      <c r="D5902" s="3">
        <v>10000</v>
      </c>
    </row>
    <row r="5903" spans="1:4">
      <c r="A5903" s="4" t="s">
        <v>392</v>
      </c>
      <c r="B5903" s="5">
        <v>1800008</v>
      </c>
      <c r="C5903" s="5" t="s">
        <v>373</v>
      </c>
      <c r="D5903" s="3">
        <v>10230</v>
      </c>
    </row>
    <row r="5904" spans="1:4">
      <c r="A5904" s="4" t="s">
        <v>392</v>
      </c>
      <c r="B5904" s="5">
        <v>1800009</v>
      </c>
      <c r="C5904" s="5" t="s">
        <v>374</v>
      </c>
      <c r="D5904" s="3">
        <v>11800</v>
      </c>
    </row>
    <row r="5905" spans="1:4">
      <c r="A5905" s="4" t="s">
        <v>392</v>
      </c>
      <c r="B5905" s="5">
        <v>1800010</v>
      </c>
      <c r="C5905" s="5" t="s">
        <v>375</v>
      </c>
      <c r="D5905" s="3">
        <v>6863</v>
      </c>
    </row>
    <row r="5906" spans="1:4">
      <c r="A5906" s="4" t="s">
        <v>392</v>
      </c>
      <c r="B5906" s="5">
        <v>1800011</v>
      </c>
      <c r="C5906" s="5" t="s">
        <v>376</v>
      </c>
      <c r="D5906" s="3">
        <v>13235</v>
      </c>
    </row>
    <row r="5907" spans="1:4">
      <c r="A5907" s="4" t="s">
        <v>392</v>
      </c>
      <c r="B5907" s="5">
        <v>1800012</v>
      </c>
      <c r="C5907" s="5" t="s">
        <v>377</v>
      </c>
      <c r="D5907" s="3">
        <v>8235</v>
      </c>
    </row>
    <row r="5908" spans="1:4">
      <c r="A5908" s="4" t="s">
        <v>392</v>
      </c>
      <c r="B5908" s="5">
        <v>1800013</v>
      </c>
      <c r="C5908" s="5" t="s">
        <v>378</v>
      </c>
      <c r="D5908" s="3">
        <v>51500</v>
      </c>
    </row>
    <row r="5909" spans="1:4">
      <c r="A5909" s="4" t="s">
        <v>392</v>
      </c>
      <c r="B5909" s="5">
        <v>1800014</v>
      </c>
      <c r="C5909" s="5" t="s">
        <v>379</v>
      </c>
      <c r="D5909" s="3">
        <v>83000</v>
      </c>
    </row>
    <row r="5910" spans="1:4">
      <c r="A5910" s="4" t="s">
        <v>392</v>
      </c>
      <c r="B5910" s="5">
        <v>1800015</v>
      </c>
      <c r="C5910" s="5" t="s">
        <v>380</v>
      </c>
      <c r="D5910" s="3">
        <v>71000</v>
      </c>
    </row>
    <row r="5911" spans="1:4">
      <c r="A5911" s="4" t="s">
        <v>392</v>
      </c>
      <c r="B5911" s="5">
        <v>1900013</v>
      </c>
      <c r="C5911" s="5" t="s">
        <v>381</v>
      </c>
      <c r="D5911" s="3">
        <v>0</v>
      </c>
    </row>
    <row r="5912" spans="1:4">
      <c r="A5912" s="4" t="s">
        <v>392</v>
      </c>
      <c r="B5912" s="5">
        <v>1900018</v>
      </c>
      <c r="C5912" s="5" t="s">
        <v>382</v>
      </c>
      <c r="D5912" s="3">
        <v>0</v>
      </c>
    </row>
    <row r="5913" spans="1:4">
      <c r="A5913" s="4" t="s">
        <v>393</v>
      </c>
      <c r="B5913" s="5">
        <v>1010101</v>
      </c>
      <c r="C5913" s="5" t="s">
        <v>5</v>
      </c>
      <c r="D5913" s="3">
        <v>700</v>
      </c>
    </row>
    <row r="5914" spans="1:4">
      <c r="A5914" s="4" t="s">
        <v>393</v>
      </c>
      <c r="B5914" s="5">
        <v>1010111</v>
      </c>
      <c r="C5914" s="5" t="s">
        <v>9</v>
      </c>
      <c r="D5914" s="3">
        <v>22500</v>
      </c>
    </row>
    <row r="5915" spans="1:4">
      <c r="A5915" s="4" t="s">
        <v>393</v>
      </c>
      <c r="B5915" s="5">
        <v>1010201</v>
      </c>
      <c r="C5915" s="5" t="s">
        <v>11</v>
      </c>
      <c r="D5915" s="3">
        <v>1372</v>
      </c>
    </row>
    <row r="5916" spans="1:4">
      <c r="A5916" s="4" t="s">
        <v>393</v>
      </c>
      <c r="B5916" s="5">
        <v>1010300</v>
      </c>
      <c r="C5916" s="5" t="s">
        <v>213</v>
      </c>
      <c r="D5916" s="3">
        <v>9608</v>
      </c>
    </row>
    <row r="5917" spans="1:4">
      <c r="A5917" s="4" t="s">
        <v>393</v>
      </c>
      <c r="B5917" s="5">
        <v>1010301</v>
      </c>
      <c r="C5917" s="5" t="s">
        <v>214</v>
      </c>
      <c r="D5917" s="3">
        <v>6373</v>
      </c>
    </row>
    <row r="5918" spans="1:4">
      <c r="A5918" s="4" t="s">
        <v>393</v>
      </c>
      <c r="B5918" s="5">
        <v>1010302</v>
      </c>
      <c r="C5918" s="5" t="s">
        <v>16</v>
      </c>
      <c r="D5918" s="3">
        <v>4314</v>
      </c>
    </row>
    <row r="5919" spans="1:4">
      <c r="A5919" s="4" t="s">
        <v>393</v>
      </c>
      <c r="B5919" s="5">
        <v>1010303</v>
      </c>
      <c r="C5919" s="5" t="s">
        <v>18</v>
      </c>
      <c r="D5919" s="3">
        <v>882</v>
      </c>
    </row>
    <row r="5920" spans="1:4">
      <c r="A5920" s="4" t="s">
        <v>393</v>
      </c>
      <c r="B5920" s="5">
        <v>1010304</v>
      </c>
      <c r="C5920" s="5" t="s">
        <v>215</v>
      </c>
      <c r="D5920" s="3">
        <v>1422</v>
      </c>
    </row>
    <row r="5921" spans="1:4">
      <c r="A5921" s="4" t="s">
        <v>393</v>
      </c>
      <c r="B5921" s="5">
        <v>1010401</v>
      </c>
      <c r="C5921" s="5" t="s">
        <v>20</v>
      </c>
      <c r="D5921" s="3">
        <v>4412</v>
      </c>
    </row>
    <row r="5922" spans="1:4">
      <c r="A5922" s="4" t="s">
        <v>393</v>
      </c>
      <c r="B5922" s="5">
        <v>1010405</v>
      </c>
      <c r="C5922" s="5" t="s">
        <v>22</v>
      </c>
      <c r="D5922" s="3">
        <v>9975</v>
      </c>
    </row>
    <row r="5923" spans="1:4">
      <c r="A5923" s="4" t="s">
        <v>393</v>
      </c>
      <c r="B5923" s="5">
        <v>1010501</v>
      </c>
      <c r="C5923" s="5" t="s">
        <v>24</v>
      </c>
      <c r="D5923" s="3">
        <v>980</v>
      </c>
    </row>
    <row r="5924" spans="1:4">
      <c r="A5924" s="4" t="s">
        <v>393</v>
      </c>
      <c r="B5924" s="5">
        <v>1010502</v>
      </c>
      <c r="C5924" s="5" t="s">
        <v>216</v>
      </c>
      <c r="D5924" s="3">
        <v>0</v>
      </c>
    </row>
    <row r="5925" spans="1:4">
      <c r="A5925" s="4" t="s">
        <v>393</v>
      </c>
      <c r="B5925" s="5">
        <v>1010601</v>
      </c>
      <c r="C5925" s="5" t="s">
        <v>26</v>
      </c>
      <c r="D5925" s="3">
        <v>4902</v>
      </c>
    </row>
    <row r="5926" spans="1:4">
      <c r="A5926" s="4" t="s">
        <v>393</v>
      </c>
      <c r="B5926" s="5">
        <v>1010701</v>
      </c>
      <c r="C5926" s="5" t="s">
        <v>28</v>
      </c>
      <c r="D5926" s="3">
        <v>686</v>
      </c>
    </row>
    <row r="5927" spans="1:4">
      <c r="A5927" s="4" t="s">
        <v>393</v>
      </c>
      <c r="B5927" s="5">
        <v>1010801</v>
      </c>
      <c r="C5927" s="5" t="s">
        <v>30</v>
      </c>
      <c r="D5927" s="3">
        <v>11275</v>
      </c>
    </row>
    <row r="5928" spans="1:4">
      <c r="A5928" s="4" t="s">
        <v>393</v>
      </c>
      <c r="B5928" s="5">
        <v>1010901</v>
      </c>
      <c r="C5928" s="5" t="s">
        <v>32</v>
      </c>
      <c r="D5928" s="3">
        <v>4804</v>
      </c>
    </row>
    <row r="5929" spans="1:4">
      <c r="A5929" s="4" t="s">
        <v>393</v>
      </c>
      <c r="B5929" s="5">
        <v>1020101</v>
      </c>
      <c r="C5929" s="5" t="s">
        <v>34</v>
      </c>
      <c r="D5929" s="3">
        <v>11667</v>
      </c>
    </row>
    <row r="5930" spans="1:4">
      <c r="A5930" s="4" t="s">
        <v>393</v>
      </c>
      <c r="B5930" s="5">
        <v>1020201</v>
      </c>
      <c r="C5930" s="5" t="s">
        <v>217</v>
      </c>
      <c r="D5930" s="3">
        <v>5600</v>
      </c>
    </row>
    <row r="5931" spans="1:4">
      <c r="A5931" s="4" t="s">
        <v>393</v>
      </c>
      <c r="B5931" s="5">
        <v>1020301</v>
      </c>
      <c r="C5931" s="5" t="s">
        <v>38</v>
      </c>
      <c r="D5931" s="3">
        <v>2640</v>
      </c>
    </row>
    <row r="5932" spans="1:4">
      <c r="A5932" s="4" t="s">
        <v>393</v>
      </c>
      <c r="B5932" s="5">
        <v>1020401</v>
      </c>
      <c r="C5932" s="5" t="s">
        <v>40</v>
      </c>
      <c r="D5932" s="3">
        <v>3470</v>
      </c>
    </row>
    <row r="5933" spans="1:4">
      <c r="A5933" s="4" t="s">
        <v>393</v>
      </c>
      <c r="B5933" s="5">
        <v>1030102</v>
      </c>
      <c r="C5933" s="5" t="s">
        <v>218</v>
      </c>
      <c r="D5933" s="3">
        <v>0</v>
      </c>
    </row>
    <row r="5934" spans="1:4">
      <c r="A5934" s="4" t="s">
        <v>393</v>
      </c>
      <c r="B5934" s="5">
        <v>1030201</v>
      </c>
      <c r="C5934" s="5" t="s">
        <v>42</v>
      </c>
      <c r="D5934" s="3">
        <v>2843</v>
      </c>
    </row>
    <row r="5935" spans="1:4">
      <c r="A5935" s="4" t="s">
        <v>393</v>
      </c>
      <c r="B5935" s="5">
        <v>1030203</v>
      </c>
      <c r="C5935" s="5" t="s">
        <v>219</v>
      </c>
      <c r="D5935" s="3">
        <v>0</v>
      </c>
    </row>
    <row r="5936" spans="1:4">
      <c r="A5936" s="4" t="s">
        <v>393</v>
      </c>
      <c r="B5936" s="5">
        <v>1030204</v>
      </c>
      <c r="C5936" s="5" t="s">
        <v>220</v>
      </c>
      <c r="D5936" s="3">
        <v>0</v>
      </c>
    </row>
    <row r="5937" spans="1:4">
      <c r="A5937" s="4" t="s">
        <v>393</v>
      </c>
      <c r="B5937" s="5">
        <v>1030205</v>
      </c>
      <c r="C5937" s="5" t="s">
        <v>44</v>
      </c>
      <c r="D5937" s="3">
        <v>5000</v>
      </c>
    </row>
    <row r="5938" spans="1:4">
      <c r="A5938" s="4" t="s">
        <v>393</v>
      </c>
      <c r="B5938" s="5">
        <v>1030206</v>
      </c>
      <c r="C5938" s="5" t="s">
        <v>46</v>
      </c>
      <c r="D5938" s="3">
        <v>6200</v>
      </c>
    </row>
    <row r="5939" spans="1:4">
      <c r="A5939" s="4" t="s">
        <v>393</v>
      </c>
      <c r="B5939" s="5">
        <v>1030207</v>
      </c>
      <c r="C5939" s="5" t="s">
        <v>48</v>
      </c>
      <c r="D5939" s="3">
        <v>4600</v>
      </c>
    </row>
    <row r="5940" spans="1:4">
      <c r="A5940" s="4" t="s">
        <v>393</v>
      </c>
      <c r="B5940" s="5">
        <v>1030501</v>
      </c>
      <c r="C5940" s="5" t="s">
        <v>50</v>
      </c>
      <c r="D5940" s="3">
        <v>1163</v>
      </c>
    </row>
    <row r="5941" spans="1:4">
      <c r="A5941" s="4" t="s">
        <v>393</v>
      </c>
      <c r="B5941" s="5">
        <v>1030601</v>
      </c>
      <c r="C5941" s="5" t="s">
        <v>52</v>
      </c>
      <c r="D5941" s="3">
        <v>3050</v>
      </c>
    </row>
    <row r="5942" spans="1:4">
      <c r="A5942" s="4" t="s">
        <v>393</v>
      </c>
      <c r="B5942" s="5">
        <v>1030701</v>
      </c>
      <c r="C5942" s="5" t="s">
        <v>221</v>
      </c>
      <c r="D5942" s="3">
        <v>3000</v>
      </c>
    </row>
    <row r="5943" spans="1:4">
      <c r="A5943" s="4" t="s">
        <v>393</v>
      </c>
      <c r="B5943" s="5">
        <v>1030705</v>
      </c>
      <c r="C5943" s="5" t="s">
        <v>222</v>
      </c>
      <c r="D5943" s="3">
        <v>0</v>
      </c>
    </row>
    <row r="5944" spans="1:4">
      <c r="A5944" s="4" t="s">
        <v>393</v>
      </c>
      <c r="B5944" s="5">
        <v>1030801</v>
      </c>
      <c r="C5944" s="5" t="s">
        <v>54</v>
      </c>
      <c r="D5944" s="3">
        <v>1176</v>
      </c>
    </row>
    <row r="5945" spans="1:4">
      <c r="A5945" s="4" t="s">
        <v>393</v>
      </c>
      <c r="B5945" s="5">
        <v>1030901</v>
      </c>
      <c r="C5945" s="5" t="s">
        <v>223</v>
      </c>
      <c r="D5945" s="3">
        <v>0</v>
      </c>
    </row>
    <row r="5946" spans="1:4">
      <c r="A5946" s="4" t="s">
        <v>393</v>
      </c>
      <c r="B5946" s="5">
        <v>1040201</v>
      </c>
      <c r="C5946" s="5" t="s">
        <v>56</v>
      </c>
      <c r="D5946" s="3">
        <v>1650</v>
      </c>
    </row>
    <row r="5947" spans="1:4">
      <c r="A5947" s="4" t="s">
        <v>393</v>
      </c>
      <c r="B5947" s="5">
        <v>1040202</v>
      </c>
      <c r="C5947" s="5" t="s">
        <v>224</v>
      </c>
      <c r="D5947" s="3">
        <v>0</v>
      </c>
    </row>
    <row r="5948" spans="1:4">
      <c r="A5948" s="4" t="s">
        <v>393</v>
      </c>
      <c r="B5948" s="5">
        <v>1040203</v>
      </c>
      <c r="C5948" s="5" t="s">
        <v>225</v>
      </c>
      <c r="D5948" s="3">
        <v>0</v>
      </c>
    </row>
    <row r="5949" spans="1:4">
      <c r="A5949" s="4" t="s">
        <v>393</v>
      </c>
      <c r="B5949" s="5">
        <v>1040204</v>
      </c>
      <c r="C5949" s="5" t="s">
        <v>226</v>
      </c>
      <c r="D5949" s="3">
        <v>8583</v>
      </c>
    </row>
    <row r="5950" spans="1:4">
      <c r="A5950" s="4" t="s">
        <v>393</v>
      </c>
      <c r="B5950" s="5">
        <v>1040301</v>
      </c>
      <c r="C5950" s="5" t="s">
        <v>58</v>
      </c>
      <c r="D5950" s="3">
        <v>1650</v>
      </c>
    </row>
    <row r="5951" spans="1:4">
      <c r="A5951" s="4" t="s">
        <v>393</v>
      </c>
      <c r="B5951" s="5">
        <v>1040401</v>
      </c>
      <c r="C5951" s="5" t="s">
        <v>227</v>
      </c>
      <c r="D5951" s="3">
        <v>0</v>
      </c>
    </row>
    <row r="5952" spans="1:4">
      <c r="A5952" s="4" t="s">
        <v>393</v>
      </c>
      <c r="B5952" s="5">
        <v>1050102</v>
      </c>
      <c r="C5952" s="5" t="s">
        <v>60</v>
      </c>
      <c r="D5952" s="3">
        <v>33000</v>
      </c>
    </row>
    <row r="5953" spans="1:4">
      <c r="A5953" s="4" t="s">
        <v>393</v>
      </c>
      <c r="B5953" s="5">
        <v>1050103</v>
      </c>
      <c r="C5953" s="5" t="s">
        <v>228</v>
      </c>
      <c r="D5953" s="3">
        <v>11275</v>
      </c>
    </row>
    <row r="5954" spans="1:4">
      <c r="A5954" s="4" t="s">
        <v>393</v>
      </c>
      <c r="B5954" s="5">
        <v>1050301</v>
      </c>
      <c r="C5954" s="5" t="s">
        <v>62</v>
      </c>
      <c r="D5954" s="3">
        <v>9804</v>
      </c>
    </row>
    <row r="5955" spans="1:4">
      <c r="A5955" s="4" t="s">
        <v>393</v>
      </c>
      <c r="B5955" s="5">
        <v>1050401</v>
      </c>
      <c r="C5955" s="5" t="s">
        <v>64</v>
      </c>
      <c r="D5955" s="3">
        <v>8824</v>
      </c>
    </row>
    <row r="5956" spans="1:4">
      <c r="A5956" s="4" t="s">
        <v>393</v>
      </c>
      <c r="B5956" s="5">
        <v>1050501</v>
      </c>
      <c r="C5956" s="5" t="s">
        <v>66</v>
      </c>
      <c r="D5956" s="3">
        <v>10784</v>
      </c>
    </row>
    <row r="5957" spans="1:4">
      <c r="A5957" s="4" t="s">
        <v>393</v>
      </c>
      <c r="B5957" s="5">
        <v>1050511</v>
      </c>
      <c r="C5957" s="5" t="s">
        <v>68</v>
      </c>
      <c r="D5957" s="3">
        <v>18000</v>
      </c>
    </row>
    <row r="5958" spans="1:4">
      <c r="A5958" s="4" t="s">
        <v>393</v>
      </c>
      <c r="B5958" s="5">
        <v>1050512</v>
      </c>
      <c r="C5958" s="5" t="s">
        <v>229</v>
      </c>
      <c r="D5958" s="3">
        <v>0</v>
      </c>
    </row>
    <row r="5959" spans="1:4">
      <c r="A5959" s="4" t="s">
        <v>393</v>
      </c>
      <c r="B5959" s="5">
        <v>1050521</v>
      </c>
      <c r="C5959" s="5" t="s">
        <v>70</v>
      </c>
      <c r="D5959" s="3">
        <v>14706</v>
      </c>
    </row>
    <row r="5960" spans="1:4">
      <c r="A5960" s="4" t="s">
        <v>393</v>
      </c>
      <c r="B5960" s="5">
        <v>1050531</v>
      </c>
      <c r="C5960" s="5" t="s">
        <v>72</v>
      </c>
      <c r="D5960" s="3">
        <v>21000</v>
      </c>
    </row>
    <row r="5961" spans="1:4">
      <c r="A5961" s="4" t="s">
        <v>393</v>
      </c>
      <c r="B5961" s="5">
        <v>1050541</v>
      </c>
      <c r="C5961" s="5" t="s">
        <v>74</v>
      </c>
      <c r="D5961" s="3">
        <v>11000</v>
      </c>
    </row>
    <row r="5962" spans="1:4">
      <c r="A5962" s="4" t="s">
        <v>393</v>
      </c>
      <c r="B5962" s="5">
        <v>1050551</v>
      </c>
      <c r="C5962" s="5" t="s">
        <v>76</v>
      </c>
      <c r="D5962" s="3">
        <v>54000</v>
      </c>
    </row>
    <row r="5963" spans="1:4">
      <c r="A5963" s="4" t="s">
        <v>393</v>
      </c>
      <c r="B5963" s="5">
        <v>1050561</v>
      </c>
      <c r="C5963" s="5" t="s">
        <v>78</v>
      </c>
      <c r="D5963" s="3">
        <v>77321</v>
      </c>
    </row>
    <row r="5964" spans="1:4">
      <c r="A5964" s="4" t="s">
        <v>393</v>
      </c>
      <c r="B5964" s="5">
        <v>1050571</v>
      </c>
      <c r="C5964" s="5" t="s">
        <v>80</v>
      </c>
      <c r="D5964" s="3">
        <v>58000</v>
      </c>
    </row>
    <row r="5965" spans="1:4">
      <c r="A5965" s="4" t="s">
        <v>393</v>
      </c>
      <c r="B5965" s="5">
        <v>1050581</v>
      </c>
      <c r="C5965" s="5" t="s">
        <v>82</v>
      </c>
      <c r="D5965" s="3">
        <v>73000</v>
      </c>
    </row>
    <row r="5966" spans="1:4">
      <c r="A5966" s="4" t="s">
        <v>393</v>
      </c>
      <c r="B5966" s="5">
        <v>1050591</v>
      </c>
      <c r="C5966" s="5" t="s">
        <v>84</v>
      </c>
      <c r="D5966" s="3">
        <v>97750</v>
      </c>
    </row>
    <row r="5967" spans="1:4">
      <c r="A5967" s="4" t="s">
        <v>393</v>
      </c>
      <c r="B5967" s="5">
        <v>1050601</v>
      </c>
      <c r="C5967" s="5" t="s">
        <v>86</v>
      </c>
      <c r="D5967" s="3">
        <v>6400</v>
      </c>
    </row>
    <row r="5968" spans="1:4">
      <c r="A5968" s="4" t="s">
        <v>393</v>
      </c>
      <c r="B5968" s="5">
        <v>1050701</v>
      </c>
      <c r="C5968" s="5" t="s">
        <v>88</v>
      </c>
      <c r="D5968" s="3">
        <v>5930</v>
      </c>
    </row>
    <row r="5969" spans="1:4">
      <c r="A5969" s="4" t="s">
        <v>393</v>
      </c>
      <c r="B5969" s="5">
        <v>1050702</v>
      </c>
      <c r="C5969" s="5" t="s">
        <v>90</v>
      </c>
      <c r="D5969" s="3">
        <v>5870</v>
      </c>
    </row>
    <row r="5970" spans="1:4">
      <c r="A5970" s="4" t="s">
        <v>393</v>
      </c>
      <c r="B5970" s="5">
        <v>1050711</v>
      </c>
      <c r="C5970" s="5" t="s">
        <v>92</v>
      </c>
      <c r="D5970" s="3">
        <v>2600</v>
      </c>
    </row>
    <row r="5971" spans="1:4">
      <c r="A5971" s="4" t="s">
        <v>393</v>
      </c>
      <c r="B5971" s="5">
        <v>1050721</v>
      </c>
      <c r="C5971" s="5" t="s">
        <v>94</v>
      </c>
      <c r="D5971" s="3">
        <v>14510</v>
      </c>
    </row>
    <row r="5972" spans="1:4">
      <c r="A5972" s="4" t="s">
        <v>393</v>
      </c>
      <c r="B5972" s="5">
        <v>1050801</v>
      </c>
      <c r="C5972" s="5" t="s">
        <v>7</v>
      </c>
      <c r="D5972" s="3">
        <v>882</v>
      </c>
    </row>
    <row r="5973" spans="1:4">
      <c r="A5973" s="4" t="s">
        <v>393</v>
      </c>
      <c r="B5973" s="5">
        <v>1050901</v>
      </c>
      <c r="C5973" s="5" t="s">
        <v>96</v>
      </c>
      <c r="D5973" s="3">
        <v>1216</v>
      </c>
    </row>
    <row r="5974" spans="1:4">
      <c r="A5974" s="4" t="s">
        <v>393</v>
      </c>
      <c r="B5974" s="5">
        <v>1060101</v>
      </c>
      <c r="C5974" s="5" t="s">
        <v>98</v>
      </c>
      <c r="D5974" s="3">
        <v>2200</v>
      </c>
    </row>
    <row r="5975" spans="1:4">
      <c r="A5975" s="4" t="s">
        <v>393</v>
      </c>
      <c r="B5975" s="5">
        <v>1060401</v>
      </c>
      <c r="C5975" s="5" t="s">
        <v>100</v>
      </c>
      <c r="D5975" s="3">
        <v>105000</v>
      </c>
    </row>
    <row r="5976" spans="1:4">
      <c r="A5976" s="4" t="s">
        <v>393</v>
      </c>
      <c r="B5976" s="5">
        <v>1060412</v>
      </c>
      <c r="C5976" s="5" t="s">
        <v>230</v>
      </c>
      <c r="D5976" s="3">
        <v>33000</v>
      </c>
    </row>
    <row r="5977" spans="1:4">
      <c r="A5977" s="4" t="s">
        <v>393</v>
      </c>
      <c r="B5977" s="5">
        <v>1060421</v>
      </c>
      <c r="C5977" s="5" t="s">
        <v>104</v>
      </c>
      <c r="D5977" s="3">
        <v>118000</v>
      </c>
    </row>
    <row r="5978" spans="1:4">
      <c r="A5978" s="4" t="s">
        <v>393</v>
      </c>
      <c r="B5978" s="5">
        <v>1060441</v>
      </c>
      <c r="C5978" s="5" t="s">
        <v>106</v>
      </c>
      <c r="D5978" s="3">
        <v>6471</v>
      </c>
    </row>
    <row r="5979" spans="1:4">
      <c r="A5979" s="4" t="s">
        <v>393</v>
      </c>
      <c r="B5979" s="5">
        <v>1060451</v>
      </c>
      <c r="C5979" s="5" t="s">
        <v>108</v>
      </c>
      <c r="D5979" s="3">
        <v>38235</v>
      </c>
    </row>
    <row r="5980" spans="1:4">
      <c r="A5980" s="4" t="s">
        <v>393</v>
      </c>
      <c r="B5980" s="5">
        <v>1070101</v>
      </c>
      <c r="C5980" s="5" t="s">
        <v>110</v>
      </c>
      <c r="D5980" s="3">
        <v>4500</v>
      </c>
    </row>
    <row r="5981" spans="1:4">
      <c r="A5981" s="4" t="s">
        <v>393</v>
      </c>
      <c r="B5981" s="5">
        <v>1070301</v>
      </c>
      <c r="C5981" s="5" t="s">
        <v>112</v>
      </c>
      <c r="D5981" s="3">
        <v>43000</v>
      </c>
    </row>
    <row r="5982" spans="1:4">
      <c r="A5982" s="4" t="s">
        <v>393</v>
      </c>
      <c r="B5982" s="5">
        <v>1070401</v>
      </c>
      <c r="C5982" s="5" t="s">
        <v>114</v>
      </c>
      <c r="D5982" s="3">
        <v>16000</v>
      </c>
    </row>
    <row r="5983" spans="1:4">
      <c r="A5983" s="4" t="s">
        <v>393</v>
      </c>
      <c r="B5983" s="5">
        <v>1070501</v>
      </c>
      <c r="C5983" s="5" t="s">
        <v>231</v>
      </c>
      <c r="D5983" s="3">
        <v>5500</v>
      </c>
    </row>
    <row r="5984" spans="1:4">
      <c r="A5984" s="4" t="s">
        <v>393</v>
      </c>
      <c r="B5984" s="5">
        <v>1070701</v>
      </c>
      <c r="C5984" s="5" t="s">
        <v>118</v>
      </c>
      <c r="D5984" s="3">
        <v>36000</v>
      </c>
    </row>
    <row r="5985" spans="1:4">
      <c r="A5985" s="4" t="s">
        <v>393</v>
      </c>
      <c r="B5985" s="5">
        <v>1070801</v>
      </c>
      <c r="C5985" s="5" t="s">
        <v>232</v>
      </c>
      <c r="D5985" s="3">
        <v>35000</v>
      </c>
    </row>
    <row r="5986" spans="1:4">
      <c r="A5986" s="4" t="s">
        <v>393</v>
      </c>
      <c r="B5986" s="5">
        <v>1080101</v>
      </c>
      <c r="C5986" s="5" t="s">
        <v>120</v>
      </c>
      <c r="D5986" s="3">
        <v>12000</v>
      </c>
    </row>
    <row r="5987" spans="1:4">
      <c r="A5987" s="4" t="s">
        <v>393</v>
      </c>
      <c r="B5987" s="5">
        <v>1080201</v>
      </c>
      <c r="C5987" s="5" t="s">
        <v>122</v>
      </c>
      <c r="D5987" s="3">
        <v>540</v>
      </c>
    </row>
    <row r="5988" spans="1:4">
      <c r="A5988" s="4" t="s">
        <v>393</v>
      </c>
      <c r="B5988" s="5">
        <v>1080301</v>
      </c>
      <c r="C5988" s="5" t="s">
        <v>124</v>
      </c>
      <c r="D5988" s="3">
        <v>1550</v>
      </c>
    </row>
    <row r="5989" spans="1:4">
      <c r="A5989" s="4" t="s">
        <v>393</v>
      </c>
      <c r="B5989" s="5">
        <v>1080401</v>
      </c>
      <c r="C5989" s="5" t="s">
        <v>233</v>
      </c>
      <c r="D5989" s="3">
        <v>3500</v>
      </c>
    </row>
    <row r="5990" spans="1:4">
      <c r="A5990" s="4" t="s">
        <v>393</v>
      </c>
      <c r="B5990" s="5">
        <v>1080411</v>
      </c>
      <c r="C5990" s="5" t="s">
        <v>128</v>
      </c>
      <c r="D5990" s="3">
        <v>3500</v>
      </c>
    </row>
    <row r="5991" spans="1:4">
      <c r="A5991" s="4" t="s">
        <v>393</v>
      </c>
      <c r="B5991" s="5">
        <v>1080501</v>
      </c>
      <c r="C5991" s="5" t="s">
        <v>130</v>
      </c>
      <c r="D5991" s="3">
        <v>4200</v>
      </c>
    </row>
    <row r="5992" spans="1:4">
      <c r="A5992" s="4" t="s">
        <v>393</v>
      </c>
      <c r="B5992" s="5">
        <v>1080602</v>
      </c>
      <c r="C5992" s="5" t="s">
        <v>234</v>
      </c>
      <c r="D5992" s="3">
        <v>38600</v>
      </c>
    </row>
    <row r="5993" spans="1:4">
      <c r="A5993" s="4" t="s">
        <v>393</v>
      </c>
      <c r="B5993" s="5">
        <v>1080604</v>
      </c>
      <c r="C5993" s="5" t="s">
        <v>235</v>
      </c>
      <c r="D5993" s="3">
        <v>0</v>
      </c>
    </row>
    <row r="5994" spans="1:4">
      <c r="A5994" s="4" t="s">
        <v>393</v>
      </c>
      <c r="B5994" s="5">
        <v>1080702</v>
      </c>
      <c r="C5994" s="5" t="s">
        <v>236</v>
      </c>
      <c r="D5994" s="3">
        <v>43500</v>
      </c>
    </row>
    <row r="5995" spans="1:4">
      <c r="A5995" s="4" t="s">
        <v>393</v>
      </c>
      <c r="B5995" s="5">
        <v>1080704</v>
      </c>
      <c r="C5995" s="5" t="s">
        <v>237</v>
      </c>
      <c r="D5995" s="3">
        <v>0</v>
      </c>
    </row>
    <row r="5996" spans="1:4">
      <c r="A5996" s="4" t="s">
        <v>393</v>
      </c>
      <c r="B5996" s="5">
        <v>1090104</v>
      </c>
      <c r="C5996" s="5" t="s">
        <v>136</v>
      </c>
      <c r="D5996" s="3">
        <v>40000</v>
      </c>
    </row>
    <row r="5997" spans="1:4">
      <c r="A5997" s="4" t="s">
        <v>393</v>
      </c>
      <c r="B5997" s="5">
        <v>1090112</v>
      </c>
      <c r="C5997" s="5" t="s">
        <v>138</v>
      </c>
      <c r="D5997" s="3">
        <v>35000</v>
      </c>
    </row>
    <row r="5998" spans="1:4">
      <c r="A5998" s="4" t="s">
        <v>393</v>
      </c>
      <c r="B5998" s="5">
        <v>1090201</v>
      </c>
      <c r="C5998" s="5" t="s">
        <v>140</v>
      </c>
      <c r="D5998" s="3">
        <v>15800</v>
      </c>
    </row>
    <row r="5999" spans="1:4">
      <c r="A5999" s="4" t="s">
        <v>393</v>
      </c>
      <c r="B5999" s="5">
        <v>1090202</v>
      </c>
      <c r="C5999" s="5" t="s">
        <v>142</v>
      </c>
      <c r="D5999" s="3">
        <v>98000</v>
      </c>
    </row>
    <row r="6000" spans="1:4">
      <c r="A6000" s="4" t="s">
        <v>393</v>
      </c>
      <c r="B6000" s="5">
        <v>1090203</v>
      </c>
      <c r="C6000" s="5" t="s">
        <v>144</v>
      </c>
      <c r="D6000" s="3">
        <v>23000</v>
      </c>
    </row>
    <row r="6001" spans="1:4">
      <c r="A6001" s="4" t="s">
        <v>393</v>
      </c>
      <c r="B6001" s="5">
        <v>1090211</v>
      </c>
      <c r="C6001" s="5" t="s">
        <v>146</v>
      </c>
      <c r="D6001" s="3">
        <v>77451</v>
      </c>
    </row>
    <row r="6002" spans="1:4">
      <c r="A6002" s="4" t="s">
        <v>393</v>
      </c>
      <c r="B6002" s="5">
        <v>1090301</v>
      </c>
      <c r="C6002" s="5" t="s">
        <v>238</v>
      </c>
      <c r="D6002" s="3">
        <v>32000</v>
      </c>
    </row>
    <row r="6003" spans="1:4">
      <c r="A6003" s="4" t="s">
        <v>393</v>
      </c>
      <c r="B6003" s="5">
        <v>1090311</v>
      </c>
      <c r="C6003" s="5" t="s">
        <v>150</v>
      </c>
      <c r="D6003" s="3">
        <v>37000</v>
      </c>
    </row>
    <row r="6004" spans="1:4">
      <c r="A6004" s="4" t="s">
        <v>393</v>
      </c>
      <c r="B6004" s="5">
        <v>1090321</v>
      </c>
      <c r="C6004" s="5" t="s">
        <v>152</v>
      </c>
      <c r="D6004" s="3">
        <v>69000</v>
      </c>
    </row>
    <row r="6005" spans="1:4">
      <c r="A6005" s="4" t="s">
        <v>393</v>
      </c>
      <c r="B6005" s="5">
        <v>1090401</v>
      </c>
      <c r="C6005" s="5" t="s">
        <v>154</v>
      </c>
      <c r="D6005" s="3">
        <v>9300</v>
      </c>
    </row>
    <row r="6006" spans="1:4">
      <c r="A6006" s="4" t="s">
        <v>393</v>
      </c>
      <c r="B6006" s="5">
        <v>1090411</v>
      </c>
      <c r="C6006" s="5" t="s">
        <v>156</v>
      </c>
      <c r="D6006" s="3">
        <v>45000</v>
      </c>
    </row>
    <row r="6007" spans="1:4">
      <c r="A6007" s="4" t="s">
        <v>393</v>
      </c>
      <c r="B6007" s="5">
        <v>1090421</v>
      </c>
      <c r="C6007" s="5" t="s">
        <v>158</v>
      </c>
      <c r="D6007" s="3">
        <v>36000</v>
      </c>
    </row>
    <row r="6008" spans="1:4">
      <c r="A6008" s="4" t="s">
        <v>393</v>
      </c>
      <c r="B6008" s="5">
        <v>1090551</v>
      </c>
      <c r="C6008" s="5" t="s">
        <v>239</v>
      </c>
      <c r="D6008" s="3">
        <v>5300</v>
      </c>
    </row>
    <row r="6009" spans="1:4">
      <c r="A6009" s="4" t="s">
        <v>393</v>
      </c>
      <c r="B6009" s="5">
        <v>1090602</v>
      </c>
      <c r="C6009" s="5" t="s">
        <v>162</v>
      </c>
      <c r="D6009" s="3">
        <v>5600</v>
      </c>
    </row>
    <row r="6010" spans="1:4">
      <c r="A6010" s="4" t="s">
        <v>393</v>
      </c>
      <c r="B6010" s="5">
        <v>1090611</v>
      </c>
      <c r="C6010" s="5" t="s">
        <v>164</v>
      </c>
      <c r="D6010" s="3">
        <v>4800</v>
      </c>
    </row>
    <row r="6011" spans="1:4">
      <c r="A6011" s="4" t="s">
        <v>393</v>
      </c>
      <c r="B6011" s="5">
        <v>1090701</v>
      </c>
      <c r="C6011" s="5" t="s">
        <v>166</v>
      </c>
      <c r="D6011" s="3">
        <v>21000</v>
      </c>
    </row>
    <row r="6012" spans="1:4">
      <c r="A6012" s="4" t="s">
        <v>393</v>
      </c>
      <c r="B6012" s="5">
        <v>1090901</v>
      </c>
      <c r="C6012" s="5" t="s">
        <v>168</v>
      </c>
      <c r="D6012" s="3">
        <v>4300</v>
      </c>
    </row>
    <row r="6013" spans="1:4">
      <c r="A6013" s="4" t="s">
        <v>393</v>
      </c>
      <c r="B6013" s="5">
        <v>1091001</v>
      </c>
      <c r="C6013" s="5" t="s">
        <v>170</v>
      </c>
      <c r="D6013" s="3">
        <v>7000</v>
      </c>
    </row>
    <row r="6014" spans="1:4">
      <c r="A6014" s="4" t="s">
        <v>393</v>
      </c>
      <c r="B6014" s="5">
        <v>1091002</v>
      </c>
      <c r="C6014" s="5" t="s">
        <v>172</v>
      </c>
      <c r="D6014" s="3">
        <v>6304</v>
      </c>
    </row>
    <row r="6015" spans="1:4">
      <c r="A6015" s="4" t="s">
        <v>393</v>
      </c>
      <c r="B6015" s="5">
        <v>1091003</v>
      </c>
      <c r="C6015" s="5" t="s">
        <v>174</v>
      </c>
      <c r="D6015" s="3">
        <v>10069</v>
      </c>
    </row>
    <row r="6016" spans="1:4">
      <c r="A6016" s="4" t="s">
        <v>393</v>
      </c>
      <c r="B6016" s="5">
        <v>1091004</v>
      </c>
      <c r="C6016" s="5" t="s">
        <v>240</v>
      </c>
      <c r="D6016" s="3">
        <v>0</v>
      </c>
    </row>
    <row r="6017" spans="1:4">
      <c r="A6017" s="4" t="s">
        <v>393</v>
      </c>
      <c r="B6017" s="5">
        <v>1091005</v>
      </c>
      <c r="C6017" s="5" t="s">
        <v>241</v>
      </c>
      <c r="D6017" s="3">
        <v>0</v>
      </c>
    </row>
    <row r="6018" spans="1:4">
      <c r="A6018" s="4" t="s">
        <v>393</v>
      </c>
      <c r="B6018" s="5">
        <v>1091006</v>
      </c>
      <c r="C6018" s="5" t="s">
        <v>242</v>
      </c>
      <c r="D6018" s="3">
        <v>0</v>
      </c>
    </row>
    <row r="6019" spans="1:4">
      <c r="A6019" s="4" t="s">
        <v>393</v>
      </c>
      <c r="B6019" s="5">
        <v>1091007</v>
      </c>
      <c r="C6019" s="5" t="s">
        <v>243</v>
      </c>
      <c r="D6019" s="3">
        <v>2640</v>
      </c>
    </row>
    <row r="6020" spans="1:4">
      <c r="A6020" s="4" t="s">
        <v>393</v>
      </c>
      <c r="B6020" s="5">
        <v>1091008</v>
      </c>
      <c r="C6020" s="5" t="s">
        <v>176</v>
      </c>
      <c r="D6020" s="3">
        <v>450000</v>
      </c>
    </row>
    <row r="6021" spans="1:4">
      <c r="A6021" s="4" t="s">
        <v>393</v>
      </c>
      <c r="B6021" s="5">
        <v>1091009</v>
      </c>
      <c r="C6021" s="5" t="s">
        <v>178</v>
      </c>
      <c r="D6021" s="3">
        <v>190000</v>
      </c>
    </row>
    <row r="6022" spans="1:4">
      <c r="A6022" s="4" t="s">
        <v>393</v>
      </c>
      <c r="B6022" s="5">
        <v>1091010</v>
      </c>
      <c r="C6022" s="5" t="s">
        <v>180</v>
      </c>
      <c r="D6022" s="3">
        <v>27000</v>
      </c>
    </row>
    <row r="6023" spans="1:4">
      <c r="A6023" s="4" t="s">
        <v>393</v>
      </c>
      <c r="B6023" s="5">
        <v>1091011</v>
      </c>
      <c r="C6023" s="5" t="s">
        <v>182</v>
      </c>
      <c r="D6023" s="3">
        <v>33000</v>
      </c>
    </row>
    <row r="6024" spans="1:4">
      <c r="A6024" s="4" t="s">
        <v>393</v>
      </c>
      <c r="B6024" s="5">
        <v>1091012</v>
      </c>
      <c r="C6024" s="5" t="s">
        <v>184</v>
      </c>
      <c r="D6024" s="3">
        <v>47000</v>
      </c>
    </row>
    <row r="6025" spans="1:4">
      <c r="A6025" s="4" t="s">
        <v>393</v>
      </c>
      <c r="B6025" s="5">
        <v>1091013</v>
      </c>
      <c r="C6025" s="5" t="s">
        <v>186</v>
      </c>
      <c r="D6025" s="3">
        <v>33000</v>
      </c>
    </row>
    <row r="6026" spans="1:4">
      <c r="A6026" s="4" t="s">
        <v>393</v>
      </c>
      <c r="B6026" s="5">
        <v>1091014</v>
      </c>
      <c r="C6026" s="5" t="s">
        <v>244</v>
      </c>
      <c r="D6026" s="3">
        <v>6961</v>
      </c>
    </row>
    <row r="6027" spans="1:4">
      <c r="A6027" s="4" t="s">
        <v>393</v>
      </c>
      <c r="B6027" s="5">
        <v>1091015</v>
      </c>
      <c r="C6027" s="5" t="s">
        <v>245</v>
      </c>
      <c r="D6027" s="3">
        <v>28000</v>
      </c>
    </row>
    <row r="6028" spans="1:4">
      <c r="A6028" s="4" t="s">
        <v>393</v>
      </c>
      <c r="B6028" s="5">
        <v>1091016</v>
      </c>
      <c r="C6028" s="5" t="s">
        <v>246</v>
      </c>
      <c r="D6028" s="3">
        <v>50187</v>
      </c>
    </row>
    <row r="6029" spans="1:4">
      <c r="A6029" s="4" t="s">
        <v>393</v>
      </c>
      <c r="B6029" s="5">
        <v>1091017</v>
      </c>
      <c r="C6029" s="5" t="s">
        <v>247</v>
      </c>
      <c r="D6029" s="3">
        <v>74833</v>
      </c>
    </row>
    <row r="6030" spans="1:4">
      <c r="A6030" s="4" t="s">
        <v>393</v>
      </c>
      <c r="B6030" s="5">
        <v>1091018</v>
      </c>
      <c r="C6030" s="5" t="s">
        <v>248</v>
      </c>
      <c r="D6030" s="3">
        <v>33031</v>
      </c>
    </row>
    <row r="6031" spans="1:4">
      <c r="A6031" s="4" t="s">
        <v>393</v>
      </c>
      <c r="B6031" s="5">
        <v>1091019</v>
      </c>
      <c r="C6031" s="5" t="s">
        <v>249</v>
      </c>
      <c r="D6031" s="3">
        <v>53387</v>
      </c>
    </row>
    <row r="6032" spans="1:4">
      <c r="A6032" s="4" t="s">
        <v>393</v>
      </c>
      <c r="B6032" s="5">
        <v>1091020</v>
      </c>
      <c r="C6032" s="5" t="s">
        <v>250</v>
      </c>
      <c r="D6032" s="3">
        <v>100500</v>
      </c>
    </row>
    <row r="6033" spans="1:4">
      <c r="A6033" s="4" t="s">
        <v>393</v>
      </c>
      <c r="B6033" s="5">
        <v>1091021</v>
      </c>
      <c r="C6033" s="5" t="s">
        <v>251</v>
      </c>
      <c r="D6033" s="3">
        <v>50600</v>
      </c>
    </row>
    <row r="6034" spans="1:4">
      <c r="A6034" s="4" t="s">
        <v>393</v>
      </c>
      <c r="B6034" s="5">
        <v>1091022</v>
      </c>
      <c r="C6034" s="5" t="s">
        <v>252</v>
      </c>
      <c r="D6034" s="3">
        <v>3235</v>
      </c>
    </row>
    <row r="6035" spans="1:4">
      <c r="A6035" s="4" t="s">
        <v>393</v>
      </c>
      <c r="B6035" s="5">
        <v>1091023</v>
      </c>
      <c r="C6035" s="5" t="s">
        <v>253</v>
      </c>
      <c r="D6035" s="3">
        <v>4412</v>
      </c>
    </row>
    <row r="6036" spans="1:4">
      <c r="A6036" s="4" t="s">
        <v>393</v>
      </c>
      <c r="B6036" s="5">
        <v>1091024</v>
      </c>
      <c r="C6036" s="5" t="s">
        <v>254</v>
      </c>
      <c r="D6036" s="3">
        <v>3922</v>
      </c>
    </row>
    <row r="6037" spans="1:4">
      <c r="A6037" s="4" t="s">
        <v>393</v>
      </c>
      <c r="B6037" s="5">
        <v>1091025</v>
      </c>
      <c r="C6037" s="5" t="s">
        <v>255</v>
      </c>
      <c r="D6037" s="3">
        <v>6373</v>
      </c>
    </row>
    <row r="6038" spans="1:4">
      <c r="A6038" s="4" t="s">
        <v>393</v>
      </c>
      <c r="B6038" s="5">
        <v>1091026</v>
      </c>
      <c r="C6038" s="5" t="s">
        <v>256</v>
      </c>
      <c r="D6038" s="3">
        <v>32255</v>
      </c>
    </row>
    <row r="6039" spans="1:4">
      <c r="A6039" s="4" t="s">
        <v>393</v>
      </c>
      <c r="B6039" s="5">
        <v>1600101</v>
      </c>
      <c r="C6039" s="5" t="s">
        <v>188</v>
      </c>
      <c r="D6039" s="3">
        <v>2892</v>
      </c>
    </row>
    <row r="6040" spans="1:4">
      <c r="A6040" s="4" t="s">
        <v>393</v>
      </c>
      <c r="B6040" s="5">
        <v>1600102</v>
      </c>
      <c r="C6040" s="5" t="s">
        <v>257</v>
      </c>
      <c r="D6040" s="3">
        <v>17649</v>
      </c>
    </row>
    <row r="6041" spans="1:4">
      <c r="A6041" s="4" t="s">
        <v>393</v>
      </c>
      <c r="B6041" s="5">
        <v>1600103</v>
      </c>
      <c r="C6041" s="5" t="s">
        <v>258</v>
      </c>
      <c r="D6041" s="3">
        <v>19800</v>
      </c>
    </row>
    <row r="6042" spans="1:4">
      <c r="A6042" s="4" t="s">
        <v>393</v>
      </c>
      <c r="B6042" s="5">
        <v>1600104</v>
      </c>
      <c r="C6042" s="5" t="s">
        <v>259</v>
      </c>
      <c r="D6042" s="3">
        <v>73810</v>
      </c>
    </row>
    <row r="6043" spans="1:4">
      <c r="A6043" s="4" t="s">
        <v>393</v>
      </c>
      <c r="B6043" s="5">
        <v>1600105</v>
      </c>
      <c r="C6043" s="5" t="s">
        <v>260</v>
      </c>
      <c r="D6043" s="3">
        <v>83950</v>
      </c>
    </row>
    <row r="6044" spans="1:4">
      <c r="A6044" s="4" t="s">
        <v>393</v>
      </c>
      <c r="B6044" s="5">
        <v>1600106</v>
      </c>
      <c r="C6044" s="5" t="s">
        <v>261</v>
      </c>
      <c r="D6044" s="3">
        <v>108071</v>
      </c>
    </row>
    <row r="6045" spans="1:4">
      <c r="A6045" s="4" t="s">
        <v>393</v>
      </c>
      <c r="B6045" s="5">
        <v>1600107</v>
      </c>
      <c r="C6045" s="5" t="s">
        <v>262</v>
      </c>
      <c r="D6045" s="3">
        <v>86601</v>
      </c>
    </row>
    <row r="6046" spans="1:4">
      <c r="A6046" s="4" t="s">
        <v>393</v>
      </c>
      <c r="B6046" s="5">
        <v>1600108</v>
      </c>
      <c r="C6046" s="5" t="s">
        <v>263</v>
      </c>
      <c r="D6046" s="3">
        <v>73810</v>
      </c>
    </row>
    <row r="6047" spans="1:4">
      <c r="A6047" s="4" t="s">
        <v>393</v>
      </c>
      <c r="B6047" s="5">
        <v>1600109</v>
      </c>
      <c r="C6047" s="5" t="s">
        <v>264</v>
      </c>
      <c r="D6047" s="3">
        <v>5882</v>
      </c>
    </row>
    <row r="6048" spans="1:4">
      <c r="A6048" s="4" t="s">
        <v>393</v>
      </c>
      <c r="B6048" s="5">
        <v>1600110</v>
      </c>
      <c r="C6048" s="5" t="s">
        <v>265</v>
      </c>
      <c r="D6048" s="3">
        <v>7917</v>
      </c>
    </row>
    <row r="6049" spans="1:4">
      <c r="A6049" s="4" t="s">
        <v>393</v>
      </c>
      <c r="B6049" s="5">
        <v>1600111</v>
      </c>
      <c r="C6049" s="5" t="s">
        <v>266</v>
      </c>
      <c r="D6049" s="3">
        <v>2266</v>
      </c>
    </row>
    <row r="6050" spans="1:4">
      <c r="A6050" s="4" t="s">
        <v>393</v>
      </c>
      <c r="B6050" s="5">
        <v>1600112</v>
      </c>
      <c r="C6050" s="5" t="s">
        <v>190</v>
      </c>
      <c r="D6050" s="3">
        <v>4800</v>
      </c>
    </row>
    <row r="6051" spans="1:4">
      <c r="A6051" s="4" t="s">
        <v>393</v>
      </c>
      <c r="B6051" s="5">
        <v>1600113</v>
      </c>
      <c r="C6051" s="5" t="s">
        <v>267</v>
      </c>
      <c r="D6051" s="3">
        <v>0</v>
      </c>
    </row>
    <row r="6052" spans="1:4">
      <c r="A6052" s="4" t="s">
        <v>393</v>
      </c>
      <c r="B6052" s="5">
        <v>1600114</v>
      </c>
      <c r="C6052" s="5" t="s">
        <v>268</v>
      </c>
      <c r="D6052" s="3">
        <v>13333</v>
      </c>
    </row>
    <row r="6053" spans="1:4">
      <c r="A6053" s="4" t="s">
        <v>393</v>
      </c>
      <c r="B6053" s="5">
        <v>1700001</v>
      </c>
      <c r="C6053" s="5" t="s">
        <v>269</v>
      </c>
      <c r="D6053" s="3">
        <v>4570</v>
      </c>
    </row>
    <row r="6054" spans="1:4">
      <c r="A6054" s="4" t="s">
        <v>393</v>
      </c>
      <c r="B6054" s="5">
        <v>1700002</v>
      </c>
      <c r="C6054" s="5" t="s">
        <v>270</v>
      </c>
      <c r="D6054" s="3">
        <v>3726</v>
      </c>
    </row>
    <row r="6055" spans="1:4">
      <c r="A6055" s="4" t="s">
        <v>393</v>
      </c>
      <c r="B6055" s="5">
        <v>1700003</v>
      </c>
      <c r="C6055" s="5" t="s">
        <v>271</v>
      </c>
      <c r="D6055" s="3">
        <v>5392</v>
      </c>
    </row>
    <row r="6056" spans="1:4">
      <c r="A6056" s="4" t="s">
        <v>393</v>
      </c>
      <c r="B6056" s="5">
        <v>1700004</v>
      </c>
      <c r="C6056" s="5" t="s">
        <v>272</v>
      </c>
      <c r="D6056" s="3">
        <v>15784</v>
      </c>
    </row>
    <row r="6057" spans="1:4">
      <c r="A6057" s="4" t="s">
        <v>393</v>
      </c>
      <c r="B6057" s="5">
        <v>1700005</v>
      </c>
      <c r="C6057" s="5" t="s">
        <v>192</v>
      </c>
      <c r="D6057" s="3">
        <v>1765</v>
      </c>
    </row>
    <row r="6058" spans="1:4">
      <c r="A6058" s="4" t="s">
        <v>393</v>
      </c>
      <c r="B6058" s="5">
        <v>1700006</v>
      </c>
      <c r="C6058" s="5" t="s">
        <v>273</v>
      </c>
      <c r="D6058" s="3">
        <v>7176</v>
      </c>
    </row>
    <row r="6059" spans="1:4">
      <c r="A6059" s="4" t="s">
        <v>393</v>
      </c>
      <c r="B6059" s="5">
        <v>1700007</v>
      </c>
      <c r="C6059" s="5" t="s">
        <v>274</v>
      </c>
      <c r="D6059" s="3">
        <v>0</v>
      </c>
    </row>
    <row r="6060" spans="1:4">
      <c r="A6060" s="4" t="s">
        <v>393</v>
      </c>
      <c r="B6060" s="5">
        <v>1700008</v>
      </c>
      <c r="C6060" s="5" t="s">
        <v>275</v>
      </c>
      <c r="D6060" s="3">
        <v>0</v>
      </c>
    </row>
    <row r="6061" spans="1:4">
      <c r="A6061" s="4" t="s">
        <v>393</v>
      </c>
      <c r="B6061" s="5">
        <v>1700009</v>
      </c>
      <c r="C6061" s="5" t="s">
        <v>276</v>
      </c>
      <c r="D6061" s="3">
        <v>0</v>
      </c>
    </row>
    <row r="6062" spans="1:4">
      <c r="A6062" s="4" t="s">
        <v>393</v>
      </c>
      <c r="B6062" s="5">
        <v>1700010</v>
      </c>
      <c r="C6062" s="5" t="s">
        <v>277</v>
      </c>
      <c r="D6062" s="3">
        <v>3990</v>
      </c>
    </row>
    <row r="6063" spans="1:4">
      <c r="A6063" s="4" t="s">
        <v>393</v>
      </c>
      <c r="B6063" s="5">
        <v>1700011</v>
      </c>
      <c r="C6063" s="5" t="s">
        <v>278</v>
      </c>
      <c r="D6063" s="3">
        <v>13235</v>
      </c>
    </row>
    <row r="6064" spans="1:4">
      <c r="A6064" s="4" t="s">
        <v>393</v>
      </c>
      <c r="B6064" s="5">
        <v>1700012</v>
      </c>
      <c r="C6064" s="5" t="s">
        <v>279</v>
      </c>
      <c r="D6064" s="3">
        <v>15980</v>
      </c>
    </row>
    <row r="6065" spans="1:4">
      <c r="A6065" s="4" t="s">
        <v>393</v>
      </c>
      <c r="B6065" s="5">
        <v>1700013</v>
      </c>
      <c r="C6065" s="5" t="s">
        <v>280</v>
      </c>
      <c r="D6065" s="3">
        <v>18137</v>
      </c>
    </row>
    <row r="6066" spans="1:4">
      <c r="A6066" s="4" t="s">
        <v>393</v>
      </c>
      <c r="B6066" s="5">
        <v>1700014</v>
      </c>
      <c r="C6066" s="5" t="s">
        <v>194</v>
      </c>
      <c r="D6066" s="3">
        <v>2300</v>
      </c>
    </row>
    <row r="6067" spans="1:4">
      <c r="A6067" s="4" t="s">
        <v>393</v>
      </c>
      <c r="B6067" s="5">
        <v>1700015</v>
      </c>
      <c r="C6067" s="5" t="s">
        <v>281</v>
      </c>
      <c r="D6067" s="3">
        <v>5160</v>
      </c>
    </row>
    <row r="6068" spans="1:4">
      <c r="A6068" s="4" t="s">
        <v>393</v>
      </c>
      <c r="B6068" s="5">
        <v>1700016</v>
      </c>
      <c r="C6068" s="5" t="s">
        <v>282</v>
      </c>
      <c r="D6068" s="3">
        <v>3864</v>
      </c>
    </row>
    <row r="6069" spans="1:4">
      <c r="A6069" s="4" t="s">
        <v>393</v>
      </c>
      <c r="B6069" s="5">
        <v>1700017</v>
      </c>
      <c r="C6069" s="5" t="s">
        <v>283</v>
      </c>
      <c r="D6069" s="3">
        <v>10784</v>
      </c>
    </row>
    <row r="6070" spans="1:4">
      <c r="A6070" s="4" t="s">
        <v>393</v>
      </c>
      <c r="B6070" s="5">
        <v>1700018</v>
      </c>
      <c r="C6070" s="5" t="s">
        <v>284</v>
      </c>
      <c r="D6070" s="3">
        <v>4031</v>
      </c>
    </row>
    <row r="6071" spans="1:4">
      <c r="A6071" s="4" t="s">
        <v>393</v>
      </c>
      <c r="B6071" s="5">
        <v>1700019</v>
      </c>
      <c r="C6071" s="5" t="s">
        <v>285</v>
      </c>
      <c r="D6071" s="3">
        <v>0</v>
      </c>
    </row>
    <row r="6072" spans="1:4">
      <c r="A6072" s="4" t="s">
        <v>393</v>
      </c>
      <c r="B6072" s="5">
        <v>1700020</v>
      </c>
      <c r="C6072" s="5" t="s">
        <v>286</v>
      </c>
      <c r="D6072" s="3">
        <v>49412</v>
      </c>
    </row>
    <row r="6073" spans="1:4">
      <c r="A6073" s="4" t="s">
        <v>393</v>
      </c>
      <c r="B6073" s="5">
        <v>1700021</v>
      </c>
      <c r="C6073" s="5" t="s">
        <v>287</v>
      </c>
      <c r="D6073" s="3">
        <v>86137</v>
      </c>
    </row>
    <row r="6074" spans="1:4">
      <c r="A6074" s="4" t="s">
        <v>393</v>
      </c>
      <c r="B6074" s="5">
        <v>1700022</v>
      </c>
      <c r="C6074" s="5" t="s">
        <v>288</v>
      </c>
      <c r="D6074" s="3">
        <v>33706</v>
      </c>
    </row>
    <row r="6075" spans="1:4">
      <c r="A6075" s="4" t="s">
        <v>393</v>
      </c>
      <c r="B6075" s="5">
        <v>1700023</v>
      </c>
      <c r="C6075" s="5" t="s">
        <v>289</v>
      </c>
      <c r="D6075" s="3">
        <v>8581</v>
      </c>
    </row>
    <row r="6076" spans="1:4">
      <c r="A6076" s="4" t="s">
        <v>393</v>
      </c>
      <c r="B6076" s="5">
        <v>1700024</v>
      </c>
      <c r="C6076" s="5" t="s">
        <v>290</v>
      </c>
      <c r="D6076" s="3">
        <v>0</v>
      </c>
    </row>
    <row r="6077" spans="1:4">
      <c r="A6077" s="4" t="s">
        <v>393</v>
      </c>
      <c r="B6077" s="5">
        <v>1700025</v>
      </c>
      <c r="C6077" s="5" t="s">
        <v>291</v>
      </c>
      <c r="D6077" s="3">
        <v>1961</v>
      </c>
    </row>
    <row r="6078" spans="1:4">
      <c r="A6078" s="4" t="s">
        <v>393</v>
      </c>
      <c r="B6078" s="5">
        <v>1700026</v>
      </c>
      <c r="C6078" s="5" t="s">
        <v>292</v>
      </c>
      <c r="D6078" s="3">
        <v>4314</v>
      </c>
    </row>
    <row r="6079" spans="1:4">
      <c r="A6079" s="4" t="s">
        <v>393</v>
      </c>
      <c r="B6079" s="5">
        <v>1700027</v>
      </c>
      <c r="C6079" s="5" t="s">
        <v>293</v>
      </c>
      <c r="D6079" s="3">
        <v>4902</v>
      </c>
    </row>
    <row r="6080" spans="1:4">
      <c r="A6080" s="4" t="s">
        <v>393</v>
      </c>
      <c r="B6080" s="5">
        <v>1700028</v>
      </c>
      <c r="C6080" s="5" t="s">
        <v>294</v>
      </c>
      <c r="D6080" s="3">
        <v>9500</v>
      </c>
    </row>
    <row r="6081" spans="1:4">
      <c r="A6081" s="4" t="s">
        <v>393</v>
      </c>
      <c r="B6081" s="5">
        <v>1700029</v>
      </c>
      <c r="C6081" s="5" t="s">
        <v>295</v>
      </c>
      <c r="D6081" s="3">
        <v>10670</v>
      </c>
    </row>
    <row r="6082" spans="1:4">
      <c r="A6082" s="4" t="s">
        <v>393</v>
      </c>
      <c r="B6082" s="5">
        <v>1700030</v>
      </c>
      <c r="C6082" s="5" t="s">
        <v>296</v>
      </c>
      <c r="D6082" s="3">
        <v>12720</v>
      </c>
    </row>
    <row r="6083" spans="1:4">
      <c r="A6083" s="4" t="s">
        <v>393</v>
      </c>
      <c r="B6083" s="5">
        <v>1700031</v>
      </c>
      <c r="C6083" s="5" t="s">
        <v>196</v>
      </c>
      <c r="D6083" s="3">
        <v>2069</v>
      </c>
    </row>
    <row r="6084" spans="1:4">
      <c r="A6084" s="4" t="s">
        <v>393</v>
      </c>
      <c r="B6084" s="5">
        <v>1700032</v>
      </c>
      <c r="C6084" s="5" t="s">
        <v>297</v>
      </c>
      <c r="D6084" s="3">
        <v>0</v>
      </c>
    </row>
    <row r="6085" spans="1:4">
      <c r="A6085" s="4" t="s">
        <v>393</v>
      </c>
      <c r="B6085" s="5">
        <v>1700033</v>
      </c>
      <c r="C6085" s="5" t="s">
        <v>298</v>
      </c>
      <c r="D6085" s="3">
        <v>0</v>
      </c>
    </row>
    <row r="6086" spans="1:4">
      <c r="A6086" s="4" t="s">
        <v>393</v>
      </c>
      <c r="B6086" s="5">
        <v>1700034</v>
      </c>
      <c r="C6086" s="5" t="s">
        <v>299</v>
      </c>
      <c r="D6086" s="3">
        <v>17475</v>
      </c>
    </row>
    <row r="6087" spans="1:4">
      <c r="A6087" s="4" t="s">
        <v>393</v>
      </c>
      <c r="B6087" s="5">
        <v>1700035</v>
      </c>
      <c r="C6087" s="5" t="s">
        <v>300</v>
      </c>
      <c r="D6087" s="3">
        <v>64367</v>
      </c>
    </row>
    <row r="6088" spans="1:4">
      <c r="A6088" s="4" t="s">
        <v>393</v>
      </c>
      <c r="B6088" s="5">
        <v>1700036</v>
      </c>
      <c r="C6088" s="5" t="s">
        <v>301</v>
      </c>
      <c r="D6088" s="3">
        <v>5200</v>
      </c>
    </row>
    <row r="6089" spans="1:4">
      <c r="A6089" s="4" t="s">
        <v>393</v>
      </c>
      <c r="B6089" s="5">
        <v>1700037</v>
      </c>
      <c r="C6089" s="5" t="s">
        <v>302</v>
      </c>
      <c r="D6089" s="3">
        <v>7533</v>
      </c>
    </row>
    <row r="6090" spans="1:4">
      <c r="A6090" s="4" t="s">
        <v>393</v>
      </c>
      <c r="B6090" s="5">
        <v>1700038</v>
      </c>
      <c r="C6090" s="5" t="s">
        <v>303</v>
      </c>
      <c r="D6090" s="3">
        <v>2108</v>
      </c>
    </row>
    <row r="6091" spans="1:4">
      <c r="A6091" s="4" t="s">
        <v>393</v>
      </c>
      <c r="B6091" s="5">
        <v>1700039</v>
      </c>
      <c r="C6091" s="5" t="s">
        <v>304</v>
      </c>
      <c r="D6091" s="3">
        <v>3480</v>
      </c>
    </row>
    <row r="6092" spans="1:4">
      <c r="A6092" s="4" t="s">
        <v>393</v>
      </c>
      <c r="B6092" s="5">
        <v>1700040</v>
      </c>
      <c r="C6092" s="5" t="s">
        <v>305</v>
      </c>
      <c r="D6092" s="3">
        <v>1967</v>
      </c>
    </row>
    <row r="6093" spans="1:4">
      <c r="A6093" s="4" t="s">
        <v>393</v>
      </c>
      <c r="B6093" s="5">
        <v>1700041</v>
      </c>
      <c r="C6093" s="5" t="s">
        <v>306</v>
      </c>
      <c r="D6093" s="3">
        <v>3000</v>
      </c>
    </row>
    <row r="6094" spans="1:4">
      <c r="A6094" s="4" t="s">
        <v>393</v>
      </c>
      <c r="B6094" s="5">
        <v>1700042</v>
      </c>
      <c r="C6094" s="5" t="s">
        <v>307</v>
      </c>
      <c r="D6094" s="3">
        <v>3163</v>
      </c>
    </row>
    <row r="6095" spans="1:4">
      <c r="A6095" s="4" t="s">
        <v>393</v>
      </c>
      <c r="B6095" s="5">
        <v>1700043</v>
      </c>
      <c r="C6095" s="5" t="s">
        <v>308</v>
      </c>
      <c r="D6095" s="3">
        <v>5877</v>
      </c>
    </row>
    <row r="6096" spans="1:4">
      <c r="A6096" s="4" t="s">
        <v>393</v>
      </c>
      <c r="B6096" s="5">
        <v>1700044</v>
      </c>
      <c r="C6096" s="5" t="s">
        <v>309</v>
      </c>
      <c r="D6096" s="3">
        <v>7000</v>
      </c>
    </row>
    <row r="6097" spans="1:4">
      <c r="A6097" s="4" t="s">
        <v>393</v>
      </c>
      <c r="B6097" s="5">
        <v>1700045</v>
      </c>
      <c r="C6097" s="5" t="s">
        <v>310</v>
      </c>
      <c r="D6097" s="3">
        <v>3696</v>
      </c>
    </row>
    <row r="6098" spans="1:4">
      <c r="A6098" s="4" t="s">
        <v>393</v>
      </c>
      <c r="B6098" s="5">
        <v>1700046</v>
      </c>
      <c r="C6098" s="5" t="s">
        <v>311</v>
      </c>
      <c r="D6098" s="3">
        <v>6863</v>
      </c>
    </row>
    <row r="6099" spans="1:4">
      <c r="A6099" s="4" t="s">
        <v>393</v>
      </c>
      <c r="B6099" s="5">
        <v>1700047</v>
      </c>
      <c r="C6099" s="5" t="s">
        <v>312</v>
      </c>
      <c r="D6099" s="3">
        <v>22350</v>
      </c>
    </row>
    <row r="6100" spans="1:4">
      <c r="A6100" s="4" t="s">
        <v>393</v>
      </c>
      <c r="B6100" s="5">
        <v>1700048</v>
      </c>
      <c r="C6100" s="5" t="s">
        <v>313</v>
      </c>
      <c r="D6100" s="3">
        <v>13330</v>
      </c>
    </row>
    <row r="6101" spans="1:4">
      <c r="A6101" s="4" t="s">
        <v>393</v>
      </c>
      <c r="B6101" s="5">
        <v>1700049</v>
      </c>
      <c r="C6101" s="5" t="s">
        <v>314</v>
      </c>
      <c r="D6101" s="3">
        <v>5785</v>
      </c>
    </row>
    <row r="6102" spans="1:4">
      <c r="A6102" s="4" t="s">
        <v>393</v>
      </c>
      <c r="B6102" s="5">
        <v>1700050</v>
      </c>
      <c r="C6102" s="5" t="s">
        <v>315</v>
      </c>
      <c r="D6102" s="3">
        <v>39000</v>
      </c>
    </row>
    <row r="6103" spans="1:4">
      <c r="A6103" s="4" t="s">
        <v>393</v>
      </c>
      <c r="B6103" s="5">
        <v>1700051</v>
      </c>
      <c r="C6103" s="5" t="s">
        <v>316</v>
      </c>
      <c r="D6103" s="3">
        <v>11500</v>
      </c>
    </row>
    <row r="6104" spans="1:4">
      <c r="A6104" s="4" t="s">
        <v>393</v>
      </c>
      <c r="B6104" s="5">
        <v>1700052</v>
      </c>
      <c r="C6104" s="5" t="s">
        <v>317</v>
      </c>
      <c r="D6104" s="3">
        <v>3444</v>
      </c>
    </row>
    <row r="6105" spans="1:4">
      <c r="A6105" s="4" t="s">
        <v>393</v>
      </c>
      <c r="B6105" s="5">
        <v>1700053</v>
      </c>
      <c r="C6105" s="5" t="s">
        <v>318</v>
      </c>
      <c r="D6105" s="3">
        <v>15530</v>
      </c>
    </row>
    <row r="6106" spans="1:4">
      <c r="A6106" s="4" t="s">
        <v>393</v>
      </c>
      <c r="B6106" s="5">
        <v>1700054</v>
      </c>
      <c r="C6106" s="5" t="s">
        <v>319</v>
      </c>
      <c r="D6106" s="3">
        <v>11670</v>
      </c>
    </row>
    <row r="6107" spans="1:4">
      <c r="A6107" s="4" t="s">
        <v>393</v>
      </c>
      <c r="B6107" s="5">
        <v>1700055</v>
      </c>
      <c r="C6107" s="5" t="s">
        <v>320</v>
      </c>
      <c r="D6107" s="3">
        <v>11940</v>
      </c>
    </row>
    <row r="6108" spans="1:4">
      <c r="A6108" s="4" t="s">
        <v>393</v>
      </c>
      <c r="B6108" s="5">
        <v>1700056</v>
      </c>
      <c r="C6108" s="5" t="s">
        <v>321</v>
      </c>
      <c r="D6108" s="3">
        <v>6226</v>
      </c>
    </row>
    <row r="6109" spans="1:4">
      <c r="A6109" s="4" t="s">
        <v>393</v>
      </c>
      <c r="B6109" s="5">
        <v>1700057</v>
      </c>
      <c r="C6109" s="5" t="s">
        <v>322</v>
      </c>
      <c r="D6109" s="3">
        <v>2098</v>
      </c>
    </row>
    <row r="6110" spans="1:4">
      <c r="A6110" s="4" t="s">
        <v>393</v>
      </c>
      <c r="B6110" s="5">
        <v>1700058</v>
      </c>
      <c r="C6110" s="5" t="s">
        <v>323</v>
      </c>
      <c r="D6110" s="3">
        <v>5800</v>
      </c>
    </row>
    <row r="6111" spans="1:4">
      <c r="A6111" s="4" t="s">
        <v>393</v>
      </c>
      <c r="B6111" s="5">
        <v>1700059</v>
      </c>
      <c r="C6111" s="5" t="s">
        <v>324</v>
      </c>
      <c r="D6111" s="3">
        <v>27667</v>
      </c>
    </row>
    <row r="6112" spans="1:4">
      <c r="A6112" s="4" t="s">
        <v>393</v>
      </c>
      <c r="B6112" s="5">
        <v>1700060</v>
      </c>
      <c r="C6112" s="5" t="s">
        <v>325</v>
      </c>
      <c r="D6112" s="3">
        <v>5471</v>
      </c>
    </row>
    <row r="6113" spans="1:4">
      <c r="A6113" s="4" t="s">
        <v>393</v>
      </c>
      <c r="B6113" s="5">
        <v>1700061</v>
      </c>
      <c r="C6113" s="5" t="s">
        <v>326</v>
      </c>
      <c r="D6113" s="3">
        <v>8920</v>
      </c>
    </row>
    <row r="6114" spans="1:4">
      <c r="A6114" s="4" t="s">
        <v>393</v>
      </c>
      <c r="B6114" s="5">
        <v>1700062</v>
      </c>
      <c r="C6114" s="5" t="s">
        <v>327</v>
      </c>
      <c r="D6114" s="3">
        <v>10520</v>
      </c>
    </row>
    <row r="6115" spans="1:4">
      <c r="A6115" s="4" t="s">
        <v>393</v>
      </c>
      <c r="B6115" s="5">
        <v>1700063</v>
      </c>
      <c r="C6115" s="5" t="s">
        <v>328</v>
      </c>
      <c r="D6115" s="3">
        <v>10550</v>
      </c>
    </row>
    <row r="6116" spans="1:4">
      <c r="A6116" s="4" t="s">
        <v>393</v>
      </c>
      <c r="B6116" s="5">
        <v>1700064</v>
      </c>
      <c r="C6116" s="5" t="s">
        <v>329</v>
      </c>
      <c r="D6116" s="3">
        <v>11060</v>
      </c>
    </row>
    <row r="6117" spans="1:4">
      <c r="A6117" s="4" t="s">
        <v>393</v>
      </c>
      <c r="B6117" s="5">
        <v>1700065</v>
      </c>
      <c r="C6117" s="5" t="s">
        <v>330</v>
      </c>
      <c r="D6117" s="3">
        <v>12760</v>
      </c>
    </row>
    <row r="6118" spans="1:4">
      <c r="A6118" s="4" t="s">
        <v>393</v>
      </c>
      <c r="B6118" s="5">
        <v>1700066</v>
      </c>
      <c r="C6118" s="5" t="s">
        <v>331</v>
      </c>
      <c r="D6118" s="3">
        <v>13200</v>
      </c>
    </row>
    <row r="6119" spans="1:4">
      <c r="A6119" s="4" t="s">
        <v>393</v>
      </c>
      <c r="B6119" s="5">
        <v>1700067</v>
      </c>
      <c r="C6119" s="5" t="s">
        <v>332</v>
      </c>
      <c r="D6119" s="3">
        <v>10720</v>
      </c>
    </row>
    <row r="6120" spans="1:4">
      <c r="A6120" s="4" t="s">
        <v>393</v>
      </c>
      <c r="B6120" s="5">
        <v>1700068</v>
      </c>
      <c r="C6120" s="5" t="s">
        <v>333</v>
      </c>
      <c r="D6120" s="3">
        <v>12720</v>
      </c>
    </row>
    <row r="6121" spans="1:4">
      <c r="A6121" s="4" t="s">
        <v>393</v>
      </c>
      <c r="B6121" s="5">
        <v>1700069</v>
      </c>
      <c r="C6121" s="5" t="s">
        <v>334</v>
      </c>
      <c r="D6121" s="3">
        <v>14000</v>
      </c>
    </row>
    <row r="6122" spans="1:4">
      <c r="A6122" s="4" t="s">
        <v>393</v>
      </c>
      <c r="B6122" s="5">
        <v>1700070</v>
      </c>
      <c r="C6122" s="5" t="s">
        <v>335</v>
      </c>
      <c r="D6122" s="3">
        <v>1618</v>
      </c>
    </row>
    <row r="6123" spans="1:4">
      <c r="A6123" s="4" t="s">
        <v>393</v>
      </c>
      <c r="B6123" s="5">
        <v>1700071</v>
      </c>
      <c r="C6123" s="5" t="s">
        <v>336</v>
      </c>
      <c r="D6123" s="3">
        <v>12190</v>
      </c>
    </row>
    <row r="6124" spans="1:4">
      <c r="A6124" s="4" t="s">
        <v>393</v>
      </c>
      <c r="B6124" s="5">
        <v>1700072</v>
      </c>
      <c r="C6124" s="5" t="s">
        <v>337</v>
      </c>
      <c r="D6124" s="3">
        <v>10180</v>
      </c>
    </row>
    <row r="6125" spans="1:4">
      <c r="A6125" s="4" t="s">
        <v>393</v>
      </c>
      <c r="B6125" s="5">
        <v>1700073</v>
      </c>
      <c r="C6125" s="5" t="s">
        <v>338</v>
      </c>
      <c r="D6125" s="3">
        <v>9020</v>
      </c>
    </row>
    <row r="6126" spans="1:4">
      <c r="A6126" s="4" t="s">
        <v>393</v>
      </c>
      <c r="B6126" s="5">
        <v>1700076</v>
      </c>
      <c r="C6126" s="5" t="s">
        <v>339</v>
      </c>
      <c r="D6126" s="3">
        <v>4108</v>
      </c>
    </row>
    <row r="6127" spans="1:4">
      <c r="A6127" s="4" t="s">
        <v>393</v>
      </c>
      <c r="B6127" s="5">
        <v>1700077</v>
      </c>
      <c r="C6127" s="5" t="s">
        <v>340</v>
      </c>
      <c r="D6127" s="3">
        <v>3843</v>
      </c>
    </row>
    <row r="6128" spans="1:4">
      <c r="A6128" s="4" t="s">
        <v>393</v>
      </c>
      <c r="B6128" s="5">
        <v>1700078</v>
      </c>
      <c r="C6128" s="5" t="s">
        <v>341</v>
      </c>
      <c r="D6128" s="3">
        <v>4716</v>
      </c>
    </row>
    <row r="6129" spans="1:4">
      <c r="A6129" s="4" t="s">
        <v>393</v>
      </c>
      <c r="B6129" s="5">
        <v>1700080</v>
      </c>
      <c r="C6129" s="5" t="s">
        <v>342</v>
      </c>
      <c r="D6129" s="3">
        <v>3922</v>
      </c>
    </row>
    <row r="6130" spans="1:4">
      <c r="A6130" s="4" t="s">
        <v>393</v>
      </c>
      <c r="B6130" s="5">
        <v>1700083</v>
      </c>
      <c r="C6130" s="5" t="s">
        <v>343</v>
      </c>
      <c r="D6130" s="3">
        <v>8333</v>
      </c>
    </row>
    <row r="6131" spans="1:4">
      <c r="A6131" s="4" t="s">
        <v>393</v>
      </c>
      <c r="B6131" s="5">
        <v>1700084</v>
      </c>
      <c r="C6131" s="5" t="s">
        <v>344</v>
      </c>
      <c r="D6131" s="3">
        <v>12010</v>
      </c>
    </row>
    <row r="6132" spans="1:4">
      <c r="A6132" s="4" t="s">
        <v>393</v>
      </c>
      <c r="B6132" s="5">
        <v>1700085</v>
      </c>
      <c r="C6132" s="5" t="s">
        <v>345</v>
      </c>
      <c r="D6132" s="3">
        <v>7860</v>
      </c>
    </row>
    <row r="6133" spans="1:4">
      <c r="A6133" s="4" t="s">
        <v>393</v>
      </c>
      <c r="B6133" s="5">
        <v>1700086</v>
      </c>
      <c r="C6133" s="5" t="s">
        <v>346</v>
      </c>
      <c r="D6133" s="3">
        <v>1814</v>
      </c>
    </row>
    <row r="6134" spans="1:4">
      <c r="A6134" s="4" t="s">
        <v>393</v>
      </c>
      <c r="B6134" s="5">
        <v>1700087</v>
      </c>
      <c r="C6134" s="5" t="s">
        <v>347</v>
      </c>
      <c r="D6134" s="3">
        <v>4890</v>
      </c>
    </row>
    <row r="6135" spans="1:4">
      <c r="A6135" s="4" t="s">
        <v>393</v>
      </c>
      <c r="B6135" s="5">
        <v>1700088</v>
      </c>
      <c r="C6135" s="5" t="s">
        <v>348</v>
      </c>
      <c r="D6135" s="3">
        <v>15500</v>
      </c>
    </row>
    <row r="6136" spans="1:4">
      <c r="A6136" s="4" t="s">
        <v>393</v>
      </c>
      <c r="B6136" s="5">
        <v>1700089</v>
      </c>
      <c r="C6136" s="5" t="s">
        <v>349</v>
      </c>
      <c r="D6136" s="3">
        <v>18500</v>
      </c>
    </row>
    <row r="6137" spans="1:4">
      <c r="A6137" s="4" t="s">
        <v>393</v>
      </c>
      <c r="B6137" s="5">
        <v>1700090</v>
      </c>
      <c r="C6137" s="5" t="s">
        <v>350</v>
      </c>
      <c r="D6137" s="3">
        <v>25490</v>
      </c>
    </row>
    <row r="6138" spans="1:4">
      <c r="A6138" s="4" t="s">
        <v>393</v>
      </c>
      <c r="B6138" s="5">
        <v>1700091</v>
      </c>
      <c r="C6138" s="5" t="s">
        <v>351</v>
      </c>
      <c r="D6138" s="3">
        <v>18353</v>
      </c>
    </row>
    <row r="6139" spans="1:4">
      <c r="A6139" s="4" t="s">
        <v>393</v>
      </c>
      <c r="B6139" s="5">
        <v>1700092</v>
      </c>
      <c r="C6139" s="5" t="s">
        <v>352</v>
      </c>
      <c r="D6139" s="3">
        <v>1784</v>
      </c>
    </row>
    <row r="6140" spans="1:4">
      <c r="A6140" s="4" t="s">
        <v>393</v>
      </c>
      <c r="B6140" s="5">
        <v>1700093</v>
      </c>
      <c r="C6140" s="5" t="s">
        <v>353</v>
      </c>
      <c r="D6140" s="3">
        <v>11180</v>
      </c>
    </row>
    <row r="6141" spans="1:4">
      <c r="A6141" s="4" t="s">
        <v>393</v>
      </c>
      <c r="B6141" s="5">
        <v>1700094</v>
      </c>
      <c r="C6141" s="5" t="s">
        <v>354</v>
      </c>
      <c r="D6141" s="3">
        <v>13529</v>
      </c>
    </row>
    <row r="6142" spans="1:4">
      <c r="A6142" s="4" t="s">
        <v>393</v>
      </c>
      <c r="B6142" s="5">
        <v>1700095</v>
      </c>
      <c r="C6142" s="5" t="s">
        <v>355</v>
      </c>
      <c r="D6142" s="3">
        <v>4500</v>
      </c>
    </row>
    <row r="6143" spans="1:4">
      <c r="A6143" s="4" t="s">
        <v>393</v>
      </c>
      <c r="B6143" s="5">
        <v>1700096</v>
      </c>
      <c r="C6143" s="5" t="s">
        <v>356</v>
      </c>
      <c r="D6143" s="3">
        <v>24510</v>
      </c>
    </row>
    <row r="6144" spans="1:4">
      <c r="A6144" s="4" t="s">
        <v>393</v>
      </c>
      <c r="B6144" s="5">
        <v>1700097</v>
      </c>
      <c r="C6144" s="5" t="s">
        <v>357</v>
      </c>
      <c r="D6144" s="3">
        <v>19608</v>
      </c>
    </row>
    <row r="6145" spans="1:4">
      <c r="A6145" s="4" t="s">
        <v>393</v>
      </c>
      <c r="B6145" s="5">
        <v>1700098</v>
      </c>
      <c r="C6145" s="5" t="s">
        <v>358</v>
      </c>
      <c r="D6145" s="3">
        <v>19608</v>
      </c>
    </row>
    <row r="6146" spans="1:4">
      <c r="A6146" s="4" t="s">
        <v>393</v>
      </c>
      <c r="B6146" s="5">
        <v>1700099</v>
      </c>
      <c r="C6146" s="5" t="s">
        <v>359</v>
      </c>
      <c r="D6146" s="3">
        <v>9740</v>
      </c>
    </row>
    <row r="6147" spans="1:4">
      <c r="A6147" s="4" t="s">
        <v>393</v>
      </c>
      <c r="B6147" s="5">
        <v>1700100</v>
      </c>
      <c r="C6147" s="5" t="s">
        <v>360</v>
      </c>
      <c r="D6147" s="3">
        <v>3333</v>
      </c>
    </row>
    <row r="6148" spans="1:4">
      <c r="A6148" s="4" t="s">
        <v>393</v>
      </c>
      <c r="B6148" s="5">
        <v>1700101</v>
      </c>
      <c r="C6148" s="5" t="s">
        <v>361</v>
      </c>
      <c r="D6148" s="3">
        <v>7647</v>
      </c>
    </row>
    <row r="6149" spans="1:4">
      <c r="A6149" s="4" t="s">
        <v>393</v>
      </c>
      <c r="B6149" s="5">
        <v>1700102</v>
      </c>
      <c r="C6149" s="5" t="s">
        <v>362</v>
      </c>
      <c r="D6149" s="3">
        <v>40196</v>
      </c>
    </row>
    <row r="6150" spans="1:4">
      <c r="A6150" s="4" t="s">
        <v>393</v>
      </c>
      <c r="B6150" s="5">
        <v>1700103</v>
      </c>
      <c r="C6150" s="5" t="s">
        <v>363</v>
      </c>
      <c r="D6150" s="3">
        <v>9000</v>
      </c>
    </row>
    <row r="6151" spans="1:4">
      <c r="A6151" s="4" t="s">
        <v>393</v>
      </c>
      <c r="B6151" s="5">
        <v>1700104</v>
      </c>
      <c r="C6151" s="5" t="s">
        <v>364</v>
      </c>
      <c r="D6151" s="3">
        <v>25000</v>
      </c>
    </row>
    <row r="6152" spans="1:4">
      <c r="A6152" s="4" t="s">
        <v>393</v>
      </c>
      <c r="B6152" s="5">
        <v>1700105</v>
      </c>
      <c r="C6152" s="5" t="s">
        <v>365</v>
      </c>
      <c r="D6152" s="3">
        <v>11275</v>
      </c>
    </row>
    <row r="6153" spans="1:4">
      <c r="A6153" s="4" t="s">
        <v>393</v>
      </c>
      <c r="B6153" s="5">
        <v>1700106</v>
      </c>
      <c r="C6153" s="5" t="s">
        <v>366</v>
      </c>
      <c r="D6153" s="3">
        <v>12255</v>
      </c>
    </row>
    <row r="6154" spans="1:4">
      <c r="A6154" s="4" t="s">
        <v>393</v>
      </c>
      <c r="B6154" s="5">
        <v>1700107</v>
      </c>
      <c r="C6154" s="5" t="s">
        <v>367</v>
      </c>
      <c r="D6154" s="3">
        <v>9020</v>
      </c>
    </row>
    <row r="6155" spans="1:4">
      <c r="A6155" s="4" t="s">
        <v>393</v>
      </c>
      <c r="B6155" s="5">
        <v>1800002</v>
      </c>
      <c r="C6155" s="5" t="s">
        <v>368</v>
      </c>
      <c r="D6155" s="3">
        <v>9520</v>
      </c>
    </row>
    <row r="6156" spans="1:4">
      <c r="A6156" s="4" t="s">
        <v>393</v>
      </c>
      <c r="B6156" s="5">
        <v>1800004</v>
      </c>
      <c r="C6156" s="5" t="s">
        <v>369</v>
      </c>
      <c r="D6156" s="3">
        <v>0</v>
      </c>
    </row>
    <row r="6157" spans="1:4">
      <c r="A6157" s="4" t="s">
        <v>393</v>
      </c>
      <c r="B6157" s="5">
        <v>1800005</v>
      </c>
      <c r="C6157" s="5" t="s">
        <v>370</v>
      </c>
      <c r="D6157" s="3">
        <v>0</v>
      </c>
    </row>
    <row r="6158" spans="1:4">
      <c r="A6158" s="4" t="s">
        <v>393</v>
      </c>
      <c r="B6158" s="5">
        <v>1800006</v>
      </c>
      <c r="C6158" s="5" t="s">
        <v>371</v>
      </c>
      <c r="D6158" s="3">
        <v>0</v>
      </c>
    </row>
    <row r="6159" spans="1:4">
      <c r="A6159" s="4" t="s">
        <v>393</v>
      </c>
      <c r="B6159" s="5">
        <v>1800007</v>
      </c>
      <c r="C6159" s="5" t="s">
        <v>372</v>
      </c>
      <c r="D6159" s="3">
        <v>10000</v>
      </c>
    </row>
    <row r="6160" spans="1:4">
      <c r="A6160" s="4" t="s">
        <v>393</v>
      </c>
      <c r="B6160" s="5">
        <v>1800008</v>
      </c>
      <c r="C6160" s="5" t="s">
        <v>373</v>
      </c>
      <c r="D6160" s="3">
        <v>10230</v>
      </c>
    </row>
    <row r="6161" spans="1:4">
      <c r="A6161" s="4" t="s">
        <v>393</v>
      </c>
      <c r="B6161" s="5">
        <v>1800009</v>
      </c>
      <c r="C6161" s="5" t="s">
        <v>374</v>
      </c>
      <c r="D6161" s="3">
        <v>11800</v>
      </c>
    </row>
    <row r="6162" spans="1:4">
      <c r="A6162" s="4" t="s">
        <v>393</v>
      </c>
      <c r="B6162" s="5">
        <v>1800010</v>
      </c>
      <c r="C6162" s="5" t="s">
        <v>375</v>
      </c>
      <c r="D6162" s="3">
        <v>6863</v>
      </c>
    </row>
    <row r="6163" spans="1:4">
      <c r="A6163" s="4" t="s">
        <v>393</v>
      </c>
      <c r="B6163" s="5">
        <v>1800011</v>
      </c>
      <c r="C6163" s="5" t="s">
        <v>376</v>
      </c>
      <c r="D6163" s="3">
        <v>13235</v>
      </c>
    </row>
    <row r="6164" spans="1:4">
      <c r="A6164" s="4" t="s">
        <v>393</v>
      </c>
      <c r="B6164" s="5">
        <v>1800012</v>
      </c>
      <c r="C6164" s="5" t="s">
        <v>377</v>
      </c>
      <c r="D6164" s="3">
        <v>8235</v>
      </c>
    </row>
    <row r="6165" spans="1:4">
      <c r="A6165" s="4" t="s">
        <v>393</v>
      </c>
      <c r="B6165" s="5">
        <v>1800013</v>
      </c>
      <c r="C6165" s="5" t="s">
        <v>378</v>
      </c>
      <c r="D6165" s="3">
        <v>51500</v>
      </c>
    </row>
    <row r="6166" spans="1:4">
      <c r="A6166" s="4" t="s">
        <v>393</v>
      </c>
      <c r="B6166" s="5">
        <v>1800014</v>
      </c>
      <c r="C6166" s="5" t="s">
        <v>379</v>
      </c>
      <c r="D6166" s="3">
        <v>83000</v>
      </c>
    </row>
    <row r="6167" spans="1:4">
      <c r="A6167" s="4" t="s">
        <v>393</v>
      </c>
      <c r="B6167" s="5">
        <v>1800015</v>
      </c>
      <c r="C6167" s="5" t="s">
        <v>380</v>
      </c>
      <c r="D6167" s="3">
        <v>71000</v>
      </c>
    </row>
    <row r="6168" spans="1:4">
      <c r="A6168" s="4" t="s">
        <v>393</v>
      </c>
      <c r="B6168" s="5">
        <v>1900013</v>
      </c>
      <c r="C6168" s="5" t="s">
        <v>381</v>
      </c>
      <c r="D6168" s="3">
        <v>0</v>
      </c>
    </row>
    <row r="6169" spans="1:4">
      <c r="A6169" s="4" t="s">
        <v>393</v>
      </c>
      <c r="B6169" s="5">
        <v>1900018</v>
      </c>
      <c r="C6169" s="5" t="s">
        <v>382</v>
      </c>
      <c r="D6169" s="3">
        <v>0</v>
      </c>
    </row>
    <row r="6170" spans="1:4">
      <c r="A6170" s="4" t="s">
        <v>394</v>
      </c>
      <c r="B6170" s="5">
        <v>1010101</v>
      </c>
      <c r="C6170" s="5" t="s">
        <v>5</v>
      </c>
      <c r="D6170" s="3">
        <v>700</v>
      </c>
    </row>
    <row r="6171" spans="1:4">
      <c r="A6171" s="4" t="s">
        <v>394</v>
      </c>
      <c r="B6171" s="5">
        <v>1010111</v>
      </c>
      <c r="C6171" s="5" t="s">
        <v>9</v>
      </c>
      <c r="D6171" s="3">
        <v>22500</v>
      </c>
    </row>
    <row r="6172" spans="1:4">
      <c r="A6172" s="4" t="s">
        <v>394</v>
      </c>
      <c r="B6172" s="5">
        <v>1010201</v>
      </c>
      <c r="C6172" s="5" t="s">
        <v>11</v>
      </c>
      <c r="D6172" s="3">
        <v>1372</v>
      </c>
    </row>
    <row r="6173" spans="1:4">
      <c r="A6173" s="4" t="s">
        <v>394</v>
      </c>
      <c r="B6173" s="5">
        <v>1010300</v>
      </c>
      <c r="C6173" s="5" t="s">
        <v>213</v>
      </c>
      <c r="D6173" s="3">
        <v>9608</v>
      </c>
    </row>
    <row r="6174" spans="1:4">
      <c r="A6174" s="4" t="s">
        <v>394</v>
      </c>
      <c r="B6174" s="5">
        <v>1010301</v>
      </c>
      <c r="C6174" s="5" t="s">
        <v>214</v>
      </c>
      <c r="D6174" s="3">
        <v>6373</v>
      </c>
    </row>
    <row r="6175" spans="1:4">
      <c r="A6175" s="4" t="s">
        <v>394</v>
      </c>
      <c r="B6175" s="5">
        <v>1010302</v>
      </c>
      <c r="C6175" s="5" t="s">
        <v>16</v>
      </c>
      <c r="D6175" s="3">
        <v>4314</v>
      </c>
    </row>
    <row r="6176" spans="1:4">
      <c r="A6176" s="4" t="s">
        <v>394</v>
      </c>
      <c r="B6176" s="5">
        <v>1010303</v>
      </c>
      <c r="C6176" s="5" t="s">
        <v>18</v>
      </c>
      <c r="D6176" s="3">
        <v>882</v>
      </c>
    </row>
    <row r="6177" spans="1:4">
      <c r="A6177" s="4" t="s">
        <v>394</v>
      </c>
      <c r="B6177" s="5">
        <v>1010304</v>
      </c>
      <c r="C6177" s="5" t="s">
        <v>215</v>
      </c>
      <c r="D6177" s="3">
        <v>1422</v>
      </c>
    </row>
    <row r="6178" spans="1:4">
      <c r="A6178" s="4" t="s">
        <v>394</v>
      </c>
      <c r="B6178" s="5">
        <v>1010401</v>
      </c>
      <c r="C6178" s="5" t="s">
        <v>20</v>
      </c>
      <c r="D6178" s="3">
        <v>4412</v>
      </c>
    </row>
    <row r="6179" spans="1:4">
      <c r="A6179" s="4" t="s">
        <v>394</v>
      </c>
      <c r="B6179" s="5">
        <v>1010405</v>
      </c>
      <c r="C6179" s="5" t="s">
        <v>22</v>
      </c>
      <c r="D6179" s="3">
        <v>9975</v>
      </c>
    </row>
    <row r="6180" spans="1:4">
      <c r="A6180" s="4" t="s">
        <v>394</v>
      </c>
      <c r="B6180" s="5">
        <v>1010501</v>
      </c>
      <c r="C6180" s="5" t="s">
        <v>24</v>
      </c>
      <c r="D6180" s="3">
        <v>980</v>
      </c>
    </row>
    <row r="6181" spans="1:4">
      <c r="A6181" s="4" t="s">
        <v>394</v>
      </c>
      <c r="B6181" s="5">
        <v>1010502</v>
      </c>
      <c r="C6181" s="5" t="s">
        <v>216</v>
      </c>
      <c r="D6181" s="3">
        <v>0</v>
      </c>
    </row>
    <row r="6182" spans="1:4">
      <c r="A6182" s="4" t="s">
        <v>394</v>
      </c>
      <c r="B6182" s="5">
        <v>1010601</v>
      </c>
      <c r="C6182" s="5" t="s">
        <v>26</v>
      </c>
      <c r="D6182" s="3">
        <v>4902</v>
      </c>
    </row>
    <row r="6183" spans="1:4">
      <c r="A6183" s="4" t="s">
        <v>394</v>
      </c>
      <c r="B6183" s="5">
        <v>1010701</v>
      </c>
      <c r="C6183" s="5" t="s">
        <v>28</v>
      </c>
      <c r="D6183" s="3">
        <v>686</v>
      </c>
    </row>
    <row r="6184" spans="1:4">
      <c r="A6184" s="4" t="s">
        <v>394</v>
      </c>
      <c r="B6184" s="5">
        <v>1010801</v>
      </c>
      <c r="C6184" s="5" t="s">
        <v>30</v>
      </c>
      <c r="D6184" s="3">
        <v>11275</v>
      </c>
    </row>
    <row r="6185" spans="1:4">
      <c r="A6185" s="4" t="s">
        <v>394</v>
      </c>
      <c r="B6185" s="5">
        <v>1010901</v>
      </c>
      <c r="C6185" s="5" t="s">
        <v>32</v>
      </c>
      <c r="D6185" s="3">
        <v>4804</v>
      </c>
    </row>
    <row r="6186" spans="1:4">
      <c r="A6186" s="4" t="s">
        <v>394</v>
      </c>
      <c r="B6186" s="5">
        <v>1020101</v>
      </c>
      <c r="C6186" s="5" t="s">
        <v>34</v>
      </c>
      <c r="D6186" s="3">
        <v>11667</v>
      </c>
    </row>
    <row r="6187" spans="1:4">
      <c r="A6187" s="4" t="s">
        <v>394</v>
      </c>
      <c r="B6187" s="5">
        <v>1020201</v>
      </c>
      <c r="C6187" s="5" t="s">
        <v>217</v>
      </c>
      <c r="D6187" s="3">
        <v>5600</v>
      </c>
    </row>
    <row r="6188" spans="1:4">
      <c r="A6188" s="4" t="s">
        <v>394</v>
      </c>
      <c r="B6188" s="5">
        <v>1020301</v>
      </c>
      <c r="C6188" s="5" t="s">
        <v>38</v>
      </c>
      <c r="D6188" s="3">
        <v>2700</v>
      </c>
    </row>
    <row r="6189" spans="1:4">
      <c r="A6189" s="4" t="s">
        <v>394</v>
      </c>
      <c r="B6189" s="5">
        <v>1020401</v>
      </c>
      <c r="C6189" s="5" t="s">
        <v>40</v>
      </c>
      <c r="D6189" s="3">
        <v>3470</v>
      </c>
    </row>
    <row r="6190" spans="1:4">
      <c r="A6190" s="4" t="s">
        <v>394</v>
      </c>
      <c r="B6190" s="5">
        <v>1030102</v>
      </c>
      <c r="C6190" s="5" t="s">
        <v>218</v>
      </c>
      <c r="D6190" s="3">
        <v>0</v>
      </c>
    </row>
    <row r="6191" spans="1:4">
      <c r="A6191" s="4" t="s">
        <v>394</v>
      </c>
      <c r="B6191" s="5">
        <v>1030201</v>
      </c>
      <c r="C6191" s="5" t="s">
        <v>42</v>
      </c>
      <c r="D6191" s="3">
        <v>2843</v>
      </c>
    </row>
    <row r="6192" spans="1:4">
      <c r="A6192" s="4" t="s">
        <v>394</v>
      </c>
      <c r="B6192" s="5">
        <v>1030203</v>
      </c>
      <c r="C6192" s="5" t="s">
        <v>219</v>
      </c>
      <c r="D6192" s="3">
        <v>0</v>
      </c>
    </row>
    <row r="6193" spans="1:4">
      <c r="A6193" s="4" t="s">
        <v>394</v>
      </c>
      <c r="B6193" s="5">
        <v>1030204</v>
      </c>
      <c r="C6193" s="5" t="s">
        <v>220</v>
      </c>
      <c r="D6193" s="3">
        <v>0</v>
      </c>
    </row>
    <row r="6194" spans="1:4">
      <c r="A6194" s="4" t="s">
        <v>394</v>
      </c>
      <c r="B6194" s="5">
        <v>1030205</v>
      </c>
      <c r="C6194" s="5" t="s">
        <v>44</v>
      </c>
      <c r="D6194" s="3">
        <v>5000</v>
      </c>
    </row>
    <row r="6195" spans="1:4">
      <c r="A6195" s="4" t="s">
        <v>394</v>
      </c>
      <c r="B6195" s="5">
        <v>1030206</v>
      </c>
      <c r="C6195" s="5" t="s">
        <v>46</v>
      </c>
      <c r="D6195" s="3">
        <v>6200</v>
      </c>
    </row>
    <row r="6196" spans="1:4">
      <c r="A6196" s="4" t="s">
        <v>394</v>
      </c>
      <c r="B6196" s="5">
        <v>1030207</v>
      </c>
      <c r="C6196" s="5" t="s">
        <v>48</v>
      </c>
      <c r="D6196" s="3">
        <v>4600</v>
      </c>
    </row>
    <row r="6197" spans="1:4">
      <c r="A6197" s="4" t="s">
        <v>394</v>
      </c>
      <c r="B6197" s="5">
        <v>1030501</v>
      </c>
      <c r="C6197" s="5" t="s">
        <v>50</v>
      </c>
      <c r="D6197" s="3">
        <v>1163</v>
      </c>
    </row>
    <row r="6198" spans="1:4">
      <c r="A6198" s="4" t="s">
        <v>394</v>
      </c>
      <c r="B6198" s="5">
        <v>1030601</v>
      </c>
      <c r="C6198" s="5" t="s">
        <v>52</v>
      </c>
      <c r="D6198" s="3">
        <v>3050</v>
      </c>
    </row>
    <row r="6199" spans="1:4">
      <c r="A6199" s="4" t="s">
        <v>394</v>
      </c>
      <c r="B6199" s="5">
        <v>1030701</v>
      </c>
      <c r="C6199" s="5" t="s">
        <v>221</v>
      </c>
      <c r="D6199" s="3">
        <v>3000</v>
      </c>
    </row>
    <row r="6200" spans="1:4">
      <c r="A6200" s="4" t="s">
        <v>394</v>
      </c>
      <c r="B6200" s="5">
        <v>1030705</v>
      </c>
      <c r="C6200" s="5" t="s">
        <v>222</v>
      </c>
      <c r="D6200" s="3">
        <v>0</v>
      </c>
    </row>
    <row r="6201" spans="1:4">
      <c r="A6201" s="4" t="s">
        <v>394</v>
      </c>
      <c r="B6201" s="5">
        <v>1030801</v>
      </c>
      <c r="C6201" s="5" t="s">
        <v>54</v>
      </c>
      <c r="D6201" s="3">
        <v>1176</v>
      </c>
    </row>
    <row r="6202" spans="1:4">
      <c r="A6202" s="4" t="s">
        <v>394</v>
      </c>
      <c r="B6202" s="5">
        <v>1030901</v>
      </c>
      <c r="C6202" s="5" t="s">
        <v>223</v>
      </c>
      <c r="D6202" s="3">
        <v>0</v>
      </c>
    </row>
    <row r="6203" spans="1:4">
      <c r="A6203" s="4" t="s">
        <v>394</v>
      </c>
      <c r="B6203" s="5">
        <v>1040201</v>
      </c>
      <c r="C6203" s="5" t="s">
        <v>56</v>
      </c>
      <c r="D6203" s="3">
        <v>1650</v>
      </c>
    </row>
    <row r="6204" spans="1:4">
      <c r="A6204" s="4" t="s">
        <v>394</v>
      </c>
      <c r="B6204" s="5">
        <v>1040202</v>
      </c>
      <c r="C6204" s="5" t="s">
        <v>224</v>
      </c>
      <c r="D6204" s="3">
        <v>0</v>
      </c>
    </row>
    <row r="6205" spans="1:4">
      <c r="A6205" s="4" t="s">
        <v>394</v>
      </c>
      <c r="B6205" s="5">
        <v>1040203</v>
      </c>
      <c r="C6205" s="5" t="s">
        <v>225</v>
      </c>
      <c r="D6205" s="3">
        <v>0</v>
      </c>
    </row>
    <row r="6206" spans="1:4">
      <c r="A6206" s="4" t="s">
        <v>394</v>
      </c>
      <c r="B6206" s="5">
        <v>1040204</v>
      </c>
      <c r="C6206" s="5" t="s">
        <v>226</v>
      </c>
      <c r="D6206" s="3">
        <v>8583</v>
      </c>
    </row>
    <row r="6207" spans="1:4">
      <c r="A6207" s="4" t="s">
        <v>394</v>
      </c>
      <c r="B6207" s="5">
        <v>1040301</v>
      </c>
      <c r="C6207" s="5" t="s">
        <v>58</v>
      </c>
      <c r="D6207" s="3">
        <v>1650</v>
      </c>
    </row>
    <row r="6208" spans="1:4">
      <c r="A6208" s="4" t="s">
        <v>394</v>
      </c>
      <c r="B6208" s="5">
        <v>1040401</v>
      </c>
      <c r="C6208" s="5" t="s">
        <v>227</v>
      </c>
      <c r="D6208" s="3">
        <v>0</v>
      </c>
    </row>
    <row r="6209" spans="1:4">
      <c r="A6209" s="4" t="s">
        <v>394</v>
      </c>
      <c r="B6209" s="5">
        <v>1050102</v>
      </c>
      <c r="C6209" s="5" t="s">
        <v>60</v>
      </c>
      <c r="D6209" s="3">
        <v>33000</v>
      </c>
    </row>
    <row r="6210" spans="1:4">
      <c r="A6210" s="4" t="s">
        <v>394</v>
      </c>
      <c r="B6210" s="5">
        <v>1050103</v>
      </c>
      <c r="C6210" s="5" t="s">
        <v>228</v>
      </c>
      <c r="D6210" s="3">
        <v>11275</v>
      </c>
    </row>
    <row r="6211" spans="1:4">
      <c r="A6211" s="4" t="s">
        <v>394</v>
      </c>
      <c r="B6211" s="5">
        <v>1050301</v>
      </c>
      <c r="C6211" s="5" t="s">
        <v>62</v>
      </c>
      <c r="D6211" s="3">
        <v>9804</v>
      </c>
    </row>
    <row r="6212" spans="1:4">
      <c r="A6212" s="4" t="s">
        <v>394</v>
      </c>
      <c r="B6212" s="5">
        <v>1050401</v>
      </c>
      <c r="C6212" s="5" t="s">
        <v>64</v>
      </c>
      <c r="D6212" s="3">
        <v>8824</v>
      </c>
    </row>
    <row r="6213" spans="1:4">
      <c r="A6213" s="4" t="s">
        <v>394</v>
      </c>
      <c r="B6213" s="5">
        <v>1050501</v>
      </c>
      <c r="C6213" s="5" t="s">
        <v>66</v>
      </c>
      <c r="D6213" s="3">
        <v>10784</v>
      </c>
    </row>
    <row r="6214" spans="1:4">
      <c r="A6214" s="4" t="s">
        <v>394</v>
      </c>
      <c r="B6214" s="5">
        <v>1050511</v>
      </c>
      <c r="C6214" s="5" t="s">
        <v>68</v>
      </c>
      <c r="D6214" s="3">
        <v>18000</v>
      </c>
    </row>
    <row r="6215" spans="1:4">
      <c r="A6215" s="4" t="s">
        <v>394</v>
      </c>
      <c r="B6215" s="5">
        <v>1050512</v>
      </c>
      <c r="C6215" s="5" t="s">
        <v>229</v>
      </c>
      <c r="D6215" s="3">
        <v>0</v>
      </c>
    </row>
    <row r="6216" spans="1:4">
      <c r="A6216" s="4" t="s">
        <v>394</v>
      </c>
      <c r="B6216" s="5">
        <v>1050521</v>
      </c>
      <c r="C6216" s="5" t="s">
        <v>70</v>
      </c>
      <c r="D6216" s="3">
        <v>14706</v>
      </c>
    </row>
    <row r="6217" spans="1:4">
      <c r="A6217" s="4" t="s">
        <v>394</v>
      </c>
      <c r="B6217" s="5">
        <v>1050531</v>
      </c>
      <c r="C6217" s="5" t="s">
        <v>72</v>
      </c>
      <c r="D6217" s="3">
        <v>21000</v>
      </c>
    </row>
    <row r="6218" spans="1:4">
      <c r="A6218" s="4" t="s">
        <v>394</v>
      </c>
      <c r="B6218" s="5">
        <v>1050541</v>
      </c>
      <c r="C6218" s="5" t="s">
        <v>74</v>
      </c>
      <c r="D6218" s="3">
        <v>11000</v>
      </c>
    </row>
    <row r="6219" spans="1:4">
      <c r="A6219" s="4" t="s">
        <v>394</v>
      </c>
      <c r="B6219" s="5">
        <v>1050551</v>
      </c>
      <c r="C6219" s="5" t="s">
        <v>76</v>
      </c>
      <c r="D6219" s="3">
        <v>54000</v>
      </c>
    </row>
    <row r="6220" spans="1:4">
      <c r="A6220" s="4" t="s">
        <v>394</v>
      </c>
      <c r="B6220" s="5">
        <v>1050561</v>
      </c>
      <c r="C6220" s="5" t="s">
        <v>78</v>
      </c>
      <c r="D6220" s="3">
        <v>77321</v>
      </c>
    </row>
    <row r="6221" spans="1:4">
      <c r="A6221" s="4" t="s">
        <v>394</v>
      </c>
      <c r="B6221" s="5">
        <v>1050571</v>
      </c>
      <c r="C6221" s="5" t="s">
        <v>80</v>
      </c>
      <c r="D6221" s="3">
        <v>58000</v>
      </c>
    </row>
    <row r="6222" spans="1:4">
      <c r="A6222" s="4" t="s">
        <v>394</v>
      </c>
      <c r="B6222" s="5">
        <v>1050581</v>
      </c>
      <c r="C6222" s="5" t="s">
        <v>82</v>
      </c>
      <c r="D6222" s="3">
        <v>73000</v>
      </c>
    </row>
    <row r="6223" spans="1:4">
      <c r="A6223" s="4" t="s">
        <v>394</v>
      </c>
      <c r="B6223" s="5">
        <v>1050591</v>
      </c>
      <c r="C6223" s="5" t="s">
        <v>84</v>
      </c>
      <c r="D6223" s="3">
        <v>97750</v>
      </c>
    </row>
    <row r="6224" spans="1:4">
      <c r="A6224" s="4" t="s">
        <v>394</v>
      </c>
      <c r="B6224" s="5">
        <v>1050601</v>
      </c>
      <c r="C6224" s="5" t="s">
        <v>86</v>
      </c>
      <c r="D6224" s="3">
        <v>6400</v>
      </c>
    </row>
    <row r="6225" spans="1:4">
      <c r="A6225" s="4" t="s">
        <v>394</v>
      </c>
      <c r="B6225" s="5">
        <v>1050701</v>
      </c>
      <c r="C6225" s="5" t="s">
        <v>88</v>
      </c>
      <c r="D6225" s="3">
        <v>5930</v>
      </c>
    </row>
    <row r="6226" spans="1:4">
      <c r="A6226" s="4" t="s">
        <v>394</v>
      </c>
      <c r="B6226" s="5">
        <v>1050702</v>
      </c>
      <c r="C6226" s="5" t="s">
        <v>90</v>
      </c>
      <c r="D6226" s="3">
        <v>5870</v>
      </c>
    </row>
    <row r="6227" spans="1:4">
      <c r="A6227" s="4" t="s">
        <v>394</v>
      </c>
      <c r="B6227" s="5">
        <v>1050711</v>
      </c>
      <c r="C6227" s="5" t="s">
        <v>92</v>
      </c>
      <c r="D6227" s="3">
        <v>2600</v>
      </c>
    </row>
    <row r="6228" spans="1:4">
      <c r="A6228" s="4" t="s">
        <v>394</v>
      </c>
      <c r="B6228" s="5">
        <v>1050721</v>
      </c>
      <c r="C6228" s="5" t="s">
        <v>94</v>
      </c>
      <c r="D6228" s="3">
        <v>14510</v>
      </c>
    </row>
    <row r="6229" spans="1:4">
      <c r="A6229" s="4" t="s">
        <v>394</v>
      </c>
      <c r="B6229" s="5">
        <v>1050801</v>
      </c>
      <c r="C6229" s="5" t="s">
        <v>7</v>
      </c>
      <c r="D6229" s="3">
        <v>882</v>
      </c>
    </row>
    <row r="6230" spans="1:4">
      <c r="A6230" s="4" t="s">
        <v>394</v>
      </c>
      <c r="B6230" s="5">
        <v>1050901</v>
      </c>
      <c r="C6230" s="5" t="s">
        <v>96</v>
      </c>
      <c r="D6230" s="3">
        <v>1216</v>
      </c>
    </row>
    <row r="6231" spans="1:4">
      <c r="A6231" s="4" t="s">
        <v>394</v>
      </c>
      <c r="B6231" s="5">
        <v>1060101</v>
      </c>
      <c r="C6231" s="5" t="s">
        <v>98</v>
      </c>
      <c r="D6231" s="3">
        <v>2200</v>
      </c>
    </row>
    <row r="6232" spans="1:4">
      <c r="A6232" s="4" t="s">
        <v>394</v>
      </c>
      <c r="B6232" s="5">
        <v>1060401</v>
      </c>
      <c r="C6232" s="5" t="s">
        <v>100</v>
      </c>
      <c r="D6232" s="3">
        <v>105000</v>
      </c>
    </row>
    <row r="6233" spans="1:4">
      <c r="A6233" s="4" t="s">
        <v>394</v>
      </c>
      <c r="B6233" s="5">
        <v>1060412</v>
      </c>
      <c r="C6233" s="5" t="s">
        <v>230</v>
      </c>
      <c r="D6233" s="3">
        <v>33000</v>
      </c>
    </row>
    <row r="6234" spans="1:4">
      <c r="A6234" s="4" t="s">
        <v>394</v>
      </c>
      <c r="B6234" s="5">
        <v>1060421</v>
      </c>
      <c r="C6234" s="5" t="s">
        <v>104</v>
      </c>
      <c r="D6234" s="3">
        <v>118000</v>
      </c>
    </row>
    <row r="6235" spans="1:4">
      <c r="A6235" s="4" t="s">
        <v>394</v>
      </c>
      <c r="B6235" s="5">
        <v>1060441</v>
      </c>
      <c r="C6235" s="5" t="s">
        <v>106</v>
      </c>
      <c r="D6235" s="3">
        <v>6471</v>
      </c>
    </row>
    <row r="6236" spans="1:4">
      <c r="A6236" s="4" t="s">
        <v>394</v>
      </c>
      <c r="B6236" s="5">
        <v>1060451</v>
      </c>
      <c r="C6236" s="5" t="s">
        <v>108</v>
      </c>
      <c r="D6236" s="3">
        <v>38235</v>
      </c>
    </row>
    <row r="6237" spans="1:4">
      <c r="A6237" s="4" t="s">
        <v>394</v>
      </c>
      <c r="B6237" s="5">
        <v>1070101</v>
      </c>
      <c r="C6237" s="5" t="s">
        <v>110</v>
      </c>
      <c r="D6237" s="3">
        <v>4500</v>
      </c>
    </row>
    <row r="6238" spans="1:4">
      <c r="A6238" s="4" t="s">
        <v>394</v>
      </c>
      <c r="B6238" s="5">
        <v>1070301</v>
      </c>
      <c r="C6238" s="5" t="s">
        <v>112</v>
      </c>
      <c r="D6238" s="3">
        <v>43000</v>
      </c>
    </row>
    <row r="6239" spans="1:4">
      <c r="A6239" s="4" t="s">
        <v>394</v>
      </c>
      <c r="B6239" s="5">
        <v>1070401</v>
      </c>
      <c r="C6239" s="5" t="s">
        <v>114</v>
      </c>
      <c r="D6239" s="3">
        <v>16000</v>
      </c>
    </row>
    <row r="6240" spans="1:4">
      <c r="A6240" s="4" t="s">
        <v>394</v>
      </c>
      <c r="B6240" s="5">
        <v>1070501</v>
      </c>
      <c r="C6240" s="5" t="s">
        <v>231</v>
      </c>
      <c r="D6240" s="3">
        <v>5500</v>
      </c>
    </row>
    <row r="6241" spans="1:4">
      <c r="A6241" s="4" t="s">
        <v>394</v>
      </c>
      <c r="B6241" s="5">
        <v>1070701</v>
      </c>
      <c r="C6241" s="5" t="s">
        <v>118</v>
      </c>
      <c r="D6241" s="3">
        <v>36000</v>
      </c>
    </row>
    <row r="6242" spans="1:4">
      <c r="A6242" s="4" t="s">
        <v>394</v>
      </c>
      <c r="B6242" s="5">
        <v>1070801</v>
      </c>
      <c r="C6242" s="5" t="s">
        <v>232</v>
      </c>
      <c r="D6242" s="3">
        <v>35000</v>
      </c>
    </row>
    <row r="6243" spans="1:4">
      <c r="A6243" s="4" t="s">
        <v>394</v>
      </c>
      <c r="B6243" s="5">
        <v>1080101</v>
      </c>
      <c r="C6243" s="5" t="s">
        <v>120</v>
      </c>
      <c r="D6243" s="3">
        <v>12000</v>
      </c>
    </row>
    <row r="6244" spans="1:4">
      <c r="A6244" s="4" t="s">
        <v>394</v>
      </c>
      <c r="B6244" s="5">
        <v>1080201</v>
      </c>
      <c r="C6244" s="5" t="s">
        <v>122</v>
      </c>
      <c r="D6244" s="3">
        <v>540</v>
      </c>
    </row>
    <row r="6245" spans="1:4">
      <c r="A6245" s="4" t="s">
        <v>394</v>
      </c>
      <c r="B6245" s="5">
        <v>1080301</v>
      </c>
      <c r="C6245" s="5" t="s">
        <v>124</v>
      </c>
      <c r="D6245" s="3">
        <v>1550</v>
      </c>
    </row>
    <row r="6246" spans="1:4">
      <c r="A6246" s="4" t="s">
        <v>394</v>
      </c>
      <c r="B6246" s="5">
        <v>1080401</v>
      </c>
      <c r="C6246" s="5" t="s">
        <v>233</v>
      </c>
      <c r="D6246" s="3">
        <v>3500</v>
      </c>
    </row>
    <row r="6247" spans="1:4">
      <c r="A6247" s="4" t="s">
        <v>394</v>
      </c>
      <c r="B6247" s="5">
        <v>1080411</v>
      </c>
      <c r="C6247" s="5" t="s">
        <v>128</v>
      </c>
      <c r="D6247" s="3">
        <v>3500</v>
      </c>
    </row>
    <row r="6248" spans="1:4">
      <c r="A6248" s="4" t="s">
        <v>394</v>
      </c>
      <c r="B6248" s="5">
        <v>1080501</v>
      </c>
      <c r="C6248" s="5" t="s">
        <v>130</v>
      </c>
      <c r="D6248" s="3">
        <v>4200</v>
      </c>
    </row>
    <row r="6249" spans="1:4">
      <c r="A6249" s="4" t="s">
        <v>394</v>
      </c>
      <c r="B6249" s="5">
        <v>1080602</v>
      </c>
      <c r="C6249" s="5" t="s">
        <v>234</v>
      </c>
      <c r="D6249" s="3">
        <v>38600</v>
      </c>
    </row>
    <row r="6250" spans="1:4">
      <c r="A6250" s="4" t="s">
        <v>394</v>
      </c>
      <c r="B6250" s="5">
        <v>1080604</v>
      </c>
      <c r="C6250" s="5" t="s">
        <v>235</v>
      </c>
      <c r="D6250" s="3">
        <v>0</v>
      </c>
    </row>
    <row r="6251" spans="1:4">
      <c r="A6251" s="4" t="s">
        <v>394</v>
      </c>
      <c r="B6251" s="5">
        <v>1080702</v>
      </c>
      <c r="C6251" s="5" t="s">
        <v>236</v>
      </c>
      <c r="D6251" s="3">
        <v>43500</v>
      </c>
    </row>
    <row r="6252" spans="1:4">
      <c r="A6252" s="4" t="s">
        <v>394</v>
      </c>
      <c r="B6252" s="5">
        <v>1080704</v>
      </c>
      <c r="C6252" s="5" t="s">
        <v>237</v>
      </c>
      <c r="D6252" s="3">
        <v>0</v>
      </c>
    </row>
    <row r="6253" spans="1:4">
      <c r="A6253" s="4" t="s">
        <v>394</v>
      </c>
      <c r="B6253" s="5">
        <v>1090104</v>
      </c>
      <c r="C6253" s="5" t="s">
        <v>136</v>
      </c>
      <c r="D6253" s="3">
        <v>40000</v>
      </c>
    </row>
    <row r="6254" spans="1:4">
      <c r="A6254" s="4" t="s">
        <v>394</v>
      </c>
      <c r="B6254" s="5">
        <v>1090112</v>
      </c>
      <c r="C6254" s="5" t="s">
        <v>138</v>
      </c>
      <c r="D6254" s="3">
        <v>35000</v>
      </c>
    </row>
    <row r="6255" spans="1:4">
      <c r="A6255" s="4" t="s">
        <v>394</v>
      </c>
      <c r="B6255" s="5">
        <v>1090201</v>
      </c>
      <c r="C6255" s="5" t="s">
        <v>140</v>
      </c>
      <c r="D6255" s="3">
        <v>15800</v>
      </c>
    </row>
    <row r="6256" spans="1:4">
      <c r="A6256" s="4" t="s">
        <v>394</v>
      </c>
      <c r="B6256" s="5">
        <v>1090202</v>
      </c>
      <c r="C6256" s="5" t="s">
        <v>142</v>
      </c>
      <c r="D6256" s="3">
        <v>98000</v>
      </c>
    </row>
    <row r="6257" spans="1:4">
      <c r="A6257" s="4" t="s">
        <v>394</v>
      </c>
      <c r="B6257" s="5">
        <v>1090203</v>
      </c>
      <c r="C6257" s="5" t="s">
        <v>144</v>
      </c>
      <c r="D6257" s="3">
        <v>23000</v>
      </c>
    </row>
    <row r="6258" spans="1:4">
      <c r="A6258" s="4" t="s">
        <v>394</v>
      </c>
      <c r="B6258" s="5">
        <v>1090211</v>
      </c>
      <c r="C6258" s="5" t="s">
        <v>146</v>
      </c>
      <c r="D6258" s="3">
        <v>77451</v>
      </c>
    </row>
    <row r="6259" spans="1:4">
      <c r="A6259" s="4" t="s">
        <v>394</v>
      </c>
      <c r="B6259" s="5">
        <v>1090301</v>
      </c>
      <c r="C6259" s="5" t="s">
        <v>238</v>
      </c>
      <c r="D6259" s="3">
        <v>32000</v>
      </c>
    </row>
    <row r="6260" spans="1:4">
      <c r="A6260" s="4" t="s">
        <v>394</v>
      </c>
      <c r="B6260" s="5">
        <v>1090311</v>
      </c>
      <c r="C6260" s="5" t="s">
        <v>150</v>
      </c>
      <c r="D6260" s="3">
        <v>37000</v>
      </c>
    </row>
    <row r="6261" spans="1:4">
      <c r="A6261" s="4" t="s">
        <v>394</v>
      </c>
      <c r="B6261" s="5">
        <v>1090321</v>
      </c>
      <c r="C6261" s="5" t="s">
        <v>152</v>
      </c>
      <c r="D6261" s="3">
        <v>69000</v>
      </c>
    </row>
    <row r="6262" spans="1:4">
      <c r="A6262" s="4" t="s">
        <v>394</v>
      </c>
      <c r="B6262" s="5">
        <v>1090401</v>
      </c>
      <c r="C6262" s="5" t="s">
        <v>154</v>
      </c>
      <c r="D6262" s="3">
        <v>9300</v>
      </c>
    </row>
    <row r="6263" spans="1:4">
      <c r="A6263" s="4" t="s">
        <v>394</v>
      </c>
      <c r="B6263" s="5">
        <v>1090411</v>
      </c>
      <c r="C6263" s="5" t="s">
        <v>156</v>
      </c>
      <c r="D6263" s="3">
        <v>45000</v>
      </c>
    </row>
    <row r="6264" spans="1:4">
      <c r="A6264" s="4" t="s">
        <v>394</v>
      </c>
      <c r="B6264" s="5">
        <v>1090421</v>
      </c>
      <c r="C6264" s="5" t="s">
        <v>158</v>
      </c>
      <c r="D6264" s="3">
        <v>36000</v>
      </c>
    </row>
    <row r="6265" spans="1:4">
      <c r="A6265" s="4" t="s">
        <v>394</v>
      </c>
      <c r="B6265" s="5">
        <v>1090551</v>
      </c>
      <c r="C6265" s="5" t="s">
        <v>239</v>
      </c>
      <c r="D6265" s="3">
        <v>5300</v>
      </c>
    </row>
    <row r="6266" spans="1:4">
      <c r="A6266" s="4" t="s">
        <v>394</v>
      </c>
      <c r="B6266" s="5">
        <v>1090602</v>
      </c>
      <c r="C6266" s="5" t="s">
        <v>162</v>
      </c>
      <c r="D6266" s="3">
        <v>5600</v>
      </c>
    </row>
    <row r="6267" spans="1:4">
      <c r="A6267" s="4" t="s">
        <v>394</v>
      </c>
      <c r="B6267" s="5">
        <v>1090611</v>
      </c>
      <c r="C6267" s="5" t="s">
        <v>164</v>
      </c>
      <c r="D6267" s="3">
        <v>4800</v>
      </c>
    </row>
    <row r="6268" spans="1:4">
      <c r="A6268" s="4" t="s">
        <v>394</v>
      </c>
      <c r="B6268" s="5">
        <v>1090701</v>
      </c>
      <c r="C6268" s="5" t="s">
        <v>166</v>
      </c>
      <c r="D6268" s="3">
        <v>21000</v>
      </c>
    </row>
    <row r="6269" spans="1:4">
      <c r="A6269" s="4" t="s">
        <v>394</v>
      </c>
      <c r="B6269" s="5">
        <v>1090901</v>
      </c>
      <c r="C6269" s="5" t="s">
        <v>168</v>
      </c>
      <c r="D6269" s="3">
        <v>4300</v>
      </c>
    </row>
    <row r="6270" spans="1:4">
      <c r="A6270" s="4" t="s">
        <v>394</v>
      </c>
      <c r="B6270" s="5">
        <v>1091001</v>
      </c>
      <c r="C6270" s="5" t="s">
        <v>170</v>
      </c>
      <c r="D6270" s="3">
        <v>7000</v>
      </c>
    </row>
    <row r="6271" spans="1:4">
      <c r="A6271" s="4" t="s">
        <v>394</v>
      </c>
      <c r="B6271" s="5">
        <v>1091002</v>
      </c>
      <c r="C6271" s="5" t="s">
        <v>172</v>
      </c>
      <c r="D6271" s="3">
        <v>6304</v>
      </c>
    </row>
    <row r="6272" spans="1:4">
      <c r="A6272" s="4" t="s">
        <v>394</v>
      </c>
      <c r="B6272" s="5">
        <v>1091003</v>
      </c>
      <c r="C6272" s="5" t="s">
        <v>174</v>
      </c>
      <c r="D6272" s="3">
        <v>10069</v>
      </c>
    </row>
    <row r="6273" spans="1:4">
      <c r="A6273" s="4" t="s">
        <v>394</v>
      </c>
      <c r="B6273" s="5">
        <v>1091004</v>
      </c>
      <c r="C6273" s="5" t="s">
        <v>240</v>
      </c>
      <c r="D6273" s="3">
        <v>0</v>
      </c>
    </row>
    <row r="6274" spans="1:4">
      <c r="A6274" s="4" t="s">
        <v>394</v>
      </c>
      <c r="B6274" s="5">
        <v>1091005</v>
      </c>
      <c r="C6274" s="5" t="s">
        <v>241</v>
      </c>
      <c r="D6274" s="3">
        <v>0</v>
      </c>
    </row>
    <row r="6275" spans="1:4">
      <c r="A6275" s="4" t="s">
        <v>394</v>
      </c>
      <c r="B6275" s="5">
        <v>1091006</v>
      </c>
      <c r="C6275" s="5" t="s">
        <v>242</v>
      </c>
      <c r="D6275" s="3">
        <v>0</v>
      </c>
    </row>
    <row r="6276" spans="1:4">
      <c r="A6276" s="4" t="s">
        <v>394</v>
      </c>
      <c r="B6276" s="5">
        <v>1091007</v>
      </c>
      <c r="C6276" s="5" t="s">
        <v>243</v>
      </c>
      <c r="D6276" s="3">
        <v>2640</v>
      </c>
    </row>
    <row r="6277" spans="1:4">
      <c r="A6277" s="4" t="s">
        <v>394</v>
      </c>
      <c r="B6277" s="5">
        <v>1091008</v>
      </c>
      <c r="C6277" s="5" t="s">
        <v>176</v>
      </c>
      <c r="D6277" s="3">
        <v>450000</v>
      </c>
    </row>
    <row r="6278" spans="1:4">
      <c r="A6278" s="4" t="s">
        <v>394</v>
      </c>
      <c r="B6278" s="5">
        <v>1091009</v>
      </c>
      <c r="C6278" s="5" t="s">
        <v>178</v>
      </c>
      <c r="D6278" s="3">
        <v>190000</v>
      </c>
    </row>
    <row r="6279" spans="1:4">
      <c r="A6279" s="4" t="s">
        <v>394</v>
      </c>
      <c r="B6279" s="5">
        <v>1091010</v>
      </c>
      <c r="C6279" s="5" t="s">
        <v>180</v>
      </c>
      <c r="D6279" s="3">
        <v>27000</v>
      </c>
    </row>
    <row r="6280" spans="1:4">
      <c r="A6280" s="4" t="s">
        <v>394</v>
      </c>
      <c r="B6280" s="5">
        <v>1091011</v>
      </c>
      <c r="C6280" s="5" t="s">
        <v>182</v>
      </c>
      <c r="D6280" s="3">
        <v>33000</v>
      </c>
    </row>
    <row r="6281" spans="1:4">
      <c r="A6281" s="4" t="s">
        <v>394</v>
      </c>
      <c r="B6281" s="5">
        <v>1091012</v>
      </c>
      <c r="C6281" s="5" t="s">
        <v>184</v>
      </c>
      <c r="D6281" s="3">
        <v>47000</v>
      </c>
    </row>
    <row r="6282" spans="1:4">
      <c r="A6282" s="4" t="s">
        <v>394</v>
      </c>
      <c r="B6282" s="5">
        <v>1091013</v>
      </c>
      <c r="C6282" s="5" t="s">
        <v>186</v>
      </c>
      <c r="D6282" s="3">
        <v>33000</v>
      </c>
    </row>
    <row r="6283" spans="1:4">
      <c r="A6283" s="4" t="s">
        <v>394</v>
      </c>
      <c r="B6283" s="5">
        <v>1091014</v>
      </c>
      <c r="C6283" s="5" t="s">
        <v>244</v>
      </c>
      <c r="D6283" s="3">
        <v>6961</v>
      </c>
    </row>
    <row r="6284" spans="1:4">
      <c r="A6284" s="4" t="s">
        <v>394</v>
      </c>
      <c r="B6284" s="5">
        <v>1091015</v>
      </c>
      <c r="C6284" s="5" t="s">
        <v>245</v>
      </c>
      <c r="D6284" s="3">
        <v>28000</v>
      </c>
    </row>
    <row r="6285" spans="1:4">
      <c r="A6285" s="4" t="s">
        <v>394</v>
      </c>
      <c r="B6285" s="5">
        <v>1091016</v>
      </c>
      <c r="C6285" s="5" t="s">
        <v>246</v>
      </c>
      <c r="D6285" s="3">
        <v>50187</v>
      </c>
    </row>
    <row r="6286" spans="1:4">
      <c r="A6286" s="4" t="s">
        <v>394</v>
      </c>
      <c r="B6286" s="5">
        <v>1091017</v>
      </c>
      <c r="C6286" s="5" t="s">
        <v>247</v>
      </c>
      <c r="D6286" s="3">
        <v>74833</v>
      </c>
    </row>
    <row r="6287" spans="1:4">
      <c r="A6287" s="4" t="s">
        <v>394</v>
      </c>
      <c r="B6287" s="5">
        <v>1091018</v>
      </c>
      <c r="C6287" s="5" t="s">
        <v>248</v>
      </c>
      <c r="D6287" s="3">
        <v>33031</v>
      </c>
    </row>
    <row r="6288" spans="1:4">
      <c r="A6288" s="4" t="s">
        <v>394</v>
      </c>
      <c r="B6288" s="5">
        <v>1091019</v>
      </c>
      <c r="C6288" s="5" t="s">
        <v>249</v>
      </c>
      <c r="D6288" s="3">
        <v>53387</v>
      </c>
    </row>
    <row r="6289" spans="1:4">
      <c r="A6289" s="4" t="s">
        <v>394</v>
      </c>
      <c r="B6289" s="5">
        <v>1091020</v>
      </c>
      <c r="C6289" s="5" t="s">
        <v>250</v>
      </c>
      <c r="D6289" s="3">
        <v>100500</v>
      </c>
    </row>
    <row r="6290" spans="1:4">
      <c r="A6290" s="4" t="s">
        <v>394</v>
      </c>
      <c r="B6290" s="5">
        <v>1091021</v>
      </c>
      <c r="C6290" s="5" t="s">
        <v>251</v>
      </c>
      <c r="D6290" s="3">
        <v>50600</v>
      </c>
    </row>
    <row r="6291" spans="1:4">
      <c r="A6291" s="4" t="s">
        <v>394</v>
      </c>
      <c r="B6291" s="5">
        <v>1091022</v>
      </c>
      <c r="C6291" s="5" t="s">
        <v>252</v>
      </c>
      <c r="D6291" s="3">
        <v>3235</v>
      </c>
    </row>
    <row r="6292" spans="1:4">
      <c r="A6292" s="4" t="s">
        <v>394</v>
      </c>
      <c r="B6292" s="5">
        <v>1091023</v>
      </c>
      <c r="C6292" s="5" t="s">
        <v>253</v>
      </c>
      <c r="D6292" s="3">
        <v>4412</v>
      </c>
    </row>
    <row r="6293" spans="1:4">
      <c r="A6293" s="4" t="s">
        <v>394</v>
      </c>
      <c r="B6293" s="5">
        <v>1091024</v>
      </c>
      <c r="C6293" s="5" t="s">
        <v>254</v>
      </c>
      <c r="D6293" s="3">
        <v>3922</v>
      </c>
    </row>
    <row r="6294" spans="1:4">
      <c r="A6294" s="4" t="s">
        <v>394</v>
      </c>
      <c r="B6294" s="5">
        <v>1091025</v>
      </c>
      <c r="C6294" s="5" t="s">
        <v>255</v>
      </c>
      <c r="D6294" s="3">
        <v>7843</v>
      </c>
    </row>
    <row r="6295" spans="1:4">
      <c r="A6295" s="4" t="s">
        <v>394</v>
      </c>
      <c r="B6295" s="5">
        <v>1091026</v>
      </c>
      <c r="C6295" s="5" t="s">
        <v>256</v>
      </c>
      <c r="D6295" s="3">
        <v>32255</v>
      </c>
    </row>
    <row r="6296" spans="1:4">
      <c r="A6296" s="4" t="s">
        <v>394</v>
      </c>
      <c r="B6296" s="5">
        <v>1600101</v>
      </c>
      <c r="C6296" s="5" t="s">
        <v>188</v>
      </c>
      <c r="D6296" s="3">
        <v>2892</v>
      </c>
    </row>
    <row r="6297" spans="1:4">
      <c r="A6297" s="4" t="s">
        <v>394</v>
      </c>
      <c r="B6297" s="5">
        <v>1600102</v>
      </c>
      <c r="C6297" s="5" t="s">
        <v>257</v>
      </c>
      <c r="D6297" s="3">
        <v>17649</v>
      </c>
    </row>
    <row r="6298" spans="1:4">
      <c r="A6298" s="4" t="s">
        <v>394</v>
      </c>
      <c r="B6298" s="5">
        <v>1600103</v>
      </c>
      <c r="C6298" s="5" t="s">
        <v>258</v>
      </c>
      <c r="D6298" s="3">
        <v>19800</v>
      </c>
    </row>
    <row r="6299" spans="1:4">
      <c r="A6299" s="4" t="s">
        <v>394</v>
      </c>
      <c r="B6299" s="5">
        <v>1600104</v>
      </c>
      <c r="C6299" s="5" t="s">
        <v>259</v>
      </c>
      <c r="D6299" s="3">
        <v>73810</v>
      </c>
    </row>
    <row r="6300" spans="1:4">
      <c r="A6300" s="4" t="s">
        <v>394</v>
      </c>
      <c r="B6300" s="5">
        <v>1600105</v>
      </c>
      <c r="C6300" s="5" t="s">
        <v>260</v>
      </c>
      <c r="D6300" s="3">
        <v>83950</v>
      </c>
    </row>
    <row r="6301" spans="1:4">
      <c r="A6301" s="4" t="s">
        <v>394</v>
      </c>
      <c r="B6301" s="5">
        <v>1600106</v>
      </c>
      <c r="C6301" s="5" t="s">
        <v>261</v>
      </c>
      <c r="D6301" s="3">
        <v>108071</v>
      </c>
    </row>
    <row r="6302" spans="1:4">
      <c r="A6302" s="4" t="s">
        <v>394</v>
      </c>
      <c r="B6302" s="5">
        <v>1600107</v>
      </c>
      <c r="C6302" s="5" t="s">
        <v>262</v>
      </c>
      <c r="D6302" s="3">
        <v>86601</v>
      </c>
    </row>
    <row r="6303" spans="1:4">
      <c r="A6303" s="4" t="s">
        <v>394</v>
      </c>
      <c r="B6303" s="5">
        <v>1600108</v>
      </c>
      <c r="C6303" s="5" t="s">
        <v>263</v>
      </c>
      <c r="D6303" s="3">
        <v>73810</v>
      </c>
    </row>
    <row r="6304" spans="1:4">
      <c r="A6304" s="4" t="s">
        <v>394</v>
      </c>
      <c r="B6304" s="5">
        <v>1600109</v>
      </c>
      <c r="C6304" s="5" t="s">
        <v>264</v>
      </c>
      <c r="D6304" s="3">
        <v>5882</v>
      </c>
    </row>
    <row r="6305" spans="1:4">
      <c r="A6305" s="4" t="s">
        <v>394</v>
      </c>
      <c r="B6305" s="5">
        <v>1600110</v>
      </c>
      <c r="C6305" s="5" t="s">
        <v>265</v>
      </c>
      <c r="D6305" s="3">
        <v>7917</v>
      </c>
    </row>
    <row r="6306" spans="1:4">
      <c r="A6306" s="4" t="s">
        <v>394</v>
      </c>
      <c r="B6306" s="5">
        <v>1600111</v>
      </c>
      <c r="C6306" s="5" t="s">
        <v>266</v>
      </c>
      <c r="D6306" s="3">
        <v>2266</v>
      </c>
    </row>
    <row r="6307" spans="1:4">
      <c r="A6307" s="4" t="s">
        <v>394</v>
      </c>
      <c r="B6307" s="5">
        <v>1600112</v>
      </c>
      <c r="C6307" s="5" t="s">
        <v>190</v>
      </c>
      <c r="D6307" s="3">
        <v>4800</v>
      </c>
    </row>
    <row r="6308" spans="1:4">
      <c r="A6308" s="4" t="s">
        <v>394</v>
      </c>
      <c r="B6308" s="5">
        <v>1600113</v>
      </c>
      <c r="C6308" s="5" t="s">
        <v>267</v>
      </c>
      <c r="D6308" s="3">
        <v>0</v>
      </c>
    </row>
    <row r="6309" spans="1:4">
      <c r="A6309" s="4" t="s">
        <v>394</v>
      </c>
      <c r="B6309" s="5">
        <v>1600114</v>
      </c>
      <c r="C6309" s="5" t="s">
        <v>268</v>
      </c>
      <c r="D6309" s="3">
        <v>13333</v>
      </c>
    </row>
    <row r="6310" spans="1:4">
      <c r="A6310" s="4" t="s">
        <v>394</v>
      </c>
      <c r="B6310" s="5">
        <v>1700001</v>
      </c>
      <c r="C6310" s="5" t="s">
        <v>269</v>
      </c>
      <c r="D6310" s="3">
        <v>4570</v>
      </c>
    </row>
    <row r="6311" spans="1:4">
      <c r="A6311" s="4" t="s">
        <v>394</v>
      </c>
      <c r="B6311" s="5">
        <v>1700002</v>
      </c>
      <c r="C6311" s="5" t="s">
        <v>270</v>
      </c>
      <c r="D6311" s="3">
        <v>3726</v>
      </c>
    </row>
    <row r="6312" spans="1:4">
      <c r="A6312" s="4" t="s">
        <v>394</v>
      </c>
      <c r="B6312" s="5">
        <v>1700003</v>
      </c>
      <c r="C6312" s="5" t="s">
        <v>271</v>
      </c>
      <c r="D6312" s="3">
        <v>5392</v>
      </c>
    </row>
    <row r="6313" spans="1:4">
      <c r="A6313" s="4" t="s">
        <v>394</v>
      </c>
      <c r="B6313" s="5">
        <v>1700004</v>
      </c>
      <c r="C6313" s="5" t="s">
        <v>272</v>
      </c>
      <c r="D6313" s="3">
        <v>15784</v>
      </c>
    </row>
    <row r="6314" spans="1:4">
      <c r="A6314" s="4" t="s">
        <v>394</v>
      </c>
      <c r="B6314" s="5">
        <v>1700005</v>
      </c>
      <c r="C6314" s="5" t="s">
        <v>192</v>
      </c>
      <c r="D6314" s="3">
        <v>1765</v>
      </c>
    </row>
    <row r="6315" spans="1:4">
      <c r="A6315" s="4" t="s">
        <v>394</v>
      </c>
      <c r="B6315" s="5">
        <v>1700006</v>
      </c>
      <c r="C6315" s="5" t="s">
        <v>273</v>
      </c>
      <c r="D6315" s="3">
        <v>7176</v>
      </c>
    </row>
    <row r="6316" spans="1:4">
      <c r="A6316" s="4" t="s">
        <v>394</v>
      </c>
      <c r="B6316" s="5">
        <v>1700007</v>
      </c>
      <c r="C6316" s="5" t="s">
        <v>274</v>
      </c>
      <c r="D6316" s="3">
        <v>0</v>
      </c>
    </row>
    <row r="6317" spans="1:4">
      <c r="A6317" s="4" t="s">
        <v>394</v>
      </c>
      <c r="B6317" s="5">
        <v>1700008</v>
      </c>
      <c r="C6317" s="5" t="s">
        <v>275</v>
      </c>
      <c r="D6317" s="3">
        <v>0</v>
      </c>
    </row>
    <row r="6318" spans="1:4">
      <c r="A6318" s="4" t="s">
        <v>394</v>
      </c>
      <c r="B6318" s="5">
        <v>1700009</v>
      </c>
      <c r="C6318" s="5" t="s">
        <v>276</v>
      </c>
      <c r="D6318" s="3">
        <v>0</v>
      </c>
    </row>
    <row r="6319" spans="1:4">
      <c r="A6319" s="4" t="s">
        <v>394</v>
      </c>
      <c r="B6319" s="5">
        <v>1700010</v>
      </c>
      <c r="C6319" s="5" t="s">
        <v>277</v>
      </c>
      <c r="D6319" s="3">
        <v>3990</v>
      </c>
    </row>
    <row r="6320" spans="1:4">
      <c r="A6320" s="4" t="s">
        <v>394</v>
      </c>
      <c r="B6320" s="5">
        <v>1700011</v>
      </c>
      <c r="C6320" s="5" t="s">
        <v>278</v>
      </c>
      <c r="D6320" s="3">
        <v>13235</v>
      </c>
    </row>
    <row r="6321" spans="1:4">
      <c r="A6321" s="4" t="s">
        <v>394</v>
      </c>
      <c r="B6321" s="5">
        <v>1700012</v>
      </c>
      <c r="C6321" s="5" t="s">
        <v>279</v>
      </c>
      <c r="D6321" s="3">
        <v>15980</v>
      </c>
    </row>
    <row r="6322" spans="1:4">
      <c r="A6322" s="4" t="s">
        <v>394</v>
      </c>
      <c r="B6322" s="5">
        <v>1700013</v>
      </c>
      <c r="C6322" s="5" t="s">
        <v>280</v>
      </c>
      <c r="D6322" s="3">
        <v>18137</v>
      </c>
    </row>
    <row r="6323" spans="1:4">
      <c r="A6323" s="4" t="s">
        <v>394</v>
      </c>
      <c r="B6323" s="5">
        <v>1700014</v>
      </c>
      <c r="C6323" s="5" t="s">
        <v>194</v>
      </c>
      <c r="D6323" s="3">
        <v>2300</v>
      </c>
    </row>
    <row r="6324" spans="1:4">
      <c r="A6324" s="4" t="s">
        <v>394</v>
      </c>
      <c r="B6324" s="5">
        <v>1700015</v>
      </c>
      <c r="C6324" s="5" t="s">
        <v>281</v>
      </c>
      <c r="D6324" s="3">
        <v>5160</v>
      </c>
    </row>
    <row r="6325" spans="1:4">
      <c r="A6325" s="4" t="s">
        <v>394</v>
      </c>
      <c r="B6325" s="5">
        <v>1700016</v>
      </c>
      <c r="C6325" s="5" t="s">
        <v>282</v>
      </c>
      <c r="D6325" s="3">
        <v>3864</v>
      </c>
    </row>
    <row r="6326" spans="1:4">
      <c r="A6326" s="4" t="s">
        <v>394</v>
      </c>
      <c r="B6326" s="5">
        <v>1700017</v>
      </c>
      <c r="C6326" s="5" t="s">
        <v>283</v>
      </c>
      <c r="D6326" s="3">
        <v>10784</v>
      </c>
    </row>
    <row r="6327" spans="1:4">
      <c r="A6327" s="4" t="s">
        <v>394</v>
      </c>
      <c r="B6327" s="5">
        <v>1700018</v>
      </c>
      <c r="C6327" s="5" t="s">
        <v>284</v>
      </c>
      <c r="D6327" s="3">
        <v>4031</v>
      </c>
    </row>
    <row r="6328" spans="1:4">
      <c r="A6328" s="4" t="s">
        <v>394</v>
      </c>
      <c r="B6328" s="5">
        <v>1700019</v>
      </c>
      <c r="C6328" s="5" t="s">
        <v>285</v>
      </c>
      <c r="D6328" s="3">
        <v>0</v>
      </c>
    </row>
    <row r="6329" spans="1:4">
      <c r="A6329" s="4" t="s">
        <v>394</v>
      </c>
      <c r="B6329" s="5">
        <v>1700020</v>
      </c>
      <c r="C6329" s="5" t="s">
        <v>286</v>
      </c>
      <c r="D6329" s="3">
        <v>49412</v>
      </c>
    </row>
    <row r="6330" spans="1:4">
      <c r="A6330" s="4" t="s">
        <v>394</v>
      </c>
      <c r="B6330" s="5">
        <v>1700021</v>
      </c>
      <c r="C6330" s="5" t="s">
        <v>287</v>
      </c>
      <c r="D6330" s="3">
        <v>86137</v>
      </c>
    </row>
    <row r="6331" spans="1:4">
      <c r="A6331" s="4" t="s">
        <v>394</v>
      </c>
      <c r="B6331" s="5">
        <v>1700022</v>
      </c>
      <c r="C6331" s="5" t="s">
        <v>288</v>
      </c>
      <c r="D6331" s="3">
        <v>33706</v>
      </c>
    </row>
    <row r="6332" spans="1:4">
      <c r="A6332" s="4" t="s">
        <v>394</v>
      </c>
      <c r="B6332" s="5">
        <v>1700023</v>
      </c>
      <c r="C6332" s="5" t="s">
        <v>289</v>
      </c>
      <c r="D6332" s="3">
        <v>8581</v>
      </c>
    </row>
    <row r="6333" spans="1:4">
      <c r="A6333" s="4" t="s">
        <v>394</v>
      </c>
      <c r="B6333" s="5">
        <v>1700024</v>
      </c>
      <c r="C6333" s="5" t="s">
        <v>290</v>
      </c>
      <c r="D6333" s="3">
        <v>0</v>
      </c>
    </row>
    <row r="6334" spans="1:4">
      <c r="A6334" s="4" t="s">
        <v>394</v>
      </c>
      <c r="B6334" s="5">
        <v>1700025</v>
      </c>
      <c r="C6334" s="5" t="s">
        <v>291</v>
      </c>
      <c r="D6334" s="3">
        <v>1961</v>
      </c>
    </row>
    <row r="6335" spans="1:4">
      <c r="A6335" s="4" t="s">
        <v>394</v>
      </c>
      <c r="B6335" s="5">
        <v>1700026</v>
      </c>
      <c r="C6335" s="5" t="s">
        <v>292</v>
      </c>
      <c r="D6335" s="3">
        <v>4314</v>
      </c>
    </row>
    <row r="6336" spans="1:4">
      <c r="A6336" s="4" t="s">
        <v>394</v>
      </c>
      <c r="B6336" s="5">
        <v>1700027</v>
      </c>
      <c r="C6336" s="5" t="s">
        <v>293</v>
      </c>
      <c r="D6336" s="3">
        <v>4902</v>
      </c>
    </row>
    <row r="6337" spans="1:4">
      <c r="A6337" s="4" t="s">
        <v>394</v>
      </c>
      <c r="B6337" s="5">
        <v>1700028</v>
      </c>
      <c r="C6337" s="5" t="s">
        <v>294</v>
      </c>
      <c r="D6337" s="3">
        <v>9500</v>
      </c>
    </row>
    <row r="6338" spans="1:4">
      <c r="A6338" s="4" t="s">
        <v>394</v>
      </c>
      <c r="B6338" s="5">
        <v>1700029</v>
      </c>
      <c r="C6338" s="5" t="s">
        <v>295</v>
      </c>
      <c r="D6338" s="3">
        <v>10670</v>
      </c>
    </row>
    <row r="6339" spans="1:4">
      <c r="A6339" s="4" t="s">
        <v>394</v>
      </c>
      <c r="B6339" s="5">
        <v>1700030</v>
      </c>
      <c r="C6339" s="5" t="s">
        <v>296</v>
      </c>
      <c r="D6339" s="3">
        <v>12720</v>
      </c>
    </row>
    <row r="6340" spans="1:4">
      <c r="A6340" s="4" t="s">
        <v>394</v>
      </c>
      <c r="B6340" s="5">
        <v>1700031</v>
      </c>
      <c r="C6340" s="5" t="s">
        <v>196</v>
      </c>
      <c r="D6340" s="3">
        <v>2069</v>
      </c>
    </row>
    <row r="6341" spans="1:4">
      <c r="A6341" s="4" t="s">
        <v>394</v>
      </c>
      <c r="B6341" s="5">
        <v>1700032</v>
      </c>
      <c r="C6341" s="5" t="s">
        <v>297</v>
      </c>
      <c r="D6341" s="3">
        <v>0</v>
      </c>
    </row>
    <row r="6342" spans="1:4">
      <c r="A6342" s="4" t="s">
        <v>394</v>
      </c>
      <c r="B6342" s="5">
        <v>1700033</v>
      </c>
      <c r="C6342" s="5" t="s">
        <v>298</v>
      </c>
      <c r="D6342" s="3">
        <v>0</v>
      </c>
    </row>
    <row r="6343" spans="1:4">
      <c r="A6343" s="4" t="s">
        <v>394</v>
      </c>
      <c r="B6343" s="5">
        <v>1700034</v>
      </c>
      <c r="C6343" s="5" t="s">
        <v>299</v>
      </c>
      <c r="D6343" s="3">
        <v>17475</v>
      </c>
    </row>
    <row r="6344" spans="1:4">
      <c r="A6344" s="4" t="s">
        <v>394</v>
      </c>
      <c r="B6344" s="5">
        <v>1700035</v>
      </c>
      <c r="C6344" s="5" t="s">
        <v>300</v>
      </c>
      <c r="D6344" s="3">
        <v>64367</v>
      </c>
    </row>
    <row r="6345" spans="1:4">
      <c r="A6345" s="4" t="s">
        <v>394</v>
      </c>
      <c r="B6345" s="5">
        <v>1700036</v>
      </c>
      <c r="C6345" s="5" t="s">
        <v>301</v>
      </c>
      <c r="D6345" s="3">
        <v>5200</v>
      </c>
    </row>
    <row r="6346" spans="1:4">
      <c r="A6346" s="4" t="s">
        <v>394</v>
      </c>
      <c r="B6346" s="5">
        <v>1700037</v>
      </c>
      <c r="C6346" s="5" t="s">
        <v>302</v>
      </c>
      <c r="D6346" s="3">
        <v>7533</v>
      </c>
    </row>
    <row r="6347" spans="1:4">
      <c r="A6347" s="4" t="s">
        <v>394</v>
      </c>
      <c r="B6347" s="5">
        <v>1700038</v>
      </c>
      <c r="C6347" s="5" t="s">
        <v>303</v>
      </c>
      <c r="D6347" s="3">
        <v>2108</v>
      </c>
    </row>
    <row r="6348" spans="1:4">
      <c r="A6348" s="4" t="s">
        <v>394</v>
      </c>
      <c r="B6348" s="5">
        <v>1700039</v>
      </c>
      <c r="C6348" s="5" t="s">
        <v>304</v>
      </c>
      <c r="D6348" s="3">
        <v>3480</v>
      </c>
    </row>
    <row r="6349" spans="1:4">
      <c r="A6349" s="4" t="s">
        <v>394</v>
      </c>
      <c r="B6349" s="5">
        <v>1700040</v>
      </c>
      <c r="C6349" s="5" t="s">
        <v>305</v>
      </c>
      <c r="D6349" s="3">
        <v>1967</v>
      </c>
    </row>
    <row r="6350" spans="1:4">
      <c r="A6350" s="4" t="s">
        <v>394</v>
      </c>
      <c r="B6350" s="5">
        <v>1700041</v>
      </c>
      <c r="C6350" s="5" t="s">
        <v>306</v>
      </c>
      <c r="D6350" s="3">
        <v>3000</v>
      </c>
    </row>
    <row r="6351" spans="1:4">
      <c r="A6351" s="4" t="s">
        <v>394</v>
      </c>
      <c r="B6351" s="5">
        <v>1700042</v>
      </c>
      <c r="C6351" s="5" t="s">
        <v>307</v>
      </c>
      <c r="D6351" s="3">
        <v>3163</v>
      </c>
    </row>
    <row r="6352" spans="1:4">
      <c r="A6352" s="4" t="s">
        <v>394</v>
      </c>
      <c r="B6352" s="5">
        <v>1700043</v>
      </c>
      <c r="C6352" s="5" t="s">
        <v>308</v>
      </c>
      <c r="D6352" s="3">
        <v>5877</v>
      </c>
    </row>
    <row r="6353" spans="1:4">
      <c r="A6353" s="4" t="s">
        <v>394</v>
      </c>
      <c r="B6353" s="5">
        <v>1700044</v>
      </c>
      <c r="C6353" s="5" t="s">
        <v>309</v>
      </c>
      <c r="D6353" s="3">
        <v>7000</v>
      </c>
    </row>
    <row r="6354" spans="1:4">
      <c r="A6354" s="4" t="s">
        <v>394</v>
      </c>
      <c r="B6354" s="5">
        <v>1700045</v>
      </c>
      <c r="C6354" s="5" t="s">
        <v>310</v>
      </c>
      <c r="D6354" s="3">
        <v>3696</v>
      </c>
    </row>
    <row r="6355" spans="1:4">
      <c r="A6355" s="4" t="s">
        <v>394</v>
      </c>
      <c r="B6355" s="5">
        <v>1700046</v>
      </c>
      <c r="C6355" s="5" t="s">
        <v>311</v>
      </c>
      <c r="D6355" s="3">
        <v>6863</v>
      </c>
    </row>
    <row r="6356" spans="1:4">
      <c r="A6356" s="4" t="s">
        <v>394</v>
      </c>
      <c r="B6356" s="5">
        <v>1700047</v>
      </c>
      <c r="C6356" s="5" t="s">
        <v>312</v>
      </c>
      <c r="D6356" s="3">
        <v>22350</v>
      </c>
    </row>
    <row r="6357" spans="1:4">
      <c r="A6357" s="4" t="s">
        <v>394</v>
      </c>
      <c r="B6357" s="5">
        <v>1700048</v>
      </c>
      <c r="C6357" s="5" t="s">
        <v>313</v>
      </c>
      <c r="D6357" s="3">
        <v>13330</v>
      </c>
    </row>
    <row r="6358" spans="1:4">
      <c r="A6358" s="4" t="s">
        <v>394</v>
      </c>
      <c r="B6358" s="5">
        <v>1700049</v>
      </c>
      <c r="C6358" s="5" t="s">
        <v>314</v>
      </c>
      <c r="D6358" s="3">
        <v>5785</v>
      </c>
    </row>
    <row r="6359" spans="1:4">
      <c r="A6359" s="4" t="s">
        <v>394</v>
      </c>
      <c r="B6359" s="5">
        <v>1700050</v>
      </c>
      <c r="C6359" s="5" t="s">
        <v>315</v>
      </c>
      <c r="D6359" s="3">
        <v>39000</v>
      </c>
    </row>
    <row r="6360" spans="1:4">
      <c r="A6360" s="4" t="s">
        <v>394</v>
      </c>
      <c r="B6360" s="5">
        <v>1700051</v>
      </c>
      <c r="C6360" s="5" t="s">
        <v>316</v>
      </c>
      <c r="D6360" s="3">
        <v>11500</v>
      </c>
    </row>
    <row r="6361" spans="1:4">
      <c r="A6361" s="4" t="s">
        <v>394</v>
      </c>
      <c r="B6361" s="5">
        <v>1700052</v>
      </c>
      <c r="C6361" s="5" t="s">
        <v>317</v>
      </c>
      <c r="D6361" s="3">
        <v>3444</v>
      </c>
    </row>
    <row r="6362" spans="1:4">
      <c r="A6362" s="4" t="s">
        <v>394</v>
      </c>
      <c r="B6362" s="5">
        <v>1700053</v>
      </c>
      <c r="C6362" s="5" t="s">
        <v>318</v>
      </c>
      <c r="D6362" s="3">
        <v>15530</v>
      </c>
    </row>
    <row r="6363" spans="1:4">
      <c r="A6363" s="4" t="s">
        <v>394</v>
      </c>
      <c r="B6363" s="5">
        <v>1700054</v>
      </c>
      <c r="C6363" s="5" t="s">
        <v>319</v>
      </c>
      <c r="D6363" s="3">
        <v>11670</v>
      </c>
    </row>
    <row r="6364" spans="1:4">
      <c r="A6364" s="4" t="s">
        <v>394</v>
      </c>
      <c r="B6364" s="5">
        <v>1700055</v>
      </c>
      <c r="C6364" s="5" t="s">
        <v>320</v>
      </c>
      <c r="D6364" s="3">
        <v>11940</v>
      </c>
    </row>
    <row r="6365" spans="1:4">
      <c r="A6365" s="4" t="s">
        <v>394</v>
      </c>
      <c r="B6365" s="5">
        <v>1700056</v>
      </c>
      <c r="C6365" s="5" t="s">
        <v>321</v>
      </c>
      <c r="D6365" s="3">
        <v>6226</v>
      </c>
    </row>
    <row r="6366" spans="1:4">
      <c r="A6366" s="4" t="s">
        <v>394</v>
      </c>
      <c r="B6366" s="5">
        <v>1700057</v>
      </c>
      <c r="C6366" s="5" t="s">
        <v>322</v>
      </c>
      <c r="D6366" s="3">
        <v>2098</v>
      </c>
    </row>
    <row r="6367" spans="1:4">
      <c r="A6367" s="4" t="s">
        <v>394</v>
      </c>
      <c r="B6367" s="5">
        <v>1700058</v>
      </c>
      <c r="C6367" s="5" t="s">
        <v>323</v>
      </c>
      <c r="D6367" s="3">
        <v>5800</v>
      </c>
    </row>
    <row r="6368" spans="1:4">
      <c r="A6368" s="4" t="s">
        <v>394</v>
      </c>
      <c r="B6368" s="5">
        <v>1700059</v>
      </c>
      <c r="C6368" s="5" t="s">
        <v>324</v>
      </c>
      <c r="D6368" s="3">
        <v>27667</v>
      </c>
    </row>
    <row r="6369" spans="1:4">
      <c r="A6369" s="4" t="s">
        <v>394</v>
      </c>
      <c r="B6369" s="5">
        <v>1700060</v>
      </c>
      <c r="C6369" s="5" t="s">
        <v>325</v>
      </c>
      <c r="D6369" s="3">
        <v>5471</v>
      </c>
    </row>
    <row r="6370" spans="1:4">
      <c r="A6370" s="4" t="s">
        <v>394</v>
      </c>
      <c r="B6370" s="5">
        <v>1700061</v>
      </c>
      <c r="C6370" s="5" t="s">
        <v>326</v>
      </c>
      <c r="D6370" s="3">
        <v>8920</v>
      </c>
    </row>
    <row r="6371" spans="1:4">
      <c r="A6371" s="4" t="s">
        <v>394</v>
      </c>
      <c r="B6371" s="5">
        <v>1700062</v>
      </c>
      <c r="C6371" s="5" t="s">
        <v>327</v>
      </c>
      <c r="D6371" s="3">
        <v>10520</v>
      </c>
    </row>
    <row r="6372" spans="1:4">
      <c r="A6372" s="4" t="s">
        <v>394</v>
      </c>
      <c r="B6372" s="5">
        <v>1700063</v>
      </c>
      <c r="C6372" s="5" t="s">
        <v>328</v>
      </c>
      <c r="D6372" s="3">
        <v>10550</v>
      </c>
    </row>
    <row r="6373" spans="1:4">
      <c r="A6373" s="4" t="s">
        <v>394</v>
      </c>
      <c r="B6373" s="5">
        <v>1700064</v>
      </c>
      <c r="C6373" s="5" t="s">
        <v>329</v>
      </c>
      <c r="D6373" s="3">
        <v>11060</v>
      </c>
    </row>
    <row r="6374" spans="1:4">
      <c r="A6374" s="4" t="s">
        <v>394</v>
      </c>
      <c r="B6374" s="5">
        <v>1700065</v>
      </c>
      <c r="C6374" s="5" t="s">
        <v>330</v>
      </c>
      <c r="D6374" s="3">
        <v>12760</v>
      </c>
    </row>
    <row r="6375" spans="1:4">
      <c r="A6375" s="4" t="s">
        <v>394</v>
      </c>
      <c r="B6375" s="5">
        <v>1700066</v>
      </c>
      <c r="C6375" s="5" t="s">
        <v>331</v>
      </c>
      <c r="D6375" s="3">
        <v>13200</v>
      </c>
    </row>
    <row r="6376" spans="1:4">
      <c r="A6376" s="4" t="s">
        <v>394</v>
      </c>
      <c r="B6376" s="5">
        <v>1700067</v>
      </c>
      <c r="C6376" s="5" t="s">
        <v>332</v>
      </c>
      <c r="D6376" s="3">
        <v>10720</v>
      </c>
    </row>
    <row r="6377" spans="1:4">
      <c r="A6377" s="4" t="s">
        <v>394</v>
      </c>
      <c r="B6377" s="5">
        <v>1700068</v>
      </c>
      <c r="C6377" s="5" t="s">
        <v>333</v>
      </c>
      <c r="D6377" s="3">
        <v>12720</v>
      </c>
    </row>
    <row r="6378" spans="1:4">
      <c r="A6378" s="4" t="s">
        <v>394</v>
      </c>
      <c r="B6378" s="5">
        <v>1700069</v>
      </c>
      <c r="C6378" s="5" t="s">
        <v>334</v>
      </c>
      <c r="D6378" s="3">
        <v>14000</v>
      </c>
    </row>
    <row r="6379" spans="1:4">
      <c r="A6379" s="4" t="s">
        <v>394</v>
      </c>
      <c r="B6379" s="5">
        <v>1700070</v>
      </c>
      <c r="C6379" s="5" t="s">
        <v>335</v>
      </c>
      <c r="D6379" s="3">
        <v>1618</v>
      </c>
    </row>
    <row r="6380" spans="1:4">
      <c r="A6380" s="4" t="s">
        <v>394</v>
      </c>
      <c r="B6380" s="5">
        <v>1700071</v>
      </c>
      <c r="C6380" s="5" t="s">
        <v>336</v>
      </c>
      <c r="D6380" s="3">
        <v>12190</v>
      </c>
    </row>
    <row r="6381" spans="1:4">
      <c r="A6381" s="4" t="s">
        <v>394</v>
      </c>
      <c r="B6381" s="5">
        <v>1700072</v>
      </c>
      <c r="C6381" s="5" t="s">
        <v>337</v>
      </c>
      <c r="D6381" s="3">
        <v>10180</v>
      </c>
    </row>
    <row r="6382" spans="1:4">
      <c r="A6382" s="4" t="s">
        <v>394</v>
      </c>
      <c r="B6382" s="5">
        <v>1700073</v>
      </c>
      <c r="C6382" s="5" t="s">
        <v>338</v>
      </c>
      <c r="D6382" s="3">
        <v>9020</v>
      </c>
    </row>
    <row r="6383" spans="1:4">
      <c r="A6383" s="4" t="s">
        <v>394</v>
      </c>
      <c r="B6383" s="5">
        <v>1700076</v>
      </c>
      <c r="C6383" s="5" t="s">
        <v>339</v>
      </c>
      <c r="D6383" s="3">
        <v>4108</v>
      </c>
    </row>
    <row r="6384" spans="1:4">
      <c r="A6384" s="4" t="s">
        <v>394</v>
      </c>
      <c r="B6384" s="5">
        <v>1700077</v>
      </c>
      <c r="C6384" s="5" t="s">
        <v>340</v>
      </c>
      <c r="D6384" s="3">
        <v>3843</v>
      </c>
    </row>
    <row r="6385" spans="1:4">
      <c r="A6385" s="4" t="s">
        <v>394</v>
      </c>
      <c r="B6385" s="5">
        <v>1700078</v>
      </c>
      <c r="C6385" s="5" t="s">
        <v>341</v>
      </c>
      <c r="D6385" s="3">
        <v>4716</v>
      </c>
    </row>
    <row r="6386" spans="1:4">
      <c r="A6386" s="4" t="s">
        <v>394</v>
      </c>
      <c r="B6386" s="5">
        <v>1700080</v>
      </c>
      <c r="C6386" s="5" t="s">
        <v>342</v>
      </c>
      <c r="D6386" s="3">
        <v>3922</v>
      </c>
    </row>
    <row r="6387" spans="1:4">
      <c r="A6387" s="4" t="s">
        <v>394</v>
      </c>
      <c r="B6387" s="5">
        <v>1700083</v>
      </c>
      <c r="C6387" s="5" t="s">
        <v>343</v>
      </c>
      <c r="D6387" s="3">
        <v>8333</v>
      </c>
    </row>
    <row r="6388" spans="1:4">
      <c r="A6388" s="4" t="s">
        <v>394</v>
      </c>
      <c r="B6388" s="5">
        <v>1700084</v>
      </c>
      <c r="C6388" s="5" t="s">
        <v>344</v>
      </c>
      <c r="D6388" s="3">
        <v>12010</v>
      </c>
    </row>
    <row r="6389" spans="1:4">
      <c r="A6389" s="4" t="s">
        <v>394</v>
      </c>
      <c r="B6389" s="5">
        <v>1700085</v>
      </c>
      <c r="C6389" s="5" t="s">
        <v>345</v>
      </c>
      <c r="D6389" s="3">
        <v>7860</v>
      </c>
    </row>
    <row r="6390" spans="1:4">
      <c r="A6390" s="4" t="s">
        <v>394</v>
      </c>
      <c r="B6390" s="5">
        <v>1700086</v>
      </c>
      <c r="C6390" s="5" t="s">
        <v>346</v>
      </c>
      <c r="D6390" s="3">
        <v>1814</v>
      </c>
    </row>
    <row r="6391" spans="1:4">
      <c r="A6391" s="4" t="s">
        <v>394</v>
      </c>
      <c r="B6391" s="5">
        <v>1700087</v>
      </c>
      <c r="C6391" s="5" t="s">
        <v>347</v>
      </c>
      <c r="D6391" s="3">
        <v>4890</v>
      </c>
    </row>
    <row r="6392" spans="1:4">
      <c r="A6392" s="4" t="s">
        <v>394</v>
      </c>
      <c r="B6392" s="5">
        <v>1700088</v>
      </c>
      <c r="C6392" s="5" t="s">
        <v>348</v>
      </c>
      <c r="D6392" s="3">
        <v>15500</v>
      </c>
    </row>
    <row r="6393" spans="1:4">
      <c r="A6393" s="4" t="s">
        <v>394</v>
      </c>
      <c r="B6393" s="5">
        <v>1700089</v>
      </c>
      <c r="C6393" s="5" t="s">
        <v>349</v>
      </c>
      <c r="D6393" s="3">
        <v>18500</v>
      </c>
    </row>
    <row r="6394" spans="1:4">
      <c r="A6394" s="4" t="s">
        <v>394</v>
      </c>
      <c r="B6394" s="5">
        <v>1700090</v>
      </c>
      <c r="C6394" s="5" t="s">
        <v>350</v>
      </c>
      <c r="D6394" s="3">
        <v>25490</v>
      </c>
    </row>
    <row r="6395" spans="1:4">
      <c r="A6395" s="4" t="s">
        <v>394</v>
      </c>
      <c r="B6395" s="5">
        <v>1700091</v>
      </c>
      <c r="C6395" s="5" t="s">
        <v>351</v>
      </c>
      <c r="D6395" s="3">
        <v>18353</v>
      </c>
    </row>
    <row r="6396" spans="1:4">
      <c r="A6396" s="4" t="s">
        <v>394</v>
      </c>
      <c r="B6396" s="5">
        <v>1700092</v>
      </c>
      <c r="C6396" s="5" t="s">
        <v>352</v>
      </c>
      <c r="D6396" s="3">
        <v>1784</v>
      </c>
    </row>
    <row r="6397" spans="1:4">
      <c r="A6397" s="4" t="s">
        <v>394</v>
      </c>
      <c r="B6397" s="5">
        <v>1700093</v>
      </c>
      <c r="C6397" s="5" t="s">
        <v>353</v>
      </c>
      <c r="D6397" s="3">
        <v>11180</v>
      </c>
    </row>
    <row r="6398" spans="1:4">
      <c r="A6398" s="4" t="s">
        <v>394</v>
      </c>
      <c r="B6398" s="5">
        <v>1700094</v>
      </c>
      <c r="C6398" s="5" t="s">
        <v>354</v>
      </c>
      <c r="D6398" s="3">
        <v>13529</v>
      </c>
    </row>
    <row r="6399" spans="1:4">
      <c r="A6399" s="4" t="s">
        <v>394</v>
      </c>
      <c r="B6399" s="5">
        <v>1700095</v>
      </c>
      <c r="C6399" s="5" t="s">
        <v>355</v>
      </c>
      <c r="D6399" s="3">
        <v>4500</v>
      </c>
    </row>
    <row r="6400" spans="1:4">
      <c r="A6400" s="4" t="s">
        <v>394</v>
      </c>
      <c r="B6400" s="5">
        <v>1700096</v>
      </c>
      <c r="C6400" s="5" t="s">
        <v>356</v>
      </c>
      <c r="D6400" s="3">
        <v>24510</v>
      </c>
    </row>
    <row r="6401" spans="1:4">
      <c r="A6401" s="4" t="s">
        <v>394</v>
      </c>
      <c r="B6401" s="5">
        <v>1700097</v>
      </c>
      <c r="C6401" s="5" t="s">
        <v>357</v>
      </c>
      <c r="D6401" s="3">
        <v>19608</v>
      </c>
    </row>
    <row r="6402" spans="1:4">
      <c r="A6402" s="4" t="s">
        <v>394</v>
      </c>
      <c r="B6402" s="5">
        <v>1700098</v>
      </c>
      <c r="C6402" s="5" t="s">
        <v>358</v>
      </c>
      <c r="D6402" s="3">
        <v>19608</v>
      </c>
    </row>
    <row r="6403" spans="1:4">
      <c r="A6403" s="4" t="s">
        <v>394</v>
      </c>
      <c r="B6403" s="5">
        <v>1700099</v>
      </c>
      <c r="C6403" s="5" t="s">
        <v>359</v>
      </c>
      <c r="D6403" s="3">
        <v>9740</v>
      </c>
    </row>
    <row r="6404" spans="1:4">
      <c r="A6404" s="4" t="s">
        <v>394</v>
      </c>
      <c r="B6404" s="5">
        <v>1700100</v>
      </c>
      <c r="C6404" s="5" t="s">
        <v>360</v>
      </c>
      <c r="D6404" s="3">
        <v>3333</v>
      </c>
    </row>
    <row r="6405" spans="1:4">
      <c r="A6405" s="4" t="s">
        <v>394</v>
      </c>
      <c r="B6405" s="5">
        <v>1700101</v>
      </c>
      <c r="C6405" s="5" t="s">
        <v>361</v>
      </c>
      <c r="D6405" s="3">
        <v>7647</v>
      </c>
    </row>
    <row r="6406" spans="1:4">
      <c r="A6406" s="4" t="s">
        <v>394</v>
      </c>
      <c r="B6406" s="5">
        <v>1700102</v>
      </c>
      <c r="C6406" s="5" t="s">
        <v>362</v>
      </c>
      <c r="D6406" s="3">
        <v>40196</v>
      </c>
    </row>
    <row r="6407" spans="1:4">
      <c r="A6407" s="4" t="s">
        <v>394</v>
      </c>
      <c r="B6407" s="5">
        <v>1700103</v>
      </c>
      <c r="C6407" s="5" t="s">
        <v>363</v>
      </c>
      <c r="D6407" s="3">
        <v>9000</v>
      </c>
    </row>
    <row r="6408" spans="1:4">
      <c r="A6408" s="4" t="s">
        <v>394</v>
      </c>
      <c r="B6408" s="5">
        <v>1700104</v>
      </c>
      <c r="C6408" s="5" t="s">
        <v>364</v>
      </c>
      <c r="D6408" s="3">
        <v>25000</v>
      </c>
    </row>
    <row r="6409" spans="1:4">
      <c r="A6409" s="4" t="s">
        <v>394</v>
      </c>
      <c r="B6409" s="5">
        <v>1700105</v>
      </c>
      <c r="C6409" s="5" t="s">
        <v>365</v>
      </c>
      <c r="D6409" s="3">
        <v>11275</v>
      </c>
    </row>
    <row r="6410" spans="1:4">
      <c r="A6410" s="4" t="s">
        <v>394</v>
      </c>
      <c r="B6410" s="5">
        <v>1700106</v>
      </c>
      <c r="C6410" s="5" t="s">
        <v>366</v>
      </c>
      <c r="D6410" s="3">
        <v>12255</v>
      </c>
    </row>
    <row r="6411" spans="1:4">
      <c r="A6411" s="4" t="s">
        <v>394</v>
      </c>
      <c r="B6411" s="5">
        <v>1700107</v>
      </c>
      <c r="C6411" s="5" t="s">
        <v>367</v>
      </c>
      <c r="D6411" s="3">
        <v>9020</v>
      </c>
    </row>
    <row r="6412" spans="1:4">
      <c r="A6412" s="4" t="s">
        <v>394</v>
      </c>
      <c r="B6412" s="5">
        <v>1800002</v>
      </c>
      <c r="C6412" s="5" t="s">
        <v>368</v>
      </c>
      <c r="D6412" s="3">
        <v>9520</v>
      </c>
    </row>
    <row r="6413" spans="1:4">
      <c r="A6413" s="4" t="s">
        <v>394</v>
      </c>
      <c r="B6413" s="5">
        <v>1800004</v>
      </c>
      <c r="C6413" s="5" t="s">
        <v>369</v>
      </c>
      <c r="D6413" s="3">
        <v>0</v>
      </c>
    </row>
    <row r="6414" spans="1:4">
      <c r="A6414" s="4" t="s">
        <v>394</v>
      </c>
      <c r="B6414" s="5">
        <v>1800005</v>
      </c>
      <c r="C6414" s="5" t="s">
        <v>370</v>
      </c>
      <c r="D6414" s="3">
        <v>0</v>
      </c>
    </row>
    <row r="6415" spans="1:4">
      <c r="A6415" s="4" t="s">
        <v>394</v>
      </c>
      <c r="B6415" s="5">
        <v>1800006</v>
      </c>
      <c r="C6415" s="5" t="s">
        <v>371</v>
      </c>
      <c r="D6415" s="3">
        <v>0</v>
      </c>
    </row>
    <row r="6416" spans="1:4">
      <c r="A6416" s="4" t="s">
        <v>394</v>
      </c>
      <c r="B6416" s="5">
        <v>1800007</v>
      </c>
      <c r="C6416" s="5" t="s">
        <v>372</v>
      </c>
      <c r="D6416" s="3">
        <v>10000</v>
      </c>
    </row>
    <row r="6417" spans="1:4">
      <c r="A6417" s="4" t="s">
        <v>394</v>
      </c>
      <c r="B6417" s="5">
        <v>1800008</v>
      </c>
      <c r="C6417" s="5" t="s">
        <v>373</v>
      </c>
      <c r="D6417" s="3">
        <v>10230</v>
      </c>
    </row>
    <row r="6418" spans="1:4">
      <c r="A6418" s="4" t="s">
        <v>394</v>
      </c>
      <c r="B6418" s="5">
        <v>1800009</v>
      </c>
      <c r="C6418" s="5" t="s">
        <v>374</v>
      </c>
      <c r="D6418" s="3">
        <v>11800</v>
      </c>
    </row>
    <row r="6419" spans="1:4">
      <c r="A6419" s="4" t="s">
        <v>394</v>
      </c>
      <c r="B6419" s="5">
        <v>1800010</v>
      </c>
      <c r="C6419" s="5" t="s">
        <v>375</v>
      </c>
      <c r="D6419" s="3">
        <v>6863</v>
      </c>
    </row>
    <row r="6420" spans="1:4">
      <c r="A6420" s="4" t="s">
        <v>394</v>
      </c>
      <c r="B6420" s="5">
        <v>1800011</v>
      </c>
      <c r="C6420" s="5" t="s">
        <v>376</v>
      </c>
      <c r="D6420" s="3">
        <v>13235</v>
      </c>
    </row>
    <row r="6421" spans="1:4">
      <c r="A6421" s="4" t="s">
        <v>394</v>
      </c>
      <c r="B6421" s="5">
        <v>1800012</v>
      </c>
      <c r="C6421" s="5" t="s">
        <v>377</v>
      </c>
      <c r="D6421" s="3">
        <v>8235</v>
      </c>
    </row>
    <row r="6422" spans="1:4">
      <c r="A6422" s="4" t="s">
        <v>394</v>
      </c>
      <c r="B6422" s="5">
        <v>1800013</v>
      </c>
      <c r="C6422" s="5" t="s">
        <v>378</v>
      </c>
      <c r="D6422" s="3">
        <v>51500</v>
      </c>
    </row>
    <row r="6423" spans="1:4">
      <c r="A6423" s="4" t="s">
        <v>394</v>
      </c>
      <c r="B6423" s="5">
        <v>1800014</v>
      </c>
      <c r="C6423" s="5" t="s">
        <v>379</v>
      </c>
      <c r="D6423" s="3">
        <v>83000</v>
      </c>
    </row>
    <row r="6424" spans="1:4">
      <c r="A6424" s="4" t="s">
        <v>394</v>
      </c>
      <c r="B6424" s="5">
        <v>1800015</v>
      </c>
      <c r="C6424" s="5" t="s">
        <v>380</v>
      </c>
      <c r="D6424" s="3">
        <v>71000</v>
      </c>
    </row>
    <row r="6425" spans="1:4">
      <c r="A6425" s="4" t="s">
        <v>394</v>
      </c>
      <c r="B6425" s="5">
        <v>1900013</v>
      </c>
      <c r="C6425" s="5" t="s">
        <v>381</v>
      </c>
      <c r="D6425" s="3">
        <v>0</v>
      </c>
    </row>
    <row r="6426" spans="1:4">
      <c r="A6426" s="4" t="s">
        <v>394</v>
      </c>
      <c r="B6426" s="5">
        <v>1900018</v>
      </c>
      <c r="C6426" s="5" t="s">
        <v>382</v>
      </c>
      <c r="D6426" s="3">
        <v>0</v>
      </c>
    </row>
  </sheetData>
  <autoFilter ref="A1:D3085" xr:uid="{9DD24D4E-5D26-4C17-9FF3-4D6B3C5056CF}"/>
  <phoneticPr fontId="5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1"/>
  <sheetViews>
    <sheetView workbookViewId="0"/>
  </sheetViews>
  <sheetFormatPr defaultRowHeight="16.5"/>
  <sheetData>
    <row r="1" spans="1:2">
      <c r="A1" s="1" t="s">
        <v>1</v>
      </c>
      <c r="B1" s="1" t="s">
        <v>2</v>
      </c>
    </row>
    <row r="2" spans="1:2">
      <c r="A2" t="s">
        <v>4</v>
      </c>
      <c r="B2" t="s">
        <v>5</v>
      </c>
    </row>
    <row r="3" spans="1:2">
      <c r="A3" t="s">
        <v>8</v>
      </c>
      <c r="B3" t="s">
        <v>9</v>
      </c>
    </row>
    <row r="4" spans="1:2">
      <c r="A4" t="s">
        <v>10</v>
      </c>
      <c r="B4" t="s">
        <v>11</v>
      </c>
    </row>
    <row r="5" spans="1:2">
      <c r="A5" t="s">
        <v>12</v>
      </c>
      <c r="B5" t="s">
        <v>13</v>
      </c>
    </row>
    <row r="6" spans="1:2">
      <c r="A6" t="s">
        <v>14</v>
      </c>
      <c r="B6" t="s">
        <v>13</v>
      </c>
    </row>
    <row r="7" spans="1:2">
      <c r="A7" t="s">
        <v>15</v>
      </c>
      <c r="B7" t="s">
        <v>16</v>
      </c>
    </row>
    <row r="8" spans="1:2">
      <c r="A8" t="s">
        <v>17</v>
      </c>
      <c r="B8" t="s">
        <v>18</v>
      </c>
    </row>
    <row r="9" spans="1:2">
      <c r="A9" t="s">
        <v>19</v>
      </c>
      <c r="B9" t="s">
        <v>20</v>
      </c>
    </row>
    <row r="10" spans="1:2">
      <c r="A10" t="s">
        <v>21</v>
      </c>
      <c r="B10" t="s">
        <v>22</v>
      </c>
    </row>
    <row r="11" spans="1:2">
      <c r="A11" t="s">
        <v>23</v>
      </c>
      <c r="B11" t="s">
        <v>24</v>
      </c>
    </row>
    <row r="12" spans="1:2">
      <c r="A12" t="s">
        <v>25</v>
      </c>
      <c r="B12" t="s">
        <v>26</v>
      </c>
    </row>
    <row r="13" spans="1:2">
      <c r="A13" t="s">
        <v>27</v>
      </c>
      <c r="B13" t="s">
        <v>28</v>
      </c>
    </row>
    <row r="14" spans="1:2">
      <c r="A14" t="s">
        <v>29</v>
      </c>
      <c r="B14" t="s">
        <v>30</v>
      </c>
    </row>
    <row r="15" spans="1:2">
      <c r="A15" t="s">
        <v>31</v>
      </c>
      <c r="B15" t="s">
        <v>32</v>
      </c>
    </row>
    <row r="16" spans="1:2">
      <c r="A16" t="s">
        <v>33</v>
      </c>
      <c r="B16" t="s">
        <v>34</v>
      </c>
    </row>
    <row r="17" spans="1:2">
      <c r="A17" t="s">
        <v>35</v>
      </c>
      <c r="B17" t="s">
        <v>36</v>
      </c>
    </row>
    <row r="18" spans="1:2">
      <c r="A18" t="s">
        <v>37</v>
      </c>
      <c r="B18" t="s">
        <v>38</v>
      </c>
    </row>
    <row r="19" spans="1:2">
      <c r="A19" t="s">
        <v>39</v>
      </c>
      <c r="B19" t="s">
        <v>40</v>
      </c>
    </row>
    <row r="20" spans="1:2">
      <c r="A20" t="s">
        <v>41</v>
      </c>
      <c r="B20" t="s">
        <v>42</v>
      </c>
    </row>
    <row r="21" spans="1:2">
      <c r="A21" t="s">
        <v>43</v>
      </c>
      <c r="B21" t="s">
        <v>44</v>
      </c>
    </row>
    <row r="22" spans="1:2">
      <c r="A22" t="s">
        <v>45</v>
      </c>
      <c r="B22" t="s">
        <v>46</v>
      </c>
    </row>
    <row r="23" spans="1:2">
      <c r="A23" t="s">
        <v>47</v>
      </c>
      <c r="B23" t="s">
        <v>48</v>
      </c>
    </row>
    <row r="24" spans="1:2">
      <c r="A24" t="s">
        <v>49</v>
      </c>
      <c r="B24" t="s">
        <v>50</v>
      </c>
    </row>
    <row r="25" spans="1:2">
      <c r="A25" t="s">
        <v>51</v>
      </c>
      <c r="B25" t="s">
        <v>52</v>
      </c>
    </row>
    <row r="26" spans="1:2">
      <c r="A26" t="s">
        <v>53</v>
      </c>
      <c r="B26" t="s">
        <v>54</v>
      </c>
    </row>
    <row r="27" spans="1:2">
      <c r="A27" t="s">
        <v>55</v>
      </c>
      <c r="B27" t="s">
        <v>56</v>
      </c>
    </row>
    <row r="28" spans="1:2">
      <c r="A28" t="s">
        <v>57</v>
      </c>
      <c r="B28" t="s">
        <v>58</v>
      </c>
    </row>
    <row r="29" spans="1:2">
      <c r="A29" t="s">
        <v>59</v>
      </c>
      <c r="B29" t="s">
        <v>60</v>
      </c>
    </row>
    <row r="30" spans="1:2">
      <c r="A30" t="s">
        <v>61</v>
      </c>
      <c r="B30" t="s">
        <v>62</v>
      </c>
    </row>
    <row r="31" spans="1:2">
      <c r="A31" t="s">
        <v>63</v>
      </c>
      <c r="B31" t="s">
        <v>64</v>
      </c>
    </row>
    <row r="32" spans="1:2">
      <c r="A32" t="s">
        <v>65</v>
      </c>
      <c r="B32" t="s">
        <v>66</v>
      </c>
    </row>
    <row r="33" spans="1:2">
      <c r="A33" t="s">
        <v>67</v>
      </c>
      <c r="B33" t="s">
        <v>68</v>
      </c>
    </row>
    <row r="34" spans="1:2">
      <c r="A34" t="s">
        <v>69</v>
      </c>
      <c r="B34" t="s">
        <v>70</v>
      </c>
    </row>
    <row r="35" spans="1:2">
      <c r="A35" t="s">
        <v>71</v>
      </c>
      <c r="B35" t="s">
        <v>72</v>
      </c>
    </row>
    <row r="36" spans="1:2">
      <c r="A36" t="s">
        <v>73</v>
      </c>
      <c r="B36" t="s">
        <v>74</v>
      </c>
    </row>
    <row r="37" spans="1:2">
      <c r="A37" t="s">
        <v>75</v>
      </c>
      <c r="B37" t="s">
        <v>76</v>
      </c>
    </row>
    <row r="38" spans="1:2">
      <c r="A38" t="s">
        <v>77</v>
      </c>
      <c r="B38" t="s">
        <v>78</v>
      </c>
    </row>
    <row r="39" spans="1:2">
      <c r="A39" t="s">
        <v>79</v>
      </c>
      <c r="B39" t="s">
        <v>80</v>
      </c>
    </row>
    <row r="40" spans="1:2">
      <c r="A40" t="s">
        <v>81</v>
      </c>
      <c r="B40" t="s">
        <v>82</v>
      </c>
    </row>
    <row r="41" spans="1:2">
      <c r="A41" t="s">
        <v>83</v>
      </c>
      <c r="B41" t="s">
        <v>84</v>
      </c>
    </row>
    <row r="42" spans="1:2">
      <c r="A42" t="s">
        <v>85</v>
      </c>
      <c r="B42" t="s">
        <v>86</v>
      </c>
    </row>
    <row r="43" spans="1:2">
      <c r="A43" t="s">
        <v>87</v>
      </c>
      <c r="B43" t="s">
        <v>88</v>
      </c>
    </row>
    <row r="44" spans="1:2">
      <c r="A44" t="s">
        <v>89</v>
      </c>
      <c r="B44" t="s">
        <v>90</v>
      </c>
    </row>
    <row r="45" spans="1:2">
      <c r="A45" t="s">
        <v>91</v>
      </c>
      <c r="B45" t="s">
        <v>92</v>
      </c>
    </row>
    <row r="46" spans="1:2">
      <c r="A46" t="s">
        <v>93</v>
      </c>
      <c r="B46" t="s">
        <v>94</v>
      </c>
    </row>
    <row r="47" spans="1:2">
      <c r="A47" t="s">
        <v>6</v>
      </c>
      <c r="B47" t="s">
        <v>7</v>
      </c>
    </row>
    <row r="48" spans="1:2">
      <c r="A48" t="s">
        <v>95</v>
      </c>
      <c r="B48" t="s">
        <v>96</v>
      </c>
    </row>
    <row r="49" spans="1:2">
      <c r="A49" t="s">
        <v>97</v>
      </c>
      <c r="B49" t="s">
        <v>98</v>
      </c>
    </row>
    <row r="50" spans="1:2">
      <c r="A50" t="s">
        <v>99</v>
      </c>
      <c r="B50" t="s">
        <v>100</v>
      </c>
    </row>
    <row r="51" spans="1:2">
      <c r="A51" t="s">
        <v>101</v>
      </c>
      <c r="B51" t="s">
        <v>102</v>
      </c>
    </row>
    <row r="52" spans="1:2">
      <c r="A52" t="s">
        <v>103</v>
      </c>
      <c r="B52" t="s">
        <v>104</v>
      </c>
    </row>
    <row r="53" spans="1:2">
      <c r="A53" t="s">
        <v>105</v>
      </c>
      <c r="B53" t="s">
        <v>106</v>
      </c>
    </row>
    <row r="54" spans="1:2">
      <c r="A54" t="s">
        <v>107</v>
      </c>
      <c r="B54" t="s">
        <v>108</v>
      </c>
    </row>
    <row r="55" spans="1:2">
      <c r="A55" t="s">
        <v>109</v>
      </c>
      <c r="B55" t="s">
        <v>110</v>
      </c>
    </row>
    <row r="56" spans="1:2">
      <c r="A56" t="s">
        <v>111</v>
      </c>
      <c r="B56" t="s">
        <v>112</v>
      </c>
    </row>
    <row r="57" spans="1:2">
      <c r="A57" t="s">
        <v>113</v>
      </c>
      <c r="B57" t="s">
        <v>114</v>
      </c>
    </row>
    <row r="58" spans="1:2">
      <c r="A58" t="s">
        <v>115</v>
      </c>
      <c r="B58" t="s">
        <v>116</v>
      </c>
    </row>
    <row r="59" spans="1:2">
      <c r="A59" t="s">
        <v>117</v>
      </c>
      <c r="B59" t="s">
        <v>118</v>
      </c>
    </row>
    <row r="60" spans="1:2">
      <c r="A60" t="s">
        <v>119</v>
      </c>
      <c r="B60" t="s">
        <v>120</v>
      </c>
    </row>
    <row r="61" spans="1:2">
      <c r="A61" t="s">
        <v>121</v>
      </c>
      <c r="B61" t="s">
        <v>122</v>
      </c>
    </row>
    <row r="62" spans="1:2">
      <c r="A62" t="s">
        <v>123</v>
      </c>
      <c r="B62" t="s">
        <v>124</v>
      </c>
    </row>
    <row r="63" spans="1:2">
      <c r="A63" t="s">
        <v>125</v>
      </c>
      <c r="B63" t="s">
        <v>126</v>
      </c>
    </row>
    <row r="64" spans="1:2">
      <c r="A64" t="s">
        <v>127</v>
      </c>
      <c r="B64" t="s">
        <v>128</v>
      </c>
    </row>
    <row r="65" spans="1:2">
      <c r="A65" t="s">
        <v>129</v>
      </c>
      <c r="B65" t="s">
        <v>130</v>
      </c>
    </row>
    <row r="66" spans="1:2">
      <c r="A66" t="s">
        <v>131</v>
      </c>
      <c r="B66" t="s">
        <v>132</v>
      </c>
    </row>
    <row r="67" spans="1:2">
      <c r="A67" t="s">
        <v>133</v>
      </c>
      <c r="B67" t="s">
        <v>134</v>
      </c>
    </row>
    <row r="68" spans="1:2">
      <c r="A68" t="s">
        <v>135</v>
      </c>
      <c r="B68" t="s">
        <v>136</v>
      </c>
    </row>
    <row r="69" spans="1:2">
      <c r="A69" t="s">
        <v>137</v>
      </c>
      <c r="B69" t="s">
        <v>138</v>
      </c>
    </row>
    <row r="70" spans="1:2">
      <c r="A70" t="s">
        <v>139</v>
      </c>
      <c r="B70" t="s">
        <v>140</v>
      </c>
    </row>
    <row r="71" spans="1:2">
      <c r="A71" t="s">
        <v>141</v>
      </c>
      <c r="B71" t="s">
        <v>142</v>
      </c>
    </row>
    <row r="72" spans="1:2">
      <c r="A72" t="s">
        <v>143</v>
      </c>
      <c r="B72" t="s">
        <v>144</v>
      </c>
    </row>
    <row r="73" spans="1:2">
      <c r="A73" t="s">
        <v>145</v>
      </c>
      <c r="B73" t="s">
        <v>146</v>
      </c>
    </row>
    <row r="74" spans="1:2">
      <c r="A74" t="s">
        <v>147</v>
      </c>
      <c r="B74" t="s">
        <v>148</v>
      </c>
    </row>
    <row r="75" spans="1:2">
      <c r="A75" t="s">
        <v>149</v>
      </c>
      <c r="B75" t="s">
        <v>150</v>
      </c>
    </row>
    <row r="76" spans="1:2">
      <c r="A76" t="s">
        <v>151</v>
      </c>
      <c r="B76" t="s">
        <v>152</v>
      </c>
    </row>
    <row r="77" spans="1:2">
      <c r="A77" t="s">
        <v>153</v>
      </c>
      <c r="B77" t="s">
        <v>154</v>
      </c>
    </row>
    <row r="78" spans="1:2">
      <c r="A78" t="s">
        <v>155</v>
      </c>
      <c r="B78" t="s">
        <v>156</v>
      </c>
    </row>
    <row r="79" spans="1:2">
      <c r="A79" t="s">
        <v>157</v>
      </c>
      <c r="B79" t="s">
        <v>158</v>
      </c>
    </row>
    <row r="80" spans="1:2">
      <c r="A80" t="s">
        <v>159</v>
      </c>
      <c r="B80" t="s">
        <v>160</v>
      </c>
    </row>
    <row r="81" spans="1:2">
      <c r="A81" t="s">
        <v>161</v>
      </c>
      <c r="B81" t="s">
        <v>162</v>
      </c>
    </row>
    <row r="82" spans="1:2">
      <c r="A82" t="s">
        <v>163</v>
      </c>
      <c r="B82" t="s">
        <v>164</v>
      </c>
    </row>
    <row r="83" spans="1:2">
      <c r="A83" t="s">
        <v>165</v>
      </c>
      <c r="B83" t="s">
        <v>166</v>
      </c>
    </row>
    <row r="84" spans="1:2">
      <c r="A84" t="s">
        <v>167</v>
      </c>
      <c r="B84" t="s">
        <v>168</v>
      </c>
    </row>
    <row r="85" spans="1:2">
      <c r="A85" t="s">
        <v>169</v>
      </c>
      <c r="B85" t="s">
        <v>170</v>
      </c>
    </row>
    <row r="86" spans="1:2">
      <c r="A86" t="s">
        <v>171</v>
      </c>
      <c r="B86" t="s">
        <v>172</v>
      </c>
    </row>
    <row r="87" spans="1:2">
      <c r="A87" t="s">
        <v>173</v>
      </c>
      <c r="B87" t="s">
        <v>174</v>
      </c>
    </row>
    <row r="88" spans="1:2">
      <c r="A88" t="s">
        <v>175</v>
      </c>
      <c r="B88" t="s">
        <v>176</v>
      </c>
    </row>
    <row r="89" spans="1:2">
      <c r="A89" t="s">
        <v>177</v>
      </c>
      <c r="B89" t="s">
        <v>178</v>
      </c>
    </row>
    <row r="90" spans="1:2">
      <c r="A90" t="s">
        <v>179</v>
      </c>
      <c r="B90" t="s">
        <v>180</v>
      </c>
    </row>
    <row r="91" spans="1:2">
      <c r="A91" t="s">
        <v>181</v>
      </c>
      <c r="B91" t="s">
        <v>182</v>
      </c>
    </row>
    <row r="92" spans="1:2">
      <c r="A92" t="s">
        <v>183</v>
      </c>
      <c r="B92" t="s">
        <v>184</v>
      </c>
    </row>
    <row r="93" spans="1:2">
      <c r="A93" t="s">
        <v>185</v>
      </c>
      <c r="B93" t="s">
        <v>186</v>
      </c>
    </row>
    <row r="94" spans="1:2">
      <c r="A94" t="s">
        <v>187</v>
      </c>
      <c r="B94" t="s">
        <v>188</v>
      </c>
    </row>
    <row r="95" spans="1:2">
      <c r="A95" t="s">
        <v>189</v>
      </c>
      <c r="B95" t="s">
        <v>190</v>
      </c>
    </row>
    <row r="96" spans="1:2">
      <c r="A96" t="s">
        <v>191</v>
      </c>
      <c r="B96" t="s">
        <v>192</v>
      </c>
    </row>
    <row r="97" spans="1:2">
      <c r="A97" t="s">
        <v>193</v>
      </c>
      <c r="B97" t="s">
        <v>194</v>
      </c>
    </row>
    <row r="98" spans="1:2">
      <c r="A98" t="s">
        <v>195</v>
      </c>
      <c r="B98" t="s">
        <v>196</v>
      </c>
    </row>
    <row r="99" spans="1:2">
      <c r="A99" t="s">
        <v>197</v>
      </c>
      <c r="B99" t="s">
        <v>198</v>
      </c>
    </row>
    <row r="100" spans="1:2">
      <c r="A100" t="s">
        <v>199</v>
      </c>
      <c r="B100" t="s">
        <v>200</v>
      </c>
    </row>
    <row r="101" spans="1:2">
      <c r="A101" t="s">
        <v>201</v>
      </c>
      <c r="B101" t="s">
        <v>202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defaultRowHeight="16.5"/>
  <sheetData>
    <row r="1" spans="1:1">
      <c r="A1" s="1" t="s">
        <v>203</v>
      </c>
    </row>
    <row r="2" spans="1:1">
      <c r="A2" t="s">
        <v>204</v>
      </c>
    </row>
    <row r="4" spans="1:1">
      <c r="A4" t="s">
        <v>205</v>
      </c>
    </row>
    <row r="5" spans="1:1">
      <c r="A5" t="s">
        <v>206</v>
      </c>
    </row>
    <row r="6" spans="1:1">
      <c r="A6" t="s">
        <v>207</v>
      </c>
    </row>
    <row r="7" spans="1:1">
      <c r="A7" t="s">
        <v>208</v>
      </c>
    </row>
    <row r="8" spans="1:1">
      <c r="A8" t="s">
        <v>209</v>
      </c>
    </row>
    <row r="9" spans="1:1">
      <c r="A9" t="s">
        <v>210</v>
      </c>
    </row>
    <row r="11" spans="1:1">
      <c r="A11" t="s">
        <v>211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B1B91-F60A-4FE8-A077-9D24AD106F84}">
  <dimension ref="A2:D3085"/>
  <sheetViews>
    <sheetView workbookViewId="0">
      <selection activeCell="D3085" sqref="A2:D3085"/>
    </sheetView>
  </sheetViews>
  <sheetFormatPr defaultRowHeight="16.5"/>
  <cols>
    <col min="3" max="3" width="27.25" bestFit="1" customWidth="1"/>
  </cols>
  <sheetData>
    <row r="2" spans="1:4">
      <c r="A2" s="6" t="s">
        <v>396</v>
      </c>
      <c r="B2" s="2">
        <v>1010101</v>
      </c>
      <c r="C2" s="2" t="s">
        <v>5</v>
      </c>
      <c r="D2" s="3">
        <f>VLOOKUP(B2,Sheet2!$A:$O,3,0)</f>
        <v>699</v>
      </c>
    </row>
    <row r="3" spans="1:4">
      <c r="A3" s="7" t="s">
        <v>395</v>
      </c>
      <c r="B3" s="2">
        <v>1010111</v>
      </c>
      <c r="C3" s="2" t="s">
        <v>9</v>
      </c>
      <c r="D3" s="3">
        <f>VLOOKUP(B3,Sheet2!$A:$O,3,0)</f>
        <v>18300</v>
      </c>
    </row>
    <row r="4" spans="1:4">
      <c r="A4" s="7" t="s">
        <v>395</v>
      </c>
      <c r="B4" s="2">
        <v>1010201</v>
      </c>
      <c r="C4" s="2" t="s">
        <v>11</v>
      </c>
      <c r="D4" s="3">
        <f>VLOOKUP(B4,Sheet2!$A:$O,3,0)</f>
        <v>686</v>
      </c>
    </row>
    <row r="5" spans="1:4">
      <c r="A5" s="7" t="s">
        <v>395</v>
      </c>
      <c r="B5" s="2">
        <v>1010300</v>
      </c>
      <c r="C5" s="2" t="s">
        <v>213</v>
      </c>
      <c r="D5" s="3">
        <f>VLOOKUP(B5,Sheet2!$A:$O,3,0)</f>
        <v>5392</v>
      </c>
    </row>
    <row r="6" spans="1:4">
      <c r="A6" s="7" t="s">
        <v>395</v>
      </c>
      <c r="B6" s="2">
        <v>1010301</v>
      </c>
      <c r="C6" s="2" t="s">
        <v>214</v>
      </c>
      <c r="D6" s="3">
        <f>VLOOKUP(B6,Sheet2!$A:$O,3,0)</f>
        <v>5882</v>
      </c>
    </row>
    <row r="7" spans="1:4">
      <c r="A7" s="7" t="s">
        <v>395</v>
      </c>
      <c r="B7" s="2">
        <v>1010302</v>
      </c>
      <c r="C7" s="2" t="s">
        <v>16</v>
      </c>
      <c r="D7" s="3">
        <f>VLOOKUP(B7,Sheet2!$A:$O,3,0)</f>
        <v>4216</v>
      </c>
    </row>
    <row r="8" spans="1:4">
      <c r="A8" s="7" t="s">
        <v>395</v>
      </c>
      <c r="B8" s="2">
        <v>1010303</v>
      </c>
      <c r="C8" s="2" t="s">
        <v>18</v>
      </c>
      <c r="D8" s="3">
        <f>VLOOKUP(B8,Sheet2!$A:$O,3,0)</f>
        <v>882</v>
      </c>
    </row>
    <row r="9" spans="1:4">
      <c r="A9" s="7" t="s">
        <v>395</v>
      </c>
      <c r="B9" s="2">
        <v>1010304</v>
      </c>
      <c r="C9" s="2" t="s">
        <v>215</v>
      </c>
      <c r="D9" s="3">
        <f>VLOOKUP(B9,Sheet2!$A:$O,3,0)</f>
        <v>1193</v>
      </c>
    </row>
    <row r="10" spans="1:4">
      <c r="A10" s="7" t="s">
        <v>395</v>
      </c>
      <c r="B10" s="2">
        <v>1010401</v>
      </c>
      <c r="C10" s="2" t="s">
        <v>20</v>
      </c>
      <c r="D10" s="3">
        <f>VLOOKUP(B10,Sheet2!$A:$O,3,0)</f>
        <v>3627</v>
      </c>
    </row>
    <row r="11" spans="1:4">
      <c r="A11" s="7" t="s">
        <v>395</v>
      </c>
      <c r="B11" s="2">
        <v>1010405</v>
      </c>
      <c r="C11" s="2" t="s">
        <v>22</v>
      </c>
      <c r="D11" s="3">
        <f>VLOOKUP(B11,Sheet2!$A:$O,3,0)</f>
        <v>9975</v>
      </c>
    </row>
    <row r="12" spans="1:4">
      <c r="A12" s="7" t="s">
        <v>395</v>
      </c>
      <c r="B12" s="2">
        <v>1010501</v>
      </c>
      <c r="C12" s="2" t="s">
        <v>24</v>
      </c>
      <c r="D12" s="3">
        <f>VLOOKUP(B12,Sheet2!$A:$O,3,0)</f>
        <v>980</v>
      </c>
    </row>
    <row r="13" spans="1:4">
      <c r="A13" s="7" t="s">
        <v>395</v>
      </c>
      <c r="B13" s="2">
        <v>1010502</v>
      </c>
      <c r="C13" s="2" t="s">
        <v>216</v>
      </c>
      <c r="D13" s="3">
        <f>VLOOKUP(B13,Sheet2!$A:$O,3,0)</f>
        <v>0</v>
      </c>
    </row>
    <row r="14" spans="1:4">
      <c r="A14" s="7" t="s">
        <v>395</v>
      </c>
      <c r="B14" s="2">
        <v>1010601</v>
      </c>
      <c r="C14" s="2" t="s">
        <v>26</v>
      </c>
      <c r="D14" s="3">
        <f>VLOOKUP(B14,Sheet2!$A:$O,3,0)</f>
        <v>0</v>
      </c>
    </row>
    <row r="15" spans="1:4">
      <c r="A15" s="7" t="s">
        <v>395</v>
      </c>
      <c r="B15" s="2">
        <v>1010701</v>
      </c>
      <c r="C15" s="2" t="s">
        <v>28</v>
      </c>
      <c r="D15" s="3">
        <f>VLOOKUP(B15,Sheet2!$A:$O,3,0)</f>
        <v>686</v>
      </c>
    </row>
    <row r="16" spans="1:4">
      <c r="A16" s="7" t="s">
        <v>395</v>
      </c>
      <c r="B16" s="2">
        <v>1010801</v>
      </c>
      <c r="C16" s="2" t="s">
        <v>30</v>
      </c>
      <c r="D16" s="3">
        <f>VLOOKUP(B16,Sheet2!$A:$O,3,0)</f>
        <v>7157</v>
      </c>
    </row>
    <row r="17" spans="1:4">
      <c r="A17" s="7" t="s">
        <v>395</v>
      </c>
      <c r="B17" s="2">
        <v>1010901</v>
      </c>
      <c r="C17" s="2" t="s">
        <v>32</v>
      </c>
      <c r="D17" s="3">
        <f>VLOOKUP(B17,Sheet2!$A:$O,3,0)</f>
        <v>4804</v>
      </c>
    </row>
    <row r="18" spans="1:4">
      <c r="A18" s="7" t="s">
        <v>395</v>
      </c>
      <c r="B18" s="2">
        <v>1020101</v>
      </c>
      <c r="C18" s="2" t="s">
        <v>34</v>
      </c>
      <c r="D18" s="3">
        <f>VLOOKUP(B18,Sheet2!$A:$O,3,0)</f>
        <v>15196</v>
      </c>
    </row>
    <row r="19" spans="1:4">
      <c r="A19" s="7" t="s">
        <v>395</v>
      </c>
      <c r="B19" s="2">
        <v>1020201</v>
      </c>
      <c r="C19" s="2" t="s">
        <v>217</v>
      </c>
      <c r="D19" s="3">
        <f>VLOOKUP(B19,Sheet2!$A:$O,3,0)</f>
        <v>5600</v>
      </c>
    </row>
    <row r="20" spans="1:4">
      <c r="A20" s="7" t="s">
        <v>395</v>
      </c>
      <c r="B20" s="2">
        <v>1020301</v>
      </c>
      <c r="C20" s="2" t="s">
        <v>38</v>
      </c>
      <c r="D20" s="3">
        <f>VLOOKUP(B20,Sheet2!$A:$O,3,0)</f>
        <v>2050</v>
      </c>
    </row>
    <row r="21" spans="1:4">
      <c r="A21" s="7" t="s">
        <v>395</v>
      </c>
      <c r="B21" s="2">
        <v>1020401</v>
      </c>
      <c r="C21" s="2" t="s">
        <v>40</v>
      </c>
      <c r="D21" s="3">
        <f>VLOOKUP(B21,Sheet2!$A:$O,3,0)</f>
        <v>3500</v>
      </c>
    </row>
    <row r="22" spans="1:4">
      <c r="A22" s="7" t="s">
        <v>395</v>
      </c>
      <c r="B22" s="2">
        <v>1030102</v>
      </c>
      <c r="C22" s="2" t="s">
        <v>218</v>
      </c>
      <c r="D22" s="3">
        <f>VLOOKUP(B22,Sheet2!$A:$O,3,0)</f>
        <v>0</v>
      </c>
    </row>
    <row r="23" spans="1:4">
      <c r="A23" s="7" t="s">
        <v>395</v>
      </c>
      <c r="B23" s="2">
        <v>1030201</v>
      </c>
      <c r="C23" s="2" t="s">
        <v>42</v>
      </c>
      <c r="D23" s="3">
        <f>VLOOKUP(B23,Sheet2!$A:$O,3,0)</f>
        <v>2255</v>
      </c>
    </row>
    <row r="24" spans="1:4">
      <c r="A24" s="7" t="s">
        <v>395</v>
      </c>
      <c r="B24" s="2">
        <v>1030203</v>
      </c>
      <c r="C24" s="2" t="s">
        <v>219</v>
      </c>
      <c r="D24" s="3">
        <f>VLOOKUP(B24,Sheet2!$A:$O,3,0)</f>
        <v>0</v>
      </c>
    </row>
    <row r="25" spans="1:4">
      <c r="A25" s="7" t="s">
        <v>395</v>
      </c>
      <c r="B25" s="2">
        <v>1030204</v>
      </c>
      <c r="C25" s="2" t="s">
        <v>220</v>
      </c>
      <c r="D25" s="3">
        <f>VLOOKUP(B25,Sheet2!$A:$O,3,0)</f>
        <v>0</v>
      </c>
    </row>
    <row r="26" spans="1:4">
      <c r="A26" s="7" t="s">
        <v>395</v>
      </c>
      <c r="B26" s="2">
        <v>1030205</v>
      </c>
      <c r="C26" s="2" t="s">
        <v>44</v>
      </c>
      <c r="D26" s="3">
        <f>VLOOKUP(B26,Sheet2!$A:$O,3,0)</f>
        <v>5000</v>
      </c>
    </row>
    <row r="27" spans="1:4">
      <c r="A27" s="7" t="s">
        <v>395</v>
      </c>
      <c r="B27" s="2">
        <v>1030206</v>
      </c>
      <c r="C27" s="2" t="s">
        <v>46</v>
      </c>
      <c r="D27" s="3">
        <f>VLOOKUP(B27,Sheet2!$A:$O,3,0)</f>
        <v>5400</v>
      </c>
    </row>
    <row r="28" spans="1:4">
      <c r="A28" s="7" t="s">
        <v>395</v>
      </c>
      <c r="B28" s="2">
        <v>1030207</v>
      </c>
      <c r="C28" s="2" t="s">
        <v>48</v>
      </c>
      <c r="D28" s="3">
        <f>VLOOKUP(B28,Sheet2!$A:$O,3,0)</f>
        <v>4400</v>
      </c>
    </row>
    <row r="29" spans="1:4">
      <c r="A29" s="7" t="s">
        <v>395</v>
      </c>
      <c r="B29" s="2">
        <v>1030501</v>
      </c>
      <c r="C29" s="2" t="s">
        <v>50</v>
      </c>
      <c r="D29" s="3">
        <f>VLOOKUP(B29,Sheet2!$A:$O,3,0)</f>
        <v>1078</v>
      </c>
    </row>
    <row r="30" spans="1:4">
      <c r="A30" s="7" t="s">
        <v>395</v>
      </c>
      <c r="B30" s="2">
        <v>1030601</v>
      </c>
      <c r="C30" s="2" t="s">
        <v>52</v>
      </c>
      <c r="D30" s="3">
        <f>VLOOKUP(B30,Sheet2!$A:$O,3,0)</f>
        <v>2900</v>
      </c>
    </row>
    <row r="31" spans="1:4">
      <c r="A31" s="7" t="s">
        <v>395</v>
      </c>
      <c r="B31" s="2">
        <v>1030701</v>
      </c>
      <c r="C31" s="2" t="s">
        <v>221</v>
      </c>
      <c r="D31" s="3">
        <f>VLOOKUP(B31,Sheet2!$A:$O,3,0)</f>
        <v>3000</v>
      </c>
    </row>
    <row r="32" spans="1:4">
      <c r="A32" s="7" t="s">
        <v>395</v>
      </c>
      <c r="B32" s="2">
        <v>1030705</v>
      </c>
      <c r="C32" s="2" t="s">
        <v>222</v>
      </c>
      <c r="D32" s="3">
        <f>VLOOKUP(B32,Sheet2!$A:$O,3,0)</f>
        <v>0</v>
      </c>
    </row>
    <row r="33" spans="1:4">
      <c r="A33" s="7" t="s">
        <v>395</v>
      </c>
      <c r="B33" s="2">
        <v>1030801</v>
      </c>
      <c r="C33" s="2" t="s">
        <v>54</v>
      </c>
      <c r="D33" s="3">
        <f>VLOOKUP(B33,Sheet2!$A:$O,3,0)</f>
        <v>1275</v>
      </c>
    </row>
    <row r="34" spans="1:4">
      <c r="A34" s="7" t="s">
        <v>395</v>
      </c>
      <c r="B34" s="2">
        <v>1030901</v>
      </c>
      <c r="C34" s="2" t="s">
        <v>223</v>
      </c>
      <c r="D34" s="3">
        <f>VLOOKUP(B34,Sheet2!$A:$O,3,0)</f>
        <v>0</v>
      </c>
    </row>
    <row r="35" spans="1:4">
      <c r="A35" s="7" t="s">
        <v>395</v>
      </c>
      <c r="B35" s="2">
        <v>1040201</v>
      </c>
      <c r="C35" s="2" t="s">
        <v>56</v>
      </c>
      <c r="D35" s="3">
        <f>VLOOKUP(B35,Sheet2!$A:$O,3,0)</f>
        <v>1470</v>
      </c>
    </row>
    <row r="36" spans="1:4">
      <c r="A36" s="7" t="s">
        <v>395</v>
      </c>
      <c r="B36" s="2">
        <v>1040202</v>
      </c>
      <c r="C36" s="2" t="s">
        <v>224</v>
      </c>
      <c r="D36" s="3">
        <f>VLOOKUP(B36,Sheet2!$A:$O,3,0)</f>
        <v>0</v>
      </c>
    </row>
    <row r="37" spans="1:4">
      <c r="A37" s="7" t="s">
        <v>395</v>
      </c>
      <c r="B37" s="2">
        <v>1040203</v>
      </c>
      <c r="C37" s="2" t="s">
        <v>225</v>
      </c>
      <c r="D37" s="3">
        <f>VLOOKUP(B37,Sheet2!$A:$O,3,0)</f>
        <v>0</v>
      </c>
    </row>
    <row r="38" spans="1:4">
      <c r="A38" s="7" t="s">
        <v>395</v>
      </c>
      <c r="B38" s="2">
        <v>1040204</v>
      </c>
      <c r="C38" s="2" t="s">
        <v>226</v>
      </c>
      <c r="D38" s="3">
        <f>VLOOKUP(B38,Sheet2!$A:$O,3,0)</f>
        <v>7917</v>
      </c>
    </row>
    <row r="39" spans="1:4">
      <c r="A39" s="7" t="s">
        <v>395</v>
      </c>
      <c r="B39" s="2">
        <v>1040301</v>
      </c>
      <c r="C39" s="2" t="s">
        <v>58</v>
      </c>
      <c r="D39" s="3">
        <f>VLOOKUP(B39,Sheet2!$A:$O,3,0)</f>
        <v>1771</v>
      </c>
    </row>
    <row r="40" spans="1:4">
      <c r="A40" s="7" t="s">
        <v>395</v>
      </c>
      <c r="B40" s="2">
        <v>1040401</v>
      </c>
      <c r="C40" s="2" t="s">
        <v>227</v>
      </c>
      <c r="D40" s="3">
        <f>VLOOKUP(B40,Sheet2!$A:$O,3,0)</f>
        <v>0</v>
      </c>
    </row>
    <row r="41" spans="1:4">
      <c r="A41" s="7" t="s">
        <v>395</v>
      </c>
      <c r="B41" s="2">
        <v>1050102</v>
      </c>
      <c r="C41" s="2" t="s">
        <v>60</v>
      </c>
      <c r="D41" s="3">
        <f>VLOOKUP(B41,Sheet2!$A:$O,3,0)</f>
        <v>29500</v>
      </c>
    </row>
    <row r="42" spans="1:4">
      <c r="A42" s="7" t="s">
        <v>395</v>
      </c>
      <c r="B42" s="2">
        <v>1050103</v>
      </c>
      <c r="C42" s="2" t="s">
        <v>228</v>
      </c>
      <c r="D42" s="3">
        <f>VLOOKUP(B42,Sheet2!$A:$O,3,0)</f>
        <v>11275</v>
      </c>
    </row>
    <row r="43" spans="1:4">
      <c r="A43" s="7" t="s">
        <v>395</v>
      </c>
      <c r="B43" s="2">
        <v>1050301</v>
      </c>
      <c r="C43" s="2" t="s">
        <v>62</v>
      </c>
      <c r="D43" s="3">
        <f>VLOOKUP(B43,Sheet2!$A:$O,3,0)</f>
        <v>9804</v>
      </c>
    </row>
    <row r="44" spans="1:4">
      <c r="A44" s="7" t="s">
        <v>395</v>
      </c>
      <c r="B44" s="2">
        <v>1050401</v>
      </c>
      <c r="C44" s="2" t="s">
        <v>64</v>
      </c>
      <c r="D44" s="3">
        <f>VLOOKUP(B44,Sheet2!$A:$O,3,0)</f>
        <v>8333</v>
      </c>
    </row>
    <row r="45" spans="1:4">
      <c r="A45" s="7" t="s">
        <v>395</v>
      </c>
      <c r="B45" s="2">
        <v>1050501</v>
      </c>
      <c r="C45" s="2" t="s">
        <v>66</v>
      </c>
      <c r="D45" s="3">
        <f>VLOOKUP(B45,Sheet2!$A:$O,3,0)</f>
        <v>8824</v>
      </c>
    </row>
    <row r="46" spans="1:4">
      <c r="A46" s="7" t="s">
        <v>395</v>
      </c>
      <c r="B46" s="2">
        <v>1050511</v>
      </c>
      <c r="C46" s="2" t="s">
        <v>68</v>
      </c>
      <c r="D46" s="3">
        <f>VLOOKUP(B46,Sheet2!$A:$O,3,0)</f>
        <v>18000</v>
      </c>
    </row>
    <row r="47" spans="1:4">
      <c r="A47" s="7" t="s">
        <v>395</v>
      </c>
      <c r="B47" s="2">
        <v>1050512</v>
      </c>
      <c r="C47" s="2" t="s">
        <v>229</v>
      </c>
      <c r="D47" s="3">
        <f>VLOOKUP(B47,Sheet2!$A:$O,3,0)</f>
        <v>0</v>
      </c>
    </row>
    <row r="48" spans="1:4">
      <c r="A48" s="7" t="s">
        <v>395</v>
      </c>
      <c r="B48" s="2">
        <v>1050521</v>
      </c>
      <c r="C48" s="2" t="s">
        <v>70</v>
      </c>
      <c r="D48" s="3">
        <f>VLOOKUP(B48,Sheet2!$A:$O,3,0)</f>
        <v>14706</v>
      </c>
    </row>
    <row r="49" spans="1:4">
      <c r="A49" s="7" t="s">
        <v>395</v>
      </c>
      <c r="B49" s="2">
        <v>1050531</v>
      </c>
      <c r="C49" s="2" t="s">
        <v>72</v>
      </c>
      <c r="D49" s="3">
        <f>VLOOKUP(B49,Sheet2!$A:$O,3,0)</f>
        <v>21000</v>
      </c>
    </row>
    <row r="50" spans="1:4">
      <c r="A50" s="7" t="s">
        <v>395</v>
      </c>
      <c r="B50" s="2">
        <v>1050541</v>
      </c>
      <c r="C50" s="2" t="s">
        <v>74</v>
      </c>
      <c r="D50" s="3">
        <f>VLOOKUP(B50,Sheet2!$A:$O,3,0)</f>
        <v>11000</v>
      </c>
    </row>
    <row r="51" spans="1:4">
      <c r="A51" s="7" t="s">
        <v>395</v>
      </c>
      <c r="B51" s="2">
        <v>1050551</v>
      </c>
      <c r="C51" s="2" t="s">
        <v>76</v>
      </c>
      <c r="D51" s="3">
        <f>VLOOKUP(B51,Sheet2!$A:$O,3,0)</f>
        <v>54000</v>
      </c>
    </row>
    <row r="52" spans="1:4">
      <c r="A52" s="7" t="s">
        <v>395</v>
      </c>
      <c r="B52" s="2">
        <v>1050561</v>
      </c>
      <c r="C52" s="2" t="s">
        <v>78</v>
      </c>
      <c r="D52" s="3">
        <f>VLOOKUP(B52,Sheet2!$A:$O,3,0)</f>
        <v>98000</v>
      </c>
    </row>
    <row r="53" spans="1:4">
      <c r="A53" s="7" t="s">
        <v>395</v>
      </c>
      <c r="B53" s="2">
        <v>1050571</v>
      </c>
      <c r="C53" s="2" t="s">
        <v>80</v>
      </c>
      <c r="D53" s="3">
        <f>VLOOKUP(B53,Sheet2!$A:$O,3,0)</f>
        <v>58600</v>
      </c>
    </row>
    <row r="54" spans="1:4">
      <c r="A54" s="7" t="s">
        <v>395</v>
      </c>
      <c r="B54" s="2">
        <v>1050581</v>
      </c>
      <c r="C54" s="2" t="s">
        <v>82</v>
      </c>
      <c r="D54" s="3">
        <f>VLOOKUP(B54,Sheet2!$A:$O,3,0)</f>
        <v>57000</v>
      </c>
    </row>
    <row r="55" spans="1:4">
      <c r="A55" s="7" t="s">
        <v>395</v>
      </c>
      <c r="B55" s="2">
        <v>1050591</v>
      </c>
      <c r="C55" s="2" t="s">
        <v>84</v>
      </c>
      <c r="D55" s="3">
        <f>VLOOKUP(B55,Sheet2!$A:$O,3,0)</f>
        <v>97750</v>
      </c>
    </row>
    <row r="56" spans="1:4">
      <c r="A56" s="7" t="s">
        <v>395</v>
      </c>
      <c r="B56" s="2">
        <v>1050601</v>
      </c>
      <c r="C56" s="2" t="s">
        <v>86</v>
      </c>
      <c r="D56" s="3">
        <f>VLOOKUP(B56,Sheet2!$A:$O,3,0)</f>
        <v>5900</v>
      </c>
    </row>
    <row r="57" spans="1:4">
      <c r="A57" s="7" t="s">
        <v>395</v>
      </c>
      <c r="B57" s="2">
        <v>1050701</v>
      </c>
      <c r="C57" s="2" t="s">
        <v>88</v>
      </c>
      <c r="D57" s="3">
        <f>VLOOKUP(B57,Sheet2!$A:$O,3,0)</f>
        <v>5600</v>
      </c>
    </row>
    <row r="58" spans="1:4">
      <c r="A58" s="7" t="s">
        <v>395</v>
      </c>
      <c r="B58" s="2">
        <v>1050702</v>
      </c>
      <c r="C58" s="2" t="s">
        <v>90</v>
      </c>
      <c r="D58" s="3">
        <f>VLOOKUP(B58,Sheet2!$A:$O,3,0)</f>
        <v>5600</v>
      </c>
    </row>
    <row r="59" spans="1:4">
      <c r="A59" s="7" t="s">
        <v>395</v>
      </c>
      <c r="B59" s="2">
        <v>1050711</v>
      </c>
      <c r="C59" s="2" t="s">
        <v>92</v>
      </c>
      <c r="D59" s="3">
        <f>VLOOKUP(B59,Sheet2!$A:$O,3,0)</f>
        <v>3005</v>
      </c>
    </row>
    <row r="60" spans="1:4">
      <c r="A60" s="7" t="s">
        <v>395</v>
      </c>
      <c r="B60" s="2">
        <v>1050721</v>
      </c>
      <c r="C60" s="2" t="s">
        <v>94</v>
      </c>
      <c r="D60" s="3">
        <f>VLOOKUP(B60,Sheet2!$A:$O,3,0)</f>
        <v>14300</v>
      </c>
    </row>
    <row r="61" spans="1:4">
      <c r="A61" s="7" t="s">
        <v>395</v>
      </c>
      <c r="B61" s="2">
        <v>1050801</v>
      </c>
      <c r="C61" s="2" t="s">
        <v>7</v>
      </c>
      <c r="D61" s="3">
        <f>VLOOKUP(B61,Sheet2!$A:$O,3,0)</f>
        <v>1025</v>
      </c>
    </row>
    <row r="62" spans="1:4">
      <c r="A62" s="7" t="s">
        <v>395</v>
      </c>
      <c r="B62" s="2">
        <v>1050901</v>
      </c>
      <c r="C62" s="2" t="s">
        <v>96</v>
      </c>
      <c r="D62" s="3">
        <f>VLOOKUP(B62,Sheet2!$A:$O,3,0)</f>
        <v>1441</v>
      </c>
    </row>
    <row r="63" spans="1:4">
      <c r="A63" s="7" t="s">
        <v>395</v>
      </c>
      <c r="B63" s="2">
        <v>1060101</v>
      </c>
      <c r="C63" s="2" t="s">
        <v>98</v>
      </c>
      <c r="D63" s="3">
        <f>VLOOKUP(B63,Sheet2!$A:$O,3,0)</f>
        <v>2250</v>
      </c>
    </row>
    <row r="64" spans="1:4">
      <c r="A64" s="7" t="s">
        <v>395</v>
      </c>
      <c r="B64" s="2">
        <v>1060401</v>
      </c>
      <c r="C64" s="2" t="s">
        <v>100</v>
      </c>
      <c r="D64" s="3">
        <f>VLOOKUP(B64,Sheet2!$A:$O,3,0)</f>
        <v>71000</v>
      </c>
    </row>
    <row r="65" spans="1:4">
      <c r="A65" s="7" t="s">
        <v>395</v>
      </c>
      <c r="B65" s="2">
        <v>1060412</v>
      </c>
      <c r="C65" s="2" t="s">
        <v>230</v>
      </c>
      <c r="D65" s="3">
        <f>VLOOKUP(B65,Sheet2!$A:$O,3,0)</f>
        <v>33000</v>
      </c>
    </row>
    <row r="66" spans="1:4">
      <c r="A66" s="7" t="s">
        <v>395</v>
      </c>
      <c r="B66" s="2">
        <v>1060421</v>
      </c>
      <c r="C66" s="2" t="s">
        <v>104</v>
      </c>
      <c r="D66" s="3">
        <f>VLOOKUP(B66,Sheet2!$A:$O,3,0)</f>
        <v>76000</v>
      </c>
    </row>
    <row r="67" spans="1:4">
      <c r="A67" s="7" t="s">
        <v>395</v>
      </c>
      <c r="B67" s="2">
        <v>1060441</v>
      </c>
      <c r="C67" s="2" t="s">
        <v>106</v>
      </c>
      <c r="D67" s="3">
        <f>VLOOKUP(B67,Sheet2!$A:$O,3,0)</f>
        <v>4500</v>
      </c>
    </row>
    <row r="68" spans="1:4">
      <c r="A68" s="7" t="s">
        <v>395</v>
      </c>
      <c r="B68" s="2">
        <v>1060451</v>
      </c>
      <c r="C68" s="2" t="s">
        <v>108</v>
      </c>
      <c r="D68" s="3">
        <f>VLOOKUP(B68,Sheet2!$A:$O,3,0)</f>
        <v>0</v>
      </c>
    </row>
    <row r="69" spans="1:4">
      <c r="A69" s="7" t="s">
        <v>395</v>
      </c>
      <c r="B69" s="2">
        <v>1070101</v>
      </c>
      <c r="C69" s="2" t="s">
        <v>110</v>
      </c>
      <c r="D69" s="3">
        <f>VLOOKUP(B69,Sheet2!$A:$O,3,0)</f>
        <v>4000</v>
      </c>
    </row>
    <row r="70" spans="1:4">
      <c r="A70" s="7" t="s">
        <v>395</v>
      </c>
      <c r="B70" s="2">
        <v>1070301</v>
      </c>
      <c r="C70" s="2" t="s">
        <v>112</v>
      </c>
      <c r="D70" s="3">
        <f>VLOOKUP(B70,Sheet2!$A:$O,3,0)</f>
        <v>35000</v>
      </c>
    </row>
    <row r="71" spans="1:4">
      <c r="A71" s="7" t="s">
        <v>395</v>
      </c>
      <c r="B71" s="2">
        <v>1070401</v>
      </c>
      <c r="C71" s="2" t="s">
        <v>114</v>
      </c>
      <c r="D71" s="3">
        <f>VLOOKUP(B71,Sheet2!$A:$O,3,0)</f>
        <v>11800</v>
      </c>
    </row>
    <row r="72" spans="1:4">
      <c r="A72" s="7" t="s">
        <v>395</v>
      </c>
      <c r="B72" s="2">
        <v>1070501</v>
      </c>
      <c r="C72" s="2" t="s">
        <v>231</v>
      </c>
      <c r="D72" s="3">
        <f>VLOOKUP(B72,Sheet2!$A:$O,3,0)</f>
        <v>5500</v>
      </c>
    </row>
    <row r="73" spans="1:4">
      <c r="A73" s="7" t="s">
        <v>395</v>
      </c>
      <c r="B73" s="2">
        <v>1070701</v>
      </c>
      <c r="C73" s="2" t="s">
        <v>118</v>
      </c>
      <c r="D73" s="3">
        <f>VLOOKUP(B73,Sheet2!$A:$O,3,0)</f>
        <v>36000</v>
      </c>
    </row>
    <row r="74" spans="1:4">
      <c r="A74" s="7" t="s">
        <v>395</v>
      </c>
      <c r="B74" s="2">
        <v>1070801</v>
      </c>
      <c r="C74" s="2" t="s">
        <v>232</v>
      </c>
      <c r="D74" s="3">
        <f>VLOOKUP(B74,Sheet2!$A:$O,3,0)</f>
        <v>35000</v>
      </c>
    </row>
    <row r="75" spans="1:4">
      <c r="A75" s="7" t="s">
        <v>395</v>
      </c>
      <c r="B75" s="2">
        <v>1080101</v>
      </c>
      <c r="C75" s="2" t="s">
        <v>120</v>
      </c>
      <c r="D75" s="3">
        <f>VLOOKUP(B75,Sheet2!$A:$O,3,0)</f>
        <v>10700</v>
      </c>
    </row>
    <row r="76" spans="1:4">
      <c r="A76" s="7" t="s">
        <v>395</v>
      </c>
      <c r="B76" s="2">
        <v>1080201</v>
      </c>
      <c r="C76" s="2" t="s">
        <v>122</v>
      </c>
      <c r="D76" s="3">
        <f>VLOOKUP(B76,Sheet2!$A:$O,3,0)</f>
        <v>614</v>
      </c>
    </row>
    <row r="77" spans="1:4">
      <c r="A77" s="7" t="s">
        <v>395</v>
      </c>
      <c r="B77" s="2">
        <v>1080301</v>
      </c>
      <c r="C77" s="2" t="s">
        <v>124</v>
      </c>
      <c r="D77" s="3">
        <f>VLOOKUP(B77,Sheet2!$A:$O,3,0)</f>
        <v>1550</v>
      </c>
    </row>
    <row r="78" spans="1:4">
      <c r="A78" s="7" t="s">
        <v>395</v>
      </c>
      <c r="B78" s="2">
        <v>1080401</v>
      </c>
      <c r="C78" s="2" t="s">
        <v>233</v>
      </c>
      <c r="D78" s="3">
        <f>VLOOKUP(B78,Sheet2!$A:$O,3,0)</f>
        <v>3400</v>
      </c>
    </row>
    <row r="79" spans="1:4">
      <c r="A79" s="7" t="s">
        <v>395</v>
      </c>
      <c r="B79" s="2">
        <v>1080411</v>
      </c>
      <c r="C79" s="2" t="s">
        <v>128</v>
      </c>
      <c r="D79" s="3">
        <f>VLOOKUP(B79,Sheet2!$A:$O,3,0)</f>
        <v>3400</v>
      </c>
    </row>
    <row r="80" spans="1:4">
      <c r="A80" s="7" t="s">
        <v>395</v>
      </c>
      <c r="B80" s="2">
        <v>1080501</v>
      </c>
      <c r="C80" s="2" t="s">
        <v>130</v>
      </c>
      <c r="D80" s="3">
        <f>VLOOKUP(B80,Sheet2!$A:$O,3,0)</f>
        <v>3800</v>
      </c>
    </row>
    <row r="81" spans="1:4">
      <c r="A81" s="7" t="s">
        <v>395</v>
      </c>
      <c r="B81" s="2">
        <v>1080602</v>
      </c>
      <c r="C81" s="2" t="s">
        <v>234</v>
      </c>
      <c r="D81" s="3">
        <f>VLOOKUP(B81,Sheet2!$A:$O,3,0)</f>
        <v>37600</v>
      </c>
    </row>
    <row r="82" spans="1:4">
      <c r="A82" s="7" t="s">
        <v>395</v>
      </c>
      <c r="B82" s="2">
        <v>1080604</v>
      </c>
      <c r="C82" s="2" t="s">
        <v>235</v>
      </c>
      <c r="D82" s="3">
        <f>VLOOKUP(B82,Sheet2!$A:$O,3,0)</f>
        <v>0</v>
      </c>
    </row>
    <row r="83" spans="1:4">
      <c r="A83" s="7" t="s">
        <v>395</v>
      </c>
      <c r="B83" s="2">
        <v>1080702</v>
      </c>
      <c r="C83" s="2" t="s">
        <v>236</v>
      </c>
      <c r="D83" s="3">
        <f>VLOOKUP(B83,Sheet2!$A:$O,3,0)</f>
        <v>42500</v>
      </c>
    </row>
    <row r="84" spans="1:4">
      <c r="A84" s="7" t="s">
        <v>395</v>
      </c>
      <c r="B84" s="2">
        <v>1080704</v>
      </c>
      <c r="C84" s="2" t="s">
        <v>237</v>
      </c>
      <c r="D84" s="3">
        <f>VLOOKUP(B84,Sheet2!$A:$O,3,0)</f>
        <v>0</v>
      </c>
    </row>
    <row r="85" spans="1:4">
      <c r="A85" s="7" t="s">
        <v>395</v>
      </c>
      <c r="B85" s="2">
        <v>1090104</v>
      </c>
      <c r="C85" s="2" t="s">
        <v>136</v>
      </c>
      <c r="D85" s="3">
        <f>VLOOKUP(B85,Sheet2!$A:$O,3,0)</f>
        <v>40000</v>
      </c>
    </row>
    <row r="86" spans="1:4">
      <c r="A86" s="7" t="s">
        <v>395</v>
      </c>
      <c r="B86" s="2">
        <v>1090112</v>
      </c>
      <c r="C86" s="2" t="s">
        <v>138</v>
      </c>
      <c r="D86" s="3">
        <f>VLOOKUP(B86,Sheet2!$A:$O,3,0)</f>
        <v>35000</v>
      </c>
    </row>
    <row r="87" spans="1:4">
      <c r="A87" s="7" t="s">
        <v>395</v>
      </c>
      <c r="B87" s="2">
        <v>1090201</v>
      </c>
      <c r="C87" s="2" t="s">
        <v>140</v>
      </c>
      <c r="D87" s="3">
        <f>VLOOKUP(B87,Sheet2!$A:$O,3,0)</f>
        <v>15800</v>
      </c>
    </row>
    <row r="88" spans="1:4">
      <c r="A88" s="7" t="s">
        <v>395</v>
      </c>
      <c r="B88" s="2">
        <v>1090202</v>
      </c>
      <c r="C88" s="2" t="s">
        <v>142</v>
      </c>
      <c r="D88" s="3">
        <f>VLOOKUP(B88,Sheet2!$A:$O,3,0)</f>
        <v>98000</v>
      </c>
    </row>
    <row r="89" spans="1:4">
      <c r="A89" s="7" t="s">
        <v>395</v>
      </c>
      <c r="B89" s="2">
        <v>1090203</v>
      </c>
      <c r="C89" s="2" t="s">
        <v>144</v>
      </c>
      <c r="D89" s="3">
        <f>VLOOKUP(B89,Sheet2!$A:$O,3,0)</f>
        <v>23000</v>
      </c>
    </row>
    <row r="90" spans="1:4">
      <c r="A90" s="7" t="s">
        <v>395</v>
      </c>
      <c r="B90" s="2">
        <v>1090211</v>
      </c>
      <c r="C90" s="2" t="s">
        <v>146</v>
      </c>
      <c r="D90" s="3">
        <f>VLOOKUP(B90,Sheet2!$A:$O,3,0)</f>
        <v>69000</v>
      </c>
    </row>
    <row r="91" spans="1:4">
      <c r="A91" s="7" t="s">
        <v>395</v>
      </c>
      <c r="B91" s="2">
        <v>1090301</v>
      </c>
      <c r="C91" s="2" t="s">
        <v>238</v>
      </c>
      <c r="D91" s="3">
        <f>VLOOKUP(B91,Sheet2!$A:$O,3,0)</f>
        <v>32000</v>
      </c>
    </row>
    <row r="92" spans="1:4">
      <c r="A92" s="7" t="s">
        <v>395</v>
      </c>
      <c r="B92" s="2">
        <v>1090311</v>
      </c>
      <c r="C92" s="2" t="s">
        <v>150</v>
      </c>
      <c r="D92" s="3">
        <f>VLOOKUP(B92,Sheet2!$A:$O,3,0)</f>
        <v>37000</v>
      </c>
    </row>
    <row r="93" spans="1:4">
      <c r="A93" s="7" t="s">
        <v>395</v>
      </c>
      <c r="B93" s="2">
        <v>1090321</v>
      </c>
      <c r="C93" s="2" t="s">
        <v>152</v>
      </c>
      <c r="D93" s="3">
        <f>VLOOKUP(B93,Sheet2!$A:$O,3,0)</f>
        <v>69000</v>
      </c>
    </row>
    <row r="94" spans="1:4">
      <c r="A94" s="7" t="s">
        <v>395</v>
      </c>
      <c r="B94" s="2">
        <v>1090401</v>
      </c>
      <c r="C94" s="2" t="s">
        <v>154</v>
      </c>
      <c r="D94" s="3">
        <f>VLOOKUP(B94,Sheet2!$A:$O,3,0)</f>
        <v>8300</v>
      </c>
    </row>
    <row r="95" spans="1:4">
      <c r="A95" s="7" t="s">
        <v>395</v>
      </c>
      <c r="B95" s="2">
        <v>1090411</v>
      </c>
      <c r="C95" s="2" t="s">
        <v>156</v>
      </c>
      <c r="D95" s="3">
        <f>VLOOKUP(B95,Sheet2!$A:$O,3,0)</f>
        <v>39000</v>
      </c>
    </row>
    <row r="96" spans="1:4">
      <c r="A96" s="7" t="s">
        <v>395</v>
      </c>
      <c r="B96" s="2">
        <v>1090421</v>
      </c>
      <c r="C96" s="2" t="s">
        <v>158</v>
      </c>
      <c r="D96" s="3">
        <f>VLOOKUP(B96,Sheet2!$A:$O,3,0)</f>
        <v>36000</v>
      </c>
    </row>
    <row r="97" spans="1:4">
      <c r="A97" s="7" t="s">
        <v>395</v>
      </c>
      <c r="B97" s="2">
        <v>1090551</v>
      </c>
      <c r="C97" s="2" t="s">
        <v>239</v>
      </c>
      <c r="D97" s="3">
        <f>VLOOKUP(B97,Sheet2!$A:$O,3,0)</f>
        <v>4900</v>
      </c>
    </row>
    <row r="98" spans="1:4">
      <c r="A98" s="7" t="s">
        <v>395</v>
      </c>
      <c r="B98" s="2">
        <v>1090602</v>
      </c>
      <c r="C98" s="2" t="s">
        <v>162</v>
      </c>
      <c r="D98" s="3">
        <f>VLOOKUP(B98,Sheet2!$A:$O,3,0)</f>
        <v>5130</v>
      </c>
    </row>
    <row r="99" spans="1:4">
      <c r="A99" s="7" t="s">
        <v>395</v>
      </c>
      <c r="B99" s="2">
        <v>1090611</v>
      </c>
      <c r="C99" s="2" t="s">
        <v>164</v>
      </c>
      <c r="D99" s="3">
        <f>VLOOKUP(B99,Sheet2!$A:$O,3,0)</f>
        <v>4300</v>
      </c>
    </row>
    <row r="100" spans="1:4">
      <c r="A100" s="7" t="s">
        <v>395</v>
      </c>
      <c r="B100" s="2">
        <v>1090701</v>
      </c>
      <c r="C100" s="2" t="s">
        <v>166</v>
      </c>
      <c r="D100" s="3">
        <f>VLOOKUP(B100,Sheet2!$A:$O,3,0)</f>
        <v>21000</v>
      </c>
    </row>
    <row r="101" spans="1:4">
      <c r="A101" s="7" t="s">
        <v>395</v>
      </c>
      <c r="B101" s="2">
        <v>1090901</v>
      </c>
      <c r="C101" s="2" t="s">
        <v>168</v>
      </c>
      <c r="D101" s="3">
        <f>VLOOKUP(B101,Sheet2!$A:$O,3,0)</f>
        <v>4300</v>
      </c>
    </row>
    <row r="102" spans="1:4">
      <c r="A102" s="7" t="s">
        <v>395</v>
      </c>
      <c r="B102" s="2">
        <v>1091001</v>
      </c>
      <c r="C102" s="2" t="s">
        <v>170</v>
      </c>
      <c r="D102" s="3">
        <f>VLOOKUP(B102,Sheet2!$A:$O,3,0)</f>
        <v>6500</v>
      </c>
    </row>
    <row r="103" spans="1:4">
      <c r="A103" s="7" t="s">
        <v>395</v>
      </c>
      <c r="B103" s="2">
        <v>1091002</v>
      </c>
      <c r="C103" s="2" t="s">
        <v>172</v>
      </c>
      <c r="D103" s="3">
        <f>VLOOKUP(B103,Sheet2!$A:$O,3,0)</f>
        <v>5216</v>
      </c>
    </row>
    <row r="104" spans="1:4">
      <c r="A104" s="7" t="s">
        <v>395</v>
      </c>
      <c r="B104" s="2">
        <v>1091003</v>
      </c>
      <c r="C104" s="2" t="s">
        <v>174</v>
      </c>
      <c r="D104" s="3">
        <f>VLOOKUP(B104,Sheet2!$A:$O,3,0)</f>
        <v>8535</v>
      </c>
    </row>
    <row r="105" spans="1:4">
      <c r="A105" s="7" t="s">
        <v>395</v>
      </c>
      <c r="B105" s="2">
        <v>1091004</v>
      </c>
      <c r="C105" s="2" t="s">
        <v>240</v>
      </c>
      <c r="D105" s="3">
        <f>VLOOKUP(B105,Sheet2!$A:$O,3,0)</f>
        <v>0</v>
      </c>
    </row>
    <row r="106" spans="1:4">
      <c r="A106" s="7" t="s">
        <v>395</v>
      </c>
      <c r="B106" s="2">
        <v>1091005</v>
      </c>
      <c r="C106" s="2" t="s">
        <v>241</v>
      </c>
      <c r="D106" s="3">
        <f>VLOOKUP(B106,Sheet2!$A:$O,3,0)</f>
        <v>0</v>
      </c>
    </row>
    <row r="107" spans="1:4">
      <c r="A107" s="7" t="s">
        <v>395</v>
      </c>
      <c r="B107" s="2">
        <v>1091006</v>
      </c>
      <c r="C107" s="2" t="s">
        <v>242</v>
      </c>
      <c r="D107" s="3">
        <f>VLOOKUP(B107,Sheet2!$A:$O,3,0)</f>
        <v>0</v>
      </c>
    </row>
    <row r="108" spans="1:4">
      <c r="A108" s="7" t="s">
        <v>395</v>
      </c>
      <c r="B108" s="2">
        <v>1091007</v>
      </c>
      <c r="C108" s="2" t="s">
        <v>243</v>
      </c>
      <c r="D108" s="3">
        <f>VLOOKUP(B108,Sheet2!$A:$O,3,0)</f>
        <v>2640</v>
      </c>
    </row>
    <row r="109" spans="1:4">
      <c r="A109" s="7" t="s">
        <v>395</v>
      </c>
      <c r="B109" s="2">
        <v>1091008</v>
      </c>
      <c r="C109" s="2" t="s">
        <v>176</v>
      </c>
      <c r="D109" s="3">
        <f>VLOOKUP(B109,Sheet2!$A:$O,3,0)</f>
        <v>0</v>
      </c>
    </row>
    <row r="110" spans="1:4">
      <c r="A110" s="7" t="s">
        <v>395</v>
      </c>
      <c r="B110" s="2">
        <v>1091009</v>
      </c>
      <c r="C110" s="2" t="s">
        <v>178</v>
      </c>
      <c r="D110" s="3">
        <f>VLOOKUP(B110,Sheet2!$A:$O,3,0)</f>
        <v>0</v>
      </c>
    </row>
    <row r="111" spans="1:4">
      <c r="A111" s="7" t="s">
        <v>395</v>
      </c>
      <c r="B111" s="2">
        <v>1091010</v>
      </c>
      <c r="C111" s="2" t="s">
        <v>180</v>
      </c>
      <c r="D111" s="3">
        <f>VLOOKUP(B111,Sheet2!$A:$O,3,0)</f>
        <v>27000</v>
      </c>
    </row>
    <row r="112" spans="1:4">
      <c r="A112" s="7" t="s">
        <v>395</v>
      </c>
      <c r="B112" s="2">
        <v>1091011</v>
      </c>
      <c r="C112" s="2" t="s">
        <v>182</v>
      </c>
      <c r="D112" s="3">
        <f>VLOOKUP(B112,Sheet2!$A:$O,3,0)</f>
        <v>33000</v>
      </c>
    </row>
    <row r="113" spans="1:4">
      <c r="A113" s="7" t="s">
        <v>395</v>
      </c>
      <c r="B113" s="2">
        <v>1091012</v>
      </c>
      <c r="C113" s="2" t="s">
        <v>184</v>
      </c>
      <c r="D113" s="3">
        <f>VLOOKUP(B113,Sheet2!$A:$O,3,0)</f>
        <v>47000</v>
      </c>
    </row>
    <row r="114" spans="1:4">
      <c r="A114" s="7" t="s">
        <v>395</v>
      </c>
      <c r="B114" s="2">
        <v>1091013</v>
      </c>
      <c r="C114" s="2" t="s">
        <v>186</v>
      </c>
      <c r="D114" s="3">
        <f>VLOOKUP(B114,Sheet2!$A:$O,3,0)</f>
        <v>33000</v>
      </c>
    </row>
    <row r="115" spans="1:4">
      <c r="A115" s="7" t="s">
        <v>395</v>
      </c>
      <c r="B115" s="2">
        <v>1091014</v>
      </c>
      <c r="C115" s="2" t="s">
        <v>244</v>
      </c>
      <c r="D115" s="3">
        <f>VLOOKUP(B115,Sheet2!$A:$O,3,0)</f>
        <v>6961</v>
      </c>
    </row>
    <row r="116" spans="1:4">
      <c r="A116" s="7" t="s">
        <v>395</v>
      </c>
      <c r="B116" s="2">
        <v>1091015</v>
      </c>
      <c r="C116" s="2" t="s">
        <v>245</v>
      </c>
      <c r="D116" s="3">
        <f>VLOOKUP(B116,Sheet2!$A:$O,3,0)</f>
        <v>25490</v>
      </c>
    </row>
    <row r="117" spans="1:4">
      <c r="A117" s="7" t="s">
        <v>395</v>
      </c>
      <c r="B117" s="2">
        <v>1091016</v>
      </c>
      <c r="C117" s="2" t="s">
        <v>246</v>
      </c>
      <c r="D117" s="3">
        <f>VLOOKUP(B117,Sheet2!$A:$O,3,0)</f>
        <v>50187</v>
      </c>
    </row>
    <row r="118" spans="1:4">
      <c r="A118" s="7" t="s">
        <v>395</v>
      </c>
      <c r="B118" s="2">
        <v>1091017</v>
      </c>
      <c r="C118" s="2" t="s">
        <v>247</v>
      </c>
      <c r="D118" s="3">
        <f>VLOOKUP(B118,Sheet2!$A:$O,3,0)</f>
        <v>0</v>
      </c>
    </row>
    <row r="119" spans="1:4">
      <c r="A119" s="7" t="s">
        <v>395</v>
      </c>
      <c r="B119" s="2">
        <v>1091018</v>
      </c>
      <c r="C119" s="2" t="s">
        <v>248</v>
      </c>
      <c r="D119" s="3">
        <f>VLOOKUP(B119,Sheet2!$A:$O,3,0)</f>
        <v>0</v>
      </c>
    </row>
    <row r="120" spans="1:4">
      <c r="A120" s="7" t="s">
        <v>395</v>
      </c>
      <c r="B120" s="2">
        <v>1091019</v>
      </c>
      <c r="C120" s="2" t="s">
        <v>249</v>
      </c>
      <c r="D120" s="3">
        <f>VLOOKUP(B120,Sheet2!$A:$O,3,0)</f>
        <v>53387</v>
      </c>
    </row>
    <row r="121" spans="1:4">
      <c r="A121" s="7" t="s">
        <v>395</v>
      </c>
      <c r="B121" s="2">
        <v>1091020</v>
      </c>
      <c r="C121" s="2" t="s">
        <v>250</v>
      </c>
      <c r="D121" s="3">
        <f>VLOOKUP(B121,Sheet2!$A:$O,3,0)</f>
        <v>62745</v>
      </c>
    </row>
    <row r="122" spans="1:4">
      <c r="A122" s="7" t="s">
        <v>395</v>
      </c>
      <c r="B122" s="2">
        <v>1091021</v>
      </c>
      <c r="C122" s="2" t="s">
        <v>251</v>
      </c>
      <c r="D122" s="3">
        <f>VLOOKUP(B122,Sheet2!$A:$O,3,0)</f>
        <v>53922</v>
      </c>
    </row>
    <row r="123" spans="1:4">
      <c r="A123" s="7" t="s">
        <v>395</v>
      </c>
      <c r="B123" s="2">
        <v>1091022</v>
      </c>
      <c r="C123" s="2" t="s">
        <v>252</v>
      </c>
      <c r="D123" s="3">
        <f>VLOOKUP(B123,Sheet2!$A:$O,3,0)</f>
        <v>3235</v>
      </c>
    </row>
    <row r="124" spans="1:4">
      <c r="A124" s="7" t="s">
        <v>395</v>
      </c>
      <c r="B124" s="2">
        <v>1091023</v>
      </c>
      <c r="C124" s="2" t="s">
        <v>253</v>
      </c>
      <c r="D124" s="3">
        <f>VLOOKUP(B124,Sheet2!$A:$O,3,0)</f>
        <v>4412</v>
      </c>
    </row>
    <row r="125" spans="1:4">
      <c r="A125" s="7" t="s">
        <v>395</v>
      </c>
      <c r="B125" s="2">
        <v>1091024</v>
      </c>
      <c r="C125" s="2" t="s">
        <v>254</v>
      </c>
      <c r="D125" s="3">
        <f>VLOOKUP(B125,Sheet2!$A:$O,3,0)</f>
        <v>3922</v>
      </c>
    </row>
    <row r="126" spans="1:4">
      <c r="A126" s="7" t="s">
        <v>395</v>
      </c>
      <c r="B126" s="2">
        <v>1091025</v>
      </c>
      <c r="C126" s="2" t="s">
        <v>255</v>
      </c>
      <c r="D126" s="3">
        <f>VLOOKUP(B126,Sheet2!$A:$O,3,0)</f>
        <v>7843</v>
      </c>
    </row>
    <row r="127" spans="1:4">
      <c r="A127" s="7" t="s">
        <v>395</v>
      </c>
      <c r="B127" s="2">
        <v>1091026</v>
      </c>
      <c r="C127" s="2" t="s">
        <v>256</v>
      </c>
      <c r="D127" s="3">
        <f>VLOOKUP(B127,Sheet2!$A:$O,3,0)</f>
        <v>30196</v>
      </c>
    </row>
    <row r="128" spans="1:4">
      <c r="A128" s="7" t="s">
        <v>395</v>
      </c>
      <c r="B128" s="2">
        <v>1600101</v>
      </c>
      <c r="C128" s="2" t="s">
        <v>188</v>
      </c>
      <c r="D128" s="3">
        <f>VLOOKUP(B128,Sheet2!$A:$O,3,0)</f>
        <v>2206</v>
      </c>
    </row>
    <row r="129" spans="1:4">
      <c r="A129" s="7" t="s">
        <v>395</v>
      </c>
      <c r="B129" s="2">
        <v>1600102</v>
      </c>
      <c r="C129" s="2" t="s">
        <v>257</v>
      </c>
      <c r="D129" s="3">
        <f>VLOOKUP(B129,Sheet2!$A:$O,3,0)</f>
        <v>34314</v>
      </c>
    </row>
    <row r="130" spans="1:4">
      <c r="A130" s="7" t="s">
        <v>395</v>
      </c>
      <c r="B130" s="2">
        <v>1600103</v>
      </c>
      <c r="C130" s="2" t="s">
        <v>258</v>
      </c>
      <c r="D130" s="3">
        <f>VLOOKUP(B130,Sheet2!$A:$O,3,0)</f>
        <v>19800</v>
      </c>
    </row>
    <row r="131" spans="1:4">
      <c r="A131" s="7" t="s">
        <v>395</v>
      </c>
      <c r="B131" s="2">
        <v>1600104</v>
      </c>
      <c r="C131" s="2" t="s">
        <v>259</v>
      </c>
      <c r="D131" s="3">
        <f>VLOOKUP(B131,Sheet2!$A:$O,3,0)</f>
        <v>52500</v>
      </c>
    </row>
    <row r="132" spans="1:4">
      <c r="A132" s="7" t="s">
        <v>395</v>
      </c>
      <c r="B132" s="2">
        <v>1600105</v>
      </c>
      <c r="C132" s="2" t="s">
        <v>260</v>
      </c>
      <c r="D132" s="3">
        <f>VLOOKUP(B132,Sheet2!$A:$O,3,0)</f>
        <v>73000</v>
      </c>
    </row>
    <row r="133" spans="1:4">
      <c r="A133" s="7" t="s">
        <v>395</v>
      </c>
      <c r="B133" s="2">
        <v>1600106</v>
      </c>
      <c r="C133" s="2" t="s">
        <v>261</v>
      </c>
      <c r="D133" s="3">
        <f>VLOOKUP(B133,Sheet2!$A:$O,3,0)</f>
        <v>66667</v>
      </c>
    </row>
    <row r="134" spans="1:4">
      <c r="A134" s="7" t="s">
        <v>395</v>
      </c>
      <c r="B134" s="2">
        <v>1600107</v>
      </c>
      <c r="C134" s="2" t="s">
        <v>262</v>
      </c>
      <c r="D134" s="3">
        <f>VLOOKUP(B134,Sheet2!$A:$O,3,0)</f>
        <v>67647</v>
      </c>
    </row>
    <row r="135" spans="1:4">
      <c r="A135" s="7" t="s">
        <v>395</v>
      </c>
      <c r="B135" s="2">
        <v>1600108</v>
      </c>
      <c r="C135" s="2" t="s">
        <v>263</v>
      </c>
      <c r="D135" s="3">
        <f>VLOOKUP(B135,Sheet2!$A:$O,3,0)</f>
        <v>67647</v>
      </c>
    </row>
    <row r="136" spans="1:4">
      <c r="A136" s="7" t="s">
        <v>395</v>
      </c>
      <c r="B136" s="2">
        <v>1600109</v>
      </c>
      <c r="C136" s="2" t="s">
        <v>264</v>
      </c>
      <c r="D136" s="3">
        <f>VLOOKUP(B136,Sheet2!$A:$O,3,0)</f>
        <v>3529</v>
      </c>
    </row>
    <row r="137" spans="1:4">
      <c r="A137" s="7" t="s">
        <v>395</v>
      </c>
      <c r="B137" s="2">
        <v>1600110</v>
      </c>
      <c r="C137" s="2" t="s">
        <v>265</v>
      </c>
      <c r="D137" s="3">
        <f>VLOOKUP(B137,Sheet2!$A:$O,3,0)</f>
        <v>7917</v>
      </c>
    </row>
    <row r="138" spans="1:4">
      <c r="A138" s="7" t="s">
        <v>395</v>
      </c>
      <c r="B138" s="2">
        <v>1600111</v>
      </c>
      <c r="C138" s="2" t="s">
        <v>266</v>
      </c>
      <c r="D138" s="3">
        <f>VLOOKUP(B138,Sheet2!$A:$O,3,0)</f>
        <v>2266</v>
      </c>
    </row>
    <row r="139" spans="1:4">
      <c r="A139" s="7" t="s">
        <v>395</v>
      </c>
      <c r="B139" s="2">
        <v>1600112</v>
      </c>
      <c r="C139" s="2" t="s">
        <v>190</v>
      </c>
      <c r="D139" s="3">
        <f>VLOOKUP(B139,Sheet2!$A:$O,3,0)</f>
        <v>4800</v>
      </c>
    </row>
    <row r="140" spans="1:4">
      <c r="A140" s="7" t="s">
        <v>395</v>
      </c>
      <c r="B140" s="2">
        <v>1600113</v>
      </c>
      <c r="C140" s="2" t="s">
        <v>267</v>
      </c>
      <c r="D140" s="3">
        <f>VLOOKUP(B140,Sheet2!$A:$O,3,0)</f>
        <v>0</v>
      </c>
    </row>
    <row r="141" spans="1:4">
      <c r="A141" s="7" t="s">
        <v>395</v>
      </c>
      <c r="B141" s="2">
        <v>1600114</v>
      </c>
      <c r="C141" s="2" t="s">
        <v>268</v>
      </c>
      <c r="D141" s="3">
        <f>VLOOKUP(B141,Sheet2!$A:$O,3,0)</f>
        <v>9930</v>
      </c>
    </row>
    <row r="142" spans="1:4">
      <c r="A142" s="7" t="s">
        <v>395</v>
      </c>
      <c r="B142" s="2">
        <v>1700001</v>
      </c>
      <c r="C142" s="2" t="s">
        <v>269</v>
      </c>
      <c r="D142" s="3">
        <f>VLOOKUP(B142,Sheet2!$A:$O,3,0)</f>
        <v>3922</v>
      </c>
    </row>
    <row r="143" spans="1:4">
      <c r="A143" s="7" t="s">
        <v>395</v>
      </c>
      <c r="B143" s="2">
        <v>1700002</v>
      </c>
      <c r="C143" s="2" t="s">
        <v>270</v>
      </c>
      <c r="D143" s="3">
        <f>VLOOKUP(B143,Sheet2!$A:$O,3,0)</f>
        <v>3726</v>
      </c>
    </row>
    <row r="144" spans="1:4">
      <c r="A144" s="7" t="s">
        <v>395</v>
      </c>
      <c r="B144" s="2">
        <v>1700003</v>
      </c>
      <c r="C144" s="2" t="s">
        <v>271</v>
      </c>
      <c r="D144" s="3">
        <f>VLOOKUP(B144,Sheet2!$A:$O,3,0)</f>
        <v>4412</v>
      </c>
    </row>
    <row r="145" spans="1:4">
      <c r="A145" s="7" t="s">
        <v>395</v>
      </c>
      <c r="B145" s="2">
        <v>1700004</v>
      </c>
      <c r="C145" s="2" t="s">
        <v>272</v>
      </c>
      <c r="D145" s="3">
        <f>VLOOKUP(B145,Sheet2!$A:$O,3,0)</f>
        <v>13137</v>
      </c>
    </row>
    <row r="146" spans="1:4">
      <c r="A146" s="7" t="s">
        <v>395</v>
      </c>
      <c r="B146" s="2">
        <v>1700005</v>
      </c>
      <c r="C146" s="2" t="s">
        <v>192</v>
      </c>
      <c r="D146" s="3">
        <f>VLOOKUP(B146,Sheet2!$A:$O,3,0)</f>
        <v>1667</v>
      </c>
    </row>
    <row r="147" spans="1:4">
      <c r="A147" s="7" t="s">
        <v>395</v>
      </c>
      <c r="B147" s="2">
        <v>1700006</v>
      </c>
      <c r="C147" s="2" t="s">
        <v>273</v>
      </c>
      <c r="D147" s="3">
        <f>VLOOKUP(B147,Sheet2!$A:$O,3,0)</f>
        <v>6000</v>
      </c>
    </row>
    <row r="148" spans="1:4">
      <c r="A148" s="7" t="s">
        <v>395</v>
      </c>
      <c r="B148" s="2">
        <v>1700007</v>
      </c>
      <c r="C148" s="2" t="s">
        <v>274</v>
      </c>
      <c r="D148" s="3">
        <f>VLOOKUP(B148,Sheet2!$A:$O,3,0)</f>
        <v>0</v>
      </c>
    </row>
    <row r="149" spans="1:4">
      <c r="A149" s="7" t="s">
        <v>395</v>
      </c>
      <c r="B149" s="2">
        <v>1700008</v>
      </c>
      <c r="C149" s="2" t="s">
        <v>275</v>
      </c>
      <c r="D149" s="3">
        <f>VLOOKUP(B149,Sheet2!$A:$O,3,0)</f>
        <v>0</v>
      </c>
    </row>
    <row r="150" spans="1:4">
      <c r="A150" s="7" t="s">
        <v>395</v>
      </c>
      <c r="B150" s="2">
        <v>1700009</v>
      </c>
      <c r="C150" s="2" t="s">
        <v>276</v>
      </c>
      <c r="D150" s="3">
        <f>VLOOKUP(B150,Sheet2!$A:$O,3,0)</f>
        <v>0</v>
      </c>
    </row>
    <row r="151" spans="1:4">
      <c r="A151" s="7" t="s">
        <v>395</v>
      </c>
      <c r="B151" s="2">
        <v>1700010</v>
      </c>
      <c r="C151" s="2" t="s">
        <v>277</v>
      </c>
      <c r="D151" s="3">
        <f>VLOOKUP(B151,Sheet2!$A:$O,3,0)</f>
        <v>4530</v>
      </c>
    </row>
    <row r="152" spans="1:4">
      <c r="A152" s="7" t="s">
        <v>395</v>
      </c>
      <c r="B152" s="2">
        <v>1700011</v>
      </c>
      <c r="C152" s="2" t="s">
        <v>278</v>
      </c>
      <c r="D152" s="3">
        <f>VLOOKUP(B152,Sheet2!$A:$O,3,0)</f>
        <v>0</v>
      </c>
    </row>
    <row r="153" spans="1:4">
      <c r="A153" s="7" t="s">
        <v>395</v>
      </c>
      <c r="B153" s="2">
        <v>1700012</v>
      </c>
      <c r="C153" s="2" t="s">
        <v>279</v>
      </c>
      <c r="D153" s="3">
        <f>VLOOKUP(B153,Sheet2!$A:$O,3,0)</f>
        <v>12255</v>
      </c>
    </row>
    <row r="154" spans="1:4">
      <c r="A154" s="7" t="s">
        <v>395</v>
      </c>
      <c r="B154" s="2">
        <v>1700013</v>
      </c>
      <c r="C154" s="2" t="s">
        <v>280</v>
      </c>
      <c r="D154" s="3">
        <f>VLOOKUP(B154,Sheet2!$A:$O,3,0)</f>
        <v>657</v>
      </c>
    </row>
    <row r="155" spans="1:4">
      <c r="A155" s="7" t="s">
        <v>395</v>
      </c>
      <c r="B155" s="2">
        <v>1700014</v>
      </c>
      <c r="C155" s="2" t="s">
        <v>194</v>
      </c>
      <c r="D155" s="3">
        <f>VLOOKUP(B155,Sheet2!$A:$O,3,0)</f>
        <v>2255</v>
      </c>
    </row>
    <row r="156" spans="1:4">
      <c r="A156" s="7" t="s">
        <v>395</v>
      </c>
      <c r="B156" s="2">
        <v>1700015</v>
      </c>
      <c r="C156" s="2" t="s">
        <v>281</v>
      </c>
      <c r="D156" s="3">
        <f>VLOOKUP(B156,Sheet2!$A:$O,3,0)</f>
        <v>2300</v>
      </c>
    </row>
    <row r="157" spans="1:4">
      <c r="A157" s="7" t="s">
        <v>395</v>
      </c>
      <c r="B157" s="2">
        <v>1700016</v>
      </c>
      <c r="C157" s="2" t="s">
        <v>282</v>
      </c>
      <c r="D157" s="3">
        <f>VLOOKUP(B157,Sheet2!$A:$O,3,0)</f>
        <v>5177</v>
      </c>
    </row>
    <row r="158" spans="1:4">
      <c r="A158" s="7" t="s">
        <v>395</v>
      </c>
      <c r="B158" s="2">
        <v>1700017</v>
      </c>
      <c r="C158" s="2" t="s">
        <v>283</v>
      </c>
      <c r="D158" s="3">
        <f>VLOOKUP(B158,Sheet2!$A:$O,3,0)</f>
        <v>10530</v>
      </c>
    </row>
    <row r="159" spans="1:4">
      <c r="A159" s="7" t="s">
        <v>395</v>
      </c>
      <c r="B159" s="2">
        <v>1700018</v>
      </c>
      <c r="C159" s="2" t="s">
        <v>284</v>
      </c>
      <c r="D159" s="3">
        <f>VLOOKUP(B159,Sheet2!$A:$O,3,0)</f>
        <v>4439</v>
      </c>
    </row>
    <row r="160" spans="1:4">
      <c r="A160" s="7" t="s">
        <v>395</v>
      </c>
      <c r="B160" s="2">
        <v>1700019</v>
      </c>
      <c r="C160" s="2" t="s">
        <v>285</v>
      </c>
      <c r="D160" s="3">
        <f>VLOOKUP(B160,Sheet2!$A:$O,3,0)</f>
        <v>0</v>
      </c>
    </row>
    <row r="161" spans="1:4">
      <c r="A161" s="7" t="s">
        <v>395</v>
      </c>
      <c r="B161" s="2">
        <v>1700020</v>
      </c>
      <c r="C161" s="2" t="s">
        <v>286</v>
      </c>
      <c r="D161" s="3">
        <f>VLOOKUP(B161,Sheet2!$A:$O,3,0)</f>
        <v>50211</v>
      </c>
    </row>
    <row r="162" spans="1:4">
      <c r="A162" s="7" t="s">
        <v>395</v>
      </c>
      <c r="B162" s="2">
        <v>1700021</v>
      </c>
      <c r="C162" s="2" t="s">
        <v>287</v>
      </c>
      <c r="D162" s="3">
        <f>VLOOKUP(B162,Sheet2!$A:$O,3,0)</f>
        <v>73804</v>
      </c>
    </row>
    <row r="163" spans="1:4">
      <c r="A163" s="7" t="s">
        <v>395</v>
      </c>
      <c r="B163" s="2">
        <v>1700022</v>
      </c>
      <c r="C163" s="2" t="s">
        <v>288</v>
      </c>
      <c r="D163" s="3">
        <f>VLOOKUP(B163,Sheet2!$A:$O,3,0)</f>
        <v>26628</v>
      </c>
    </row>
    <row r="164" spans="1:4">
      <c r="A164" s="7" t="s">
        <v>395</v>
      </c>
      <c r="B164" s="2">
        <v>1700023</v>
      </c>
      <c r="C164" s="2" t="s">
        <v>289</v>
      </c>
      <c r="D164" s="3">
        <f>VLOOKUP(B164,Sheet2!$A:$O,3,0)</f>
        <v>4824</v>
      </c>
    </row>
    <row r="165" spans="1:4">
      <c r="A165" s="7" t="s">
        <v>395</v>
      </c>
      <c r="B165" s="2">
        <v>1700024</v>
      </c>
      <c r="C165" s="2" t="s">
        <v>290</v>
      </c>
      <c r="D165" s="3">
        <f>VLOOKUP(B165,Sheet2!$A:$O,3,0)</f>
        <v>0</v>
      </c>
    </row>
    <row r="166" spans="1:4">
      <c r="A166" s="7" t="s">
        <v>395</v>
      </c>
      <c r="B166" s="2">
        <v>1700025</v>
      </c>
      <c r="C166" s="2" t="s">
        <v>291</v>
      </c>
      <c r="D166" s="3">
        <f>VLOOKUP(B166,Sheet2!$A:$O,3,0)</f>
        <v>0</v>
      </c>
    </row>
    <row r="167" spans="1:4">
      <c r="A167" s="7" t="s">
        <v>395</v>
      </c>
      <c r="B167" s="2">
        <v>1700026</v>
      </c>
      <c r="C167" s="2" t="s">
        <v>292</v>
      </c>
      <c r="D167" s="3">
        <f>VLOOKUP(B167,Sheet2!$A:$O,3,0)</f>
        <v>3725</v>
      </c>
    </row>
    <row r="168" spans="1:4">
      <c r="A168" s="7" t="s">
        <v>395</v>
      </c>
      <c r="B168" s="2">
        <v>1700027</v>
      </c>
      <c r="C168" s="2" t="s">
        <v>293</v>
      </c>
      <c r="D168" s="3">
        <f>VLOOKUP(B168,Sheet2!$A:$O,3,0)</f>
        <v>4902</v>
      </c>
    </row>
    <row r="169" spans="1:4">
      <c r="A169" s="7" t="s">
        <v>395</v>
      </c>
      <c r="B169" s="2">
        <v>1700028</v>
      </c>
      <c r="C169" s="2" t="s">
        <v>294</v>
      </c>
      <c r="D169" s="3">
        <f>VLOOKUP(B169,Sheet2!$A:$O,3,0)</f>
        <v>9500</v>
      </c>
    </row>
    <row r="170" spans="1:4">
      <c r="A170" s="7" t="s">
        <v>395</v>
      </c>
      <c r="B170" s="2">
        <v>1700029</v>
      </c>
      <c r="C170" s="2" t="s">
        <v>295</v>
      </c>
      <c r="D170" s="3">
        <f>VLOOKUP(B170,Sheet2!$A:$O,3,0)</f>
        <v>10670</v>
      </c>
    </row>
    <row r="171" spans="1:4">
      <c r="A171" s="7" t="s">
        <v>395</v>
      </c>
      <c r="B171" s="2">
        <v>1700030</v>
      </c>
      <c r="C171" s="2" t="s">
        <v>296</v>
      </c>
      <c r="D171" s="3">
        <f>VLOOKUP(B171,Sheet2!$A:$O,3,0)</f>
        <v>12720</v>
      </c>
    </row>
    <row r="172" spans="1:4">
      <c r="A172" s="7" t="s">
        <v>395</v>
      </c>
      <c r="B172" s="2">
        <v>1700031</v>
      </c>
      <c r="C172" s="2" t="s">
        <v>196</v>
      </c>
      <c r="D172" s="3">
        <f>VLOOKUP(B172,Sheet2!$A:$O,3,0)</f>
        <v>1961</v>
      </c>
    </row>
    <row r="173" spans="1:4">
      <c r="A173" s="7" t="s">
        <v>395</v>
      </c>
      <c r="B173" s="2">
        <v>1700032</v>
      </c>
      <c r="C173" s="2" t="s">
        <v>297</v>
      </c>
      <c r="D173" s="3">
        <f>VLOOKUP(B173,Sheet2!$A:$O,3,0)</f>
        <v>0</v>
      </c>
    </row>
    <row r="174" spans="1:4">
      <c r="A174" s="7" t="s">
        <v>395</v>
      </c>
      <c r="B174" s="2">
        <v>1700033</v>
      </c>
      <c r="C174" s="2" t="s">
        <v>298</v>
      </c>
      <c r="D174" s="3">
        <f>VLOOKUP(B174,Sheet2!$A:$O,3,0)</f>
        <v>0</v>
      </c>
    </row>
    <row r="175" spans="1:4">
      <c r="A175" s="7" t="s">
        <v>395</v>
      </c>
      <c r="B175" s="2">
        <v>1700034</v>
      </c>
      <c r="C175" s="2" t="s">
        <v>299</v>
      </c>
      <c r="D175" s="3">
        <f>VLOOKUP(B175,Sheet2!$A:$O,3,0)</f>
        <v>15125</v>
      </c>
    </row>
    <row r="176" spans="1:4">
      <c r="A176" s="7" t="s">
        <v>395</v>
      </c>
      <c r="B176" s="2">
        <v>1700035</v>
      </c>
      <c r="C176" s="2" t="s">
        <v>300</v>
      </c>
      <c r="D176" s="3">
        <f>VLOOKUP(B176,Sheet2!$A:$O,3,0)</f>
        <v>34000</v>
      </c>
    </row>
    <row r="177" spans="1:4">
      <c r="A177" s="7" t="s">
        <v>395</v>
      </c>
      <c r="B177" s="2">
        <v>1700036</v>
      </c>
      <c r="C177" s="2" t="s">
        <v>301</v>
      </c>
      <c r="D177" s="3">
        <f>VLOOKUP(B177,Sheet2!$A:$O,3,0)</f>
        <v>4000</v>
      </c>
    </row>
    <row r="178" spans="1:4">
      <c r="A178" s="7" t="s">
        <v>395</v>
      </c>
      <c r="B178" s="2">
        <v>1700037</v>
      </c>
      <c r="C178" s="2" t="s">
        <v>302</v>
      </c>
      <c r="D178" s="3">
        <f>VLOOKUP(B178,Sheet2!$A:$O,3,0)</f>
        <v>7200</v>
      </c>
    </row>
    <row r="179" spans="1:4">
      <c r="A179" s="7" t="s">
        <v>395</v>
      </c>
      <c r="B179" s="2">
        <v>1700038</v>
      </c>
      <c r="C179" s="2" t="s">
        <v>303</v>
      </c>
      <c r="D179" s="3">
        <f>VLOOKUP(B179,Sheet2!$A:$O,3,0)</f>
        <v>2441</v>
      </c>
    </row>
    <row r="180" spans="1:4">
      <c r="A180" s="7" t="s">
        <v>395</v>
      </c>
      <c r="B180" s="2">
        <v>1700039</v>
      </c>
      <c r="C180" s="2" t="s">
        <v>304</v>
      </c>
      <c r="D180" s="3">
        <f>VLOOKUP(B180,Sheet2!$A:$O,3,0)</f>
        <v>2000</v>
      </c>
    </row>
    <row r="181" spans="1:4">
      <c r="A181" s="7" t="s">
        <v>395</v>
      </c>
      <c r="B181" s="2">
        <v>1700040</v>
      </c>
      <c r="C181" s="2" t="s">
        <v>305</v>
      </c>
      <c r="D181" s="3">
        <f>VLOOKUP(B181,Sheet2!$A:$O,3,0)</f>
        <v>1967</v>
      </c>
    </row>
    <row r="182" spans="1:4">
      <c r="A182" s="7" t="s">
        <v>395</v>
      </c>
      <c r="B182" s="2">
        <v>1700041</v>
      </c>
      <c r="C182" s="2" t="s">
        <v>306</v>
      </c>
      <c r="D182" s="3">
        <f>VLOOKUP(B182,Sheet2!$A:$O,3,0)</f>
        <v>3000</v>
      </c>
    </row>
    <row r="183" spans="1:4">
      <c r="A183" s="7" t="s">
        <v>395</v>
      </c>
      <c r="B183" s="2">
        <v>1700042</v>
      </c>
      <c r="C183" s="2" t="s">
        <v>307</v>
      </c>
      <c r="D183" s="3">
        <f>VLOOKUP(B183,Sheet2!$A:$O,3,0)</f>
        <v>3163</v>
      </c>
    </row>
    <row r="184" spans="1:4">
      <c r="A184" s="7" t="s">
        <v>395</v>
      </c>
      <c r="B184" s="2">
        <v>1700043</v>
      </c>
      <c r="C184" s="2" t="s">
        <v>308</v>
      </c>
      <c r="D184" s="3">
        <f>VLOOKUP(B184,Sheet2!$A:$O,3,0)</f>
        <v>4931</v>
      </c>
    </row>
    <row r="185" spans="1:4">
      <c r="A185" s="7" t="s">
        <v>395</v>
      </c>
      <c r="B185" s="2">
        <v>1700044</v>
      </c>
      <c r="C185" s="2" t="s">
        <v>309</v>
      </c>
      <c r="D185" s="3">
        <f>VLOOKUP(B185,Sheet2!$A:$O,3,0)</f>
        <v>7000</v>
      </c>
    </row>
    <row r="186" spans="1:4">
      <c r="A186" s="7" t="s">
        <v>395</v>
      </c>
      <c r="B186" s="2">
        <v>1700045</v>
      </c>
      <c r="C186" s="2" t="s">
        <v>310</v>
      </c>
      <c r="D186" s="3">
        <f>VLOOKUP(B186,Sheet2!$A:$O,3,0)</f>
        <v>4382</v>
      </c>
    </row>
    <row r="187" spans="1:4">
      <c r="A187" s="7" t="s">
        <v>395</v>
      </c>
      <c r="B187" s="2">
        <v>1700046</v>
      </c>
      <c r="C187" s="2" t="s">
        <v>311</v>
      </c>
      <c r="D187" s="3">
        <f>VLOOKUP(B187,Sheet2!$A:$O,3,0)</f>
        <v>6176</v>
      </c>
    </row>
    <row r="188" spans="1:4">
      <c r="A188" s="7" t="s">
        <v>395</v>
      </c>
      <c r="B188" s="2">
        <v>1700047</v>
      </c>
      <c r="C188" s="2" t="s">
        <v>312</v>
      </c>
      <c r="D188" s="3">
        <f>VLOOKUP(B188,Sheet2!$A:$O,3,0)</f>
        <v>25000</v>
      </c>
    </row>
    <row r="189" spans="1:4">
      <c r="A189" s="7" t="s">
        <v>395</v>
      </c>
      <c r="B189" s="2">
        <v>1700048</v>
      </c>
      <c r="C189" s="2" t="s">
        <v>313</v>
      </c>
      <c r="D189" s="3">
        <f>VLOOKUP(B189,Sheet2!$A:$O,3,0)</f>
        <v>13330</v>
      </c>
    </row>
    <row r="190" spans="1:4">
      <c r="A190" s="7" t="s">
        <v>395</v>
      </c>
      <c r="B190" s="2">
        <v>1700049</v>
      </c>
      <c r="C190" s="2" t="s">
        <v>314</v>
      </c>
      <c r="D190" s="3">
        <f>VLOOKUP(B190,Sheet2!$A:$O,3,0)</f>
        <v>5785</v>
      </c>
    </row>
    <row r="191" spans="1:4">
      <c r="A191" s="7" t="s">
        <v>395</v>
      </c>
      <c r="B191" s="2">
        <v>1700050</v>
      </c>
      <c r="C191" s="2" t="s">
        <v>315</v>
      </c>
      <c r="D191" s="3">
        <f>VLOOKUP(B191,Sheet2!$A:$O,3,0)</f>
        <v>39000</v>
      </c>
    </row>
    <row r="192" spans="1:4">
      <c r="A192" s="7" t="s">
        <v>395</v>
      </c>
      <c r="B192" s="2">
        <v>1700051</v>
      </c>
      <c r="C192" s="2" t="s">
        <v>316</v>
      </c>
      <c r="D192" s="3">
        <f>VLOOKUP(B192,Sheet2!$A:$O,3,0)</f>
        <v>11500</v>
      </c>
    </row>
    <row r="193" spans="1:4">
      <c r="A193" s="7" t="s">
        <v>395</v>
      </c>
      <c r="B193" s="2">
        <v>1700052</v>
      </c>
      <c r="C193" s="2" t="s">
        <v>317</v>
      </c>
      <c r="D193" s="3">
        <f>VLOOKUP(B193,Sheet2!$A:$O,3,0)</f>
        <v>3444</v>
      </c>
    </row>
    <row r="194" spans="1:4">
      <c r="A194" s="7" t="s">
        <v>395</v>
      </c>
      <c r="B194" s="2">
        <v>1700053</v>
      </c>
      <c r="C194" s="2" t="s">
        <v>318</v>
      </c>
      <c r="D194" s="3">
        <f>VLOOKUP(B194,Sheet2!$A:$O,3,0)</f>
        <v>15530</v>
      </c>
    </row>
    <row r="195" spans="1:4">
      <c r="A195" s="7" t="s">
        <v>395</v>
      </c>
      <c r="B195" s="2">
        <v>1700054</v>
      </c>
      <c r="C195" s="2" t="s">
        <v>319</v>
      </c>
      <c r="D195" s="3">
        <f>VLOOKUP(B195,Sheet2!$A:$O,3,0)</f>
        <v>11670</v>
      </c>
    </row>
    <row r="196" spans="1:4">
      <c r="A196" s="7" t="s">
        <v>395</v>
      </c>
      <c r="B196" s="2">
        <v>1700055</v>
      </c>
      <c r="C196" s="2" t="s">
        <v>320</v>
      </c>
      <c r="D196" s="3">
        <f>VLOOKUP(B196,Sheet2!$A:$O,3,0)</f>
        <v>11940</v>
      </c>
    </row>
    <row r="197" spans="1:4">
      <c r="A197" s="7" t="s">
        <v>395</v>
      </c>
      <c r="B197" s="2">
        <v>1700056</v>
      </c>
      <c r="C197" s="2" t="s">
        <v>321</v>
      </c>
      <c r="D197" s="3">
        <f>VLOOKUP(B197,Sheet2!$A:$O,3,0)</f>
        <v>6123</v>
      </c>
    </row>
    <row r="198" spans="1:4">
      <c r="A198" s="7" t="s">
        <v>395</v>
      </c>
      <c r="B198" s="2">
        <v>1700057</v>
      </c>
      <c r="C198" s="2" t="s">
        <v>322</v>
      </c>
      <c r="D198" s="3">
        <f>VLOOKUP(B198,Sheet2!$A:$O,3,0)</f>
        <v>2098</v>
      </c>
    </row>
    <row r="199" spans="1:4">
      <c r="A199" s="7" t="s">
        <v>395</v>
      </c>
      <c r="B199" s="2">
        <v>1700058</v>
      </c>
      <c r="C199" s="2" t="s">
        <v>323</v>
      </c>
      <c r="D199" s="3">
        <f>VLOOKUP(B199,Sheet2!$A:$O,3,0)</f>
        <v>5800</v>
      </c>
    </row>
    <row r="200" spans="1:4">
      <c r="A200" s="7" t="s">
        <v>395</v>
      </c>
      <c r="B200" s="2">
        <v>1700059</v>
      </c>
      <c r="C200" s="2" t="s">
        <v>324</v>
      </c>
      <c r="D200" s="3">
        <f>VLOOKUP(B200,Sheet2!$A:$O,3,0)</f>
        <v>27667</v>
      </c>
    </row>
    <row r="201" spans="1:4">
      <c r="A201" s="7" t="s">
        <v>395</v>
      </c>
      <c r="B201" s="2">
        <v>1700060</v>
      </c>
      <c r="C201" s="2" t="s">
        <v>325</v>
      </c>
      <c r="D201" s="3">
        <f>VLOOKUP(B201,Sheet2!$A:$O,3,0)</f>
        <v>8245</v>
      </c>
    </row>
    <row r="202" spans="1:4">
      <c r="A202" s="7" t="s">
        <v>395</v>
      </c>
      <c r="B202" s="2">
        <v>1700061</v>
      </c>
      <c r="C202" s="2" t="s">
        <v>326</v>
      </c>
      <c r="D202" s="3">
        <f>VLOOKUP(B202,Sheet2!$A:$O,3,0)</f>
        <v>8920</v>
      </c>
    </row>
    <row r="203" spans="1:4">
      <c r="A203" s="7" t="s">
        <v>395</v>
      </c>
      <c r="B203" s="2">
        <v>1700062</v>
      </c>
      <c r="C203" s="2" t="s">
        <v>327</v>
      </c>
      <c r="D203" s="3">
        <f>VLOOKUP(B203,Sheet2!$A:$O,3,0)</f>
        <v>10520</v>
      </c>
    </row>
    <row r="204" spans="1:4">
      <c r="A204" s="7" t="s">
        <v>395</v>
      </c>
      <c r="B204" s="2">
        <v>1700063</v>
      </c>
      <c r="C204" s="2" t="s">
        <v>328</v>
      </c>
      <c r="D204" s="3">
        <f>VLOOKUP(B204,Sheet2!$A:$O,3,0)</f>
        <v>10550</v>
      </c>
    </row>
    <row r="205" spans="1:4">
      <c r="A205" s="7" t="s">
        <v>395</v>
      </c>
      <c r="B205" s="2">
        <v>1700064</v>
      </c>
      <c r="C205" s="2" t="s">
        <v>329</v>
      </c>
      <c r="D205" s="3">
        <f>VLOOKUP(B205,Sheet2!$A:$O,3,0)</f>
        <v>11060</v>
      </c>
    </row>
    <row r="206" spans="1:4">
      <c r="A206" s="7" t="s">
        <v>395</v>
      </c>
      <c r="B206" s="2">
        <v>1700065</v>
      </c>
      <c r="C206" s="2" t="s">
        <v>330</v>
      </c>
      <c r="D206" s="3">
        <f>VLOOKUP(B206,Sheet2!$A:$O,3,0)</f>
        <v>12760</v>
      </c>
    </row>
    <row r="207" spans="1:4">
      <c r="A207" s="7" t="s">
        <v>395</v>
      </c>
      <c r="B207" s="2">
        <v>1700066</v>
      </c>
      <c r="C207" s="2" t="s">
        <v>331</v>
      </c>
      <c r="D207" s="3">
        <f>VLOOKUP(B207,Sheet2!$A:$O,3,0)</f>
        <v>13200</v>
      </c>
    </row>
    <row r="208" spans="1:4">
      <c r="A208" s="7" t="s">
        <v>395</v>
      </c>
      <c r="B208" s="2">
        <v>1700067</v>
      </c>
      <c r="C208" s="2" t="s">
        <v>332</v>
      </c>
      <c r="D208" s="3">
        <f>VLOOKUP(B208,Sheet2!$A:$O,3,0)</f>
        <v>10720</v>
      </c>
    </row>
    <row r="209" spans="1:4">
      <c r="A209" s="7" t="s">
        <v>395</v>
      </c>
      <c r="B209" s="2">
        <v>1700068</v>
      </c>
      <c r="C209" s="2" t="s">
        <v>333</v>
      </c>
      <c r="D209" s="3">
        <f>VLOOKUP(B209,Sheet2!$A:$O,3,0)</f>
        <v>12720</v>
      </c>
    </row>
    <row r="210" spans="1:4">
      <c r="A210" s="7" t="s">
        <v>395</v>
      </c>
      <c r="B210" s="2">
        <v>1700069</v>
      </c>
      <c r="C210" s="2" t="s">
        <v>334</v>
      </c>
      <c r="D210" s="3">
        <f>VLOOKUP(B210,Sheet2!$A:$O,3,0)</f>
        <v>14000</v>
      </c>
    </row>
    <row r="211" spans="1:4">
      <c r="A211" s="7" t="s">
        <v>395</v>
      </c>
      <c r="B211" s="2">
        <v>1700070</v>
      </c>
      <c r="C211" s="2" t="s">
        <v>335</v>
      </c>
      <c r="D211" s="3">
        <f>VLOOKUP(B211,Sheet2!$A:$O,3,0)</f>
        <v>1618</v>
      </c>
    </row>
    <row r="212" spans="1:4">
      <c r="A212" s="7" t="s">
        <v>395</v>
      </c>
      <c r="B212" s="2">
        <v>1700071</v>
      </c>
      <c r="C212" s="2" t="s">
        <v>336</v>
      </c>
      <c r="D212" s="3">
        <f>VLOOKUP(B212,Sheet2!$A:$O,3,0)</f>
        <v>12190</v>
      </c>
    </row>
    <row r="213" spans="1:4">
      <c r="A213" s="7" t="s">
        <v>395</v>
      </c>
      <c r="B213" s="2">
        <v>1700072</v>
      </c>
      <c r="C213" s="2" t="s">
        <v>337</v>
      </c>
      <c r="D213" s="3">
        <f>VLOOKUP(B213,Sheet2!$A:$O,3,0)</f>
        <v>10180</v>
      </c>
    </row>
    <row r="214" spans="1:4">
      <c r="A214" s="7" t="s">
        <v>395</v>
      </c>
      <c r="B214" s="2">
        <v>1700073</v>
      </c>
      <c r="C214" s="2" t="s">
        <v>338</v>
      </c>
      <c r="D214" s="3">
        <f>VLOOKUP(B214,Sheet2!$A:$O,3,0)</f>
        <v>9020</v>
      </c>
    </row>
    <row r="215" spans="1:4">
      <c r="A215" s="7" t="s">
        <v>395</v>
      </c>
      <c r="B215" s="2">
        <v>1700076</v>
      </c>
      <c r="C215" s="2" t="s">
        <v>339</v>
      </c>
      <c r="D215" s="3">
        <f>VLOOKUP(B215,Sheet2!$A:$O,3,0)</f>
        <v>2907</v>
      </c>
    </row>
    <row r="216" spans="1:4">
      <c r="A216" s="7" t="s">
        <v>395</v>
      </c>
      <c r="B216" s="2">
        <v>1700077</v>
      </c>
      <c r="C216" s="2" t="s">
        <v>340</v>
      </c>
      <c r="D216" s="3">
        <f>VLOOKUP(B216,Sheet2!$A:$O,3,0)</f>
        <v>2708</v>
      </c>
    </row>
    <row r="217" spans="1:4">
      <c r="A217" s="7" t="s">
        <v>395</v>
      </c>
      <c r="B217" s="2">
        <v>1700078</v>
      </c>
      <c r="C217" s="2" t="s">
        <v>341</v>
      </c>
      <c r="D217" s="3">
        <f>VLOOKUP(B217,Sheet2!$A:$O,3,0)</f>
        <v>4735</v>
      </c>
    </row>
    <row r="218" spans="1:4">
      <c r="A218" s="7" t="s">
        <v>395</v>
      </c>
      <c r="B218" s="2">
        <v>1700080</v>
      </c>
      <c r="C218" s="2" t="s">
        <v>342</v>
      </c>
      <c r="D218" s="3">
        <f>VLOOKUP(B218,Sheet2!$A:$O,3,0)</f>
        <v>3529</v>
      </c>
    </row>
    <row r="219" spans="1:4">
      <c r="A219" s="7" t="s">
        <v>395</v>
      </c>
      <c r="B219" s="2">
        <v>1700083</v>
      </c>
      <c r="C219" s="2" t="s">
        <v>343</v>
      </c>
      <c r="D219" s="3">
        <f>VLOOKUP(B219,Sheet2!$A:$O,3,0)</f>
        <v>4435</v>
      </c>
    </row>
    <row r="220" spans="1:4">
      <c r="A220" s="7" t="s">
        <v>395</v>
      </c>
      <c r="B220" s="2">
        <v>1700084</v>
      </c>
      <c r="C220" s="2" t="s">
        <v>344</v>
      </c>
      <c r="D220" s="3">
        <f>VLOOKUP(B220,Sheet2!$A:$O,3,0)</f>
        <v>11092</v>
      </c>
    </row>
    <row r="221" spans="1:4">
      <c r="A221" s="7" t="s">
        <v>395</v>
      </c>
      <c r="B221" s="2">
        <v>1700085</v>
      </c>
      <c r="C221" s="2" t="s">
        <v>345</v>
      </c>
      <c r="D221" s="3">
        <f>VLOOKUP(B221,Sheet2!$A:$O,3,0)</f>
        <v>8460</v>
      </c>
    </row>
    <row r="222" spans="1:4">
      <c r="A222" s="7" t="s">
        <v>395</v>
      </c>
      <c r="B222" s="2">
        <v>1700086</v>
      </c>
      <c r="C222" s="2" t="s">
        <v>346</v>
      </c>
      <c r="D222" s="3">
        <f>VLOOKUP(B222,Sheet2!$A:$O,3,0)</f>
        <v>2657</v>
      </c>
    </row>
    <row r="223" spans="1:4">
      <c r="A223" s="7" t="s">
        <v>395</v>
      </c>
      <c r="B223" s="2">
        <v>1700087</v>
      </c>
      <c r="C223" s="2" t="s">
        <v>347</v>
      </c>
      <c r="D223" s="3">
        <f>VLOOKUP(B223,Sheet2!$A:$O,3,0)</f>
        <v>4660</v>
      </c>
    </row>
    <row r="224" spans="1:4">
      <c r="A224" s="7" t="s">
        <v>395</v>
      </c>
      <c r="B224" s="2">
        <v>1700088</v>
      </c>
      <c r="C224" s="2" t="s">
        <v>348</v>
      </c>
      <c r="D224" s="3">
        <f>VLOOKUP(B224,Sheet2!$A:$O,3,0)</f>
        <v>15500</v>
      </c>
    </row>
    <row r="225" spans="1:4">
      <c r="A225" s="7" t="s">
        <v>395</v>
      </c>
      <c r="B225" s="2">
        <v>1700089</v>
      </c>
      <c r="C225" s="2" t="s">
        <v>349</v>
      </c>
      <c r="D225" s="3">
        <f>VLOOKUP(B225,Sheet2!$A:$O,3,0)</f>
        <v>18500</v>
      </c>
    </row>
    <row r="226" spans="1:4">
      <c r="A226" s="7" t="s">
        <v>395</v>
      </c>
      <c r="B226" s="2">
        <v>1700090</v>
      </c>
      <c r="C226" s="2" t="s">
        <v>350</v>
      </c>
      <c r="D226" s="3">
        <f>VLOOKUP(B226,Sheet2!$A:$O,3,0)</f>
        <v>28088</v>
      </c>
    </row>
    <row r="227" spans="1:4">
      <c r="A227" s="7" t="s">
        <v>395</v>
      </c>
      <c r="B227" s="2">
        <v>1700091</v>
      </c>
      <c r="C227" s="2" t="s">
        <v>351</v>
      </c>
      <c r="D227" s="3">
        <f>VLOOKUP(B227,Sheet2!$A:$O,3,0)</f>
        <v>16745</v>
      </c>
    </row>
    <row r="228" spans="1:4">
      <c r="A228" s="7" t="s">
        <v>395</v>
      </c>
      <c r="B228" s="2">
        <v>1700092</v>
      </c>
      <c r="C228" s="2" t="s">
        <v>352</v>
      </c>
      <c r="D228" s="3">
        <f>VLOOKUP(B228,Sheet2!$A:$O,3,0)</f>
        <v>2343</v>
      </c>
    </row>
    <row r="229" spans="1:4">
      <c r="A229" s="7" t="s">
        <v>395</v>
      </c>
      <c r="B229" s="2">
        <v>1700093</v>
      </c>
      <c r="C229" s="2" t="s">
        <v>353</v>
      </c>
      <c r="D229" s="3">
        <f>VLOOKUP(B229,Sheet2!$A:$O,3,0)</f>
        <v>21470</v>
      </c>
    </row>
    <row r="230" spans="1:4">
      <c r="A230" s="7" t="s">
        <v>395</v>
      </c>
      <c r="B230" s="2">
        <v>1700094</v>
      </c>
      <c r="C230" s="2" t="s">
        <v>354</v>
      </c>
      <c r="D230" s="3">
        <f>VLOOKUP(B230,Sheet2!$A:$O,3,0)</f>
        <v>13529</v>
      </c>
    </row>
    <row r="231" spans="1:4">
      <c r="A231" s="7" t="s">
        <v>395</v>
      </c>
      <c r="B231" s="2">
        <v>1700095</v>
      </c>
      <c r="C231" s="2" t="s">
        <v>355</v>
      </c>
      <c r="D231" s="3">
        <f>VLOOKUP(B231,Sheet2!$A:$O,3,0)</f>
        <v>4500</v>
      </c>
    </row>
    <row r="232" spans="1:4">
      <c r="A232" s="7" t="s">
        <v>395</v>
      </c>
      <c r="B232" s="2">
        <v>1700096</v>
      </c>
      <c r="C232" s="2" t="s">
        <v>356</v>
      </c>
      <c r="D232" s="3">
        <f>VLOOKUP(B232,Sheet2!$A:$O,3,0)</f>
        <v>24510</v>
      </c>
    </row>
    <row r="233" spans="1:4">
      <c r="A233" s="7" t="s">
        <v>395</v>
      </c>
      <c r="B233" s="2">
        <v>1700097</v>
      </c>
      <c r="C233" s="2" t="s">
        <v>357</v>
      </c>
      <c r="D233" s="3">
        <f>VLOOKUP(B233,Sheet2!$A:$O,3,0)</f>
        <v>19608</v>
      </c>
    </row>
    <row r="234" spans="1:4">
      <c r="A234" s="7" t="s">
        <v>395</v>
      </c>
      <c r="B234" s="2">
        <v>1700098</v>
      </c>
      <c r="C234" s="2" t="s">
        <v>358</v>
      </c>
      <c r="D234" s="3">
        <f>VLOOKUP(B234,Sheet2!$A:$O,3,0)</f>
        <v>19608</v>
      </c>
    </row>
    <row r="235" spans="1:4">
      <c r="A235" s="7" t="s">
        <v>395</v>
      </c>
      <c r="B235" s="2">
        <v>1700099</v>
      </c>
      <c r="C235" s="2" t="s">
        <v>359</v>
      </c>
      <c r="D235" s="3">
        <f>VLOOKUP(B235,Sheet2!$A:$O,3,0)</f>
        <v>9000</v>
      </c>
    </row>
    <row r="236" spans="1:4">
      <c r="A236" s="7" t="s">
        <v>395</v>
      </c>
      <c r="B236" s="2">
        <v>1700100</v>
      </c>
      <c r="C236" s="2" t="s">
        <v>360</v>
      </c>
      <c r="D236" s="3">
        <f>VLOOKUP(B236,Sheet2!$A:$O,3,0)</f>
        <v>2280</v>
      </c>
    </row>
    <row r="237" spans="1:4">
      <c r="A237" s="7" t="s">
        <v>395</v>
      </c>
      <c r="B237" s="2">
        <v>1700101</v>
      </c>
      <c r="C237" s="2" t="s">
        <v>361</v>
      </c>
      <c r="D237" s="3">
        <f>VLOOKUP(B237,Sheet2!$A:$O,3,0)</f>
        <v>7451</v>
      </c>
    </row>
    <row r="238" spans="1:4">
      <c r="A238" s="7" t="s">
        <v>395</v>
      </c>
      <c r="B238" s="2">
        <v>1700102</v>
      </c>
      <c r="C238" s="2" t="s">
        <v>362</v>
      </c>
      <c r="D238" s="3">
        <f>VLOOKUP(B238,Sheet2!$A:$O,3,0)</f>
        <v>40197</v>
      </c>
    </row>
    <row r="239" spans="1:4">
      <c r="A239" s="7" t="s">
        <v>395</v>
      </c>
      <c r="B239" s="2">
        <v>1700103</v>
      </c>
      <c r="C239" s="2" t="s">
        <v>363</v>
      </c>
      <c r="D239" s="3">
        <f>VLOOKUP(B239,Sheet2!$A:$O,3,0)</f>
        <v>9000</v>
      </c>
    </row>
    <row r="240" spans="1:4">
      <c r="A240" s="7" t="s">
        <v>395</v>
      </c>
      <c r="B240" s="2">
        <v>1700104</v>
      </c>
      <c r="C240" s="2" t="s">
        <v>364</v>
      </c>
      <c r="D240" s="3">
        <f>VLOOKUP(B240,Sheet2!$A:$O,3,0)</f>
        <v>36380</v>
      </c>
    </row>
    <row r="241" spans="1:4">
      <c r="A241" s="7" t="s">
        <v>395</v>
      </c>
      <c r="B241" s="2">
        <v>1700105</v>
      </c>
      <c r="C241" s="2" t="s">
        <v>365</v>
      </c>
      <c r="D241" s="3">
        <f>VLOOKUP(B241,Sheet2!$A:$O,3,0)</f>
        <v>10588</v>
      </c>
    </row>
    <row r="242" spans="1:4">
      <c r="A242" s="7" t="s">
        <v>395</v>
      </c>
      <c r="B242" s="2">
        <v>1700106</v>
      </c>
      <c r="C242" s="2" t="s">
        <v>366</v>
      </c>
      <c r="D242" s="3">
        <f>VLOOKUP(B242,Sheet2!$A:$O,3,0)</f>
        <v>14020</v>
      </c>
    </row>
    <row r="243" spans="1:4">
      <c r="A243" s="7" t="s">
        <v>395</v>
      </c>
      <c r="B243" s="2">
        <v>1700107</v>
      </c>
      <c r="C243" s="2" t="s">
        <v>367</v>
      </c>
      <c r="D243" s="3">
        <f>VLOOKUP(B243,Sheet2!$A:$O,3,0)</f>
        <v>9020</v>
      </c>
    </row>
    <row r="244" spans="1:4">
      <c r="A244" s="7" t="s">
        <v>395</v>
      </c>
      <c r="B244" s="2">
        <v>1800002</v>
      </c>
      <c r="C244" s="2" t="s">
        <v>368</v>
      </c>
      <c r="D244" s="3">
        <f>VLOOKUP(B244,Sheet2!$A:$O,3,0)</f>
        <v>9520</v>
      </c>
    </row>
    <row r="245" spans="1:4">
      <c r="A245" s="7" t="s">
        <v>395</v>
      </c>
      <c r="B245" s="2">
        <v>1800004</v>
      </c>
      <c r="C245" s="2" t="s">
        <v>369</v>
      </c>
      <c r="D245" s="3">
        <f>VLOOKUP(B245,Sheet2!$A:$O,3,0)</f>
        <v>0</v>
      </c>
    </row>
    <row r="246" spans="1:4">
      <c r="A246" s="7" t="s">
        <v>395</v>
      </c>
      <c r="B246" s="2">
        <v>1800005</v>
      </c>
      <c r="C246" s="2" t="s">
        <v>370</v>
      </c>
      <c r="D246" s="3">
        <f>VLOOKUP(B246,Sheet2!$A:$O,3,0)</f>
        <v>0</v>
      </c>
    </row>
    <row r="247" spans="1:4">
      <c r="A247" s="7" t="s">
        <v>395</v>
      </c>
      <c r="B247" s="2">
        <v>1800006</v>
      </c>
      <c r="C247" s="2" t="s">
        <v>371</v>
      </c>
      <c r="D247" s="3">
        <f>VLOOKUP(B247,Sheet2!$A:$O,3,0)</f>
        <v>0</v>
      </c>
    </row>
    <row r="248" spans="1:4">
      <c r="A248" s="7" t="s">
        <v>395</v>
      </c>
      <c r="B248" s="2">
        <v>1800007</v>
      </c>
      <c r="C248" s="2" t="s">
        <v>372</v>
      </c>
      <c r="D248" s="3">
        <f>VLOOKUP(B248,Sheet2!$A:$O,3,0)</f>
        <v>10000</v>
      </c>
    </row>
    <row r="249" spans="1:4">
      <c r="A249" s="7" t="s">
        <v>395</v>
      </c>
      <c r="B249" s="2">
        <v>1800008</v>
      </c>
      <c r="C249" s="2" t="s">
        <v>373</v>
      </c>
      <c r="D249" s="3">
        <f>VLOOKUP(B249,Sheet2!$A:$O,3,0)</f>
        <v>10110</v>
      </c>
    </row>
    <row r="250" spans="1:4">
      <c r="A250" s="7" t="s">
        <v>395</v>
      </c>
      <c r="B250" s="2">
        <v>1800009</v>
      </c>
      <c r="C250" s="2" t="s">
        <v>374</v>
      </c>
      <c r="D250" s="3">
        <f>VLOOKUP(B250,Sheet2!$A:$O,3,0)</f>
        <v>11800</v>
      </c>
    </row>
    <row r="251" spans="1:4">
      <c r="A251" s="7" t="s">
        <v>395</v>
      </c>
      <c r="B251" s="2">
        <v>1800010</v>
      </c>
      <c r="C251" s="2" t="s">
        <v>375</v>
      </c>
      <c r="D251" s="3">
        <f>VLOOKUP(B251,Sheet2!$A:$O,3,0)</f>
        <v>5784</v>
      </c>
    </row>
    <row r="252" spans="1:4">
      <c r="A252" s="7" t="s">
        <v>395</v>
      </c>
      <c r="B252" s="2">
        <v>1800011</v>
      </c>
      <c r="C252" s="2" t="s">
        <v>376</v>
      </c>
      <c r="D252" s="3">
        <f>VLOOKUP(B252,Sheet2!$A:$O,3,0)</f>
        <v>9363</v>
      </c>
    </row>
    <row r="253" spans="1:4">
      <c r="A253" s="7" t="s">
        <v>395</v>
      </c>
      <c r="B253" s="2">
        <v>1800012</v>
      </c>
      <c r="C253" s="2" t="s">
        <v>377</v>
      </c>
      <c r="D253" s="3">
        <f>VLOOKUP(B253,Sheet2!$A:$O,3,0)</f>
        <v>5725</v>
      </c>
    </row>
    <row r="254" spans="1:4">
      <c r="A254" s="7" t="s">
        <v>395</v>
      </c>
      <c r="B254" s="2">
        <v>1800013</v>
      </c>
      <c r="C254" s="2" t="s">
        <v>378</v>
      </c>
      <c r="D254" s="3">
        <f>VLOOKUP(B254,Sheet2!$A:$O,3,0)</f>
        <v>49100</v>
      </c>
    </row>
    <row r="255" spans="1:4">
      <c r="A255" s="7" t="s">
        <v>395</v>
      </c>
      <c r="B255" s="2">
        <v>1800014</v>
      </c>
      <c r="C255" s="2" t="s">
        <v>379</v>
      </c>
      <c r="D255" s="3">
        <f>VLOOKUP(B255,Sheet2!$A:$O,3,0)</f>
        <v>70000</v>
      </c>
    </row>
    <row r="256" spans="1:4">
      <c r="A256" s="7" t="s">
        <v>395</v>
      </c>
      <c r="B256" s="2">
        <v>1800015</v>
      </c>
      <c r="C256" s="2" t="s">
        <v>380</v>
      </c>
      <c r="D256" s="3">
        <f>VLOOKUP(B256,Sheet2!$A:$O,3,0)</f>
        <v>66700</v>
      </c>
    </row>
    <row r="257" spans="1:4">
      <c r="A257" s="7" t="s">
        <v>395</v>
      </c>
      <c r="B257" s="2">
        <v>1900013</v>
      </c>
      <c r="C257" s="2" t="s">
        <v>381</v>
      </c>
      <c r="D257" s="3">
        <f>VLOOKUP(B257,Sheet2!$A:$O,3,0)</f>
        <v>0</v>
      </c>
    </row>
    <row r="258" spans="1:4">
      <c r="A258" s="7" t="s">
        <v>395</v>
      </c>
      <c r="B258" s="2">
        <v>1900018</v>
      </c>
      <c r="C258" s="2" t="s">
        <v>382</v>
      </c>
      <c r="D258" s="3">
        <f>VLOOKUP(B258,Sheet2!$A:$O,3,0)</f>
        <v>0</v>
      </c>
    </row>
    <row r="259" spans="1:4">
      <c r="A259" s="7" t="s">
        <v>397</v>
      </c>
      <c r="B259" s="2">
        <v>1010101</v>
      </c>
      <c r="C259" s="2" t="s">
        <v>5</v>
      </c>
      <c r="D259" s="3">
        <f>VLOOKUP(B259,Sheet2!$A:$O,4,0)</f>
        <v>698</v>
      </c>
    </row>
    <row r="260" spans="1:4">
      <c r="A260" s="7" t="s">
        <v>397</v>
      </c>
      <c r="B260" s="2">
        <v>1010111</v>
      </c>
      <c r="C260" s="2" t="s">
        <v>9</v>
      </c>
      <c r="D260" s="3">
        <f>VLOOKUP(B260,Sheet2!$A:$O,4,0)</f>
        <v>18300</v>
      </c>
    </row>
    <row r="261" spans="1:4">
      <c r="A261" s="7" t="s">
        <v>397</v>
      </c>
      <c r="B261" s="2">
        <v>1010201</v>
      </c>
      <c r="C261" s="2" t="s">
        <v>11</v>
      </c>
      <c r="D261" s="3">
        <f>VLOOKUP(B261,Sheet2!$A:$O,4,0)</f>
        <v>882</v>
      </c>
    </row>
    <row r="262" spans="1:4">
      <c r="A262" s="7" t="s">
        <v>397</v>
      </c>
      <c r="B262" s="2">
        <v>1010300</v>
      </c>
      <c r="C262" s="2" t="s">
        <v>213</v>
      </c>
      <c r="D262" s="3">
        <f>VLOOKUP(B262,Sheet2!$A:$O,4,0)</f>
        <v>5490</v>
      </c>
    </row>
    <row r="263" spans="1:4">
      <c r="A263" s="7" t="s">
        <v>397</v>
      </c>
      <c r="B263" s="2">
        <v>1010301</v>
      </c>
      <c r="C263" s="2" t="s">
        <v>214</v>
      </c>
      <c r="D263" s="3">
        <f>VLOOKUP(B263,Sheet2!$A:$O,4,0)</f>
        <v>5882</v>
      </c>
    </row>
    <row r="264" spans="1:4">
      <c r="A264" s="7" t="s">
        <v>397</v>
      </c>
      <c r="B264" s="2">
        <v>1010302</v>
      </c>
      <c r="C264" s="2" t="s">
        <v>16</v>
      </c>
      <c r="D264" s="3">
        <f>VLOOKUP(B264,Sheet2!$A:$O,4,0)</f>
        <v>4216</v>
      </c>
    </row>
    <row r="265" spans="1:4">
      <c r="A265" s="7" t="s">
        <v>397</v>
      </c>
      <c r="B265" s="2">
        <v>1010303</v>
      </c>
      <c r="C265" s="2" t="s">
        <v>18</v>
      </c>
      <c r="D265" s="3">
        <f>VLOOKUP(B265,Sheet2!$A:$O,4,0)</f>
        <v>882</v>
      </c>
    </row>
    <row r="266" spans="1:4">
      <c r="A266" s="7" t="s">
        <v>397</v>
      </c>
      <c r="B266" s="2">
        <v>1010304</v>
      </c>
      <c r="C266" s="2" t="s">
        <v>215</v>
      </c>
      <c r="D266" s="3">
        <f>VLOOKUP(B266,Sheet2!$A:$O,4,0)</f>
        <v>1226</v>
      </c>
    </row>
    <row r="267" spans="1:4">
      <c r="A267" s="7" t="s">
        <v>397</v>
      </c>
      <c r="B267" s="2">
        <v>1010401</v>
      </c>
      <c r="C267" s="2" t="s">
        <v>20</v>
      </c>
      <c r="D267" s="3">
        <f>VLOOKUP(B267,Sheet2!$A:$O,4,0)</f>
        <v>3627</v>
      </c>
    </row>
    <row r="268" spans="1:4">
      <c r="A268" s="7" t="s">
        <v>397</v>
      </c>
      <c r="B268" s="2">
        <v>1010405</v>
      </c>
      <c r="C268" s="2" t="s">
        <v>22</v>
      </c>
      <c r="D268" s="3">
        <f>VLOOKUP(B268,Sheet2!$A:$O,4,0)</f>
        <v>9975</v>
      </c>
    </row>
    <row r="269" spans="1:4">
      <c r="A269" s="7" t="s">
        <v>397</v>
      </c>
      <c r="B269" s="2">
        <v>1010501</v>
      </c>
      <c r="C269" s="2" t="s">
        <v>24</v>
      </c>
      <c r="D269" s="3">
        <f>VLOOKUP(B269,Sheet2!$A:$O,4,0)</f>
        <v>980</v>
      </c>
    </row>
    <row r="270" spans="1:4">
      <c r="A270" s="7" t="s">
        <v>397</v>
      </c>
      <c r="B270" s="2">
        <v>1010502</v>
      </c>
      <c r="C270" s="2" t="s">
        <v>216</v>
      </c>
      <c r="D270" s="3">
        <f>VLOOKUP(B270,Sheet2!$A:$O,4,0)</f>
        <v>0</v>
      </c>
    </row>
    <row r="271" spans="1:4">
      <c r="A271" s="7" t="s">
        <v>397</v>
      </c>
      <c r="B271" s="2">
        <v>1010601</v>
      </c>
      <c r="C271" s="2" t="s">
        <v>26</v>
      </c>
      <c r="D271" s="3">
        <f>VLOOKUP(B271,Sheet2!$A:$O,4,0)</f>
        <v>0</v>
      </c>
    </row>
    <row r="272" spans="1:4">
      <c r="A272" s="7" t="s">
        <v>397</v>
      </c>
      <c r="B272" s="2">
        <v>1010701</v>
      </c>
      <c r="C272" s="2" t="s">
        <v>28</v>
      </c>
      <c r="D272" s="3">
        <f>VLOOKUP(B272,Sheet2!$A:$O,4,0)</f>
        <v>686</v>
      </c>
    </row>
    <row r="273" spans="1:4">
      <c r="A273" s="7" t="s">
        <v>397</v>
      </c>
      <c r="B273" s="2">
        <v>1010801</v>
      </c>
      <c r="C273" s="2" t="s">
        <v>30</v>
      </c>
      <c r="D273" s="3">
        <f>VLOOKUP(B273,Sheet2!$A:$O,4,0)</f>
        <v>7157</v>
      </c>
    </row>
    <row r="274" spans="1:4">
      <c r="A274" s="7" t="s">
        <v>397</v>
      </c>
      <c r="B274" s="2">
        <v>1010901</v>
      </c>
      <c r="C274" s="2" t="s">
        <v>32</v>
      </c>
      <c r="D274" s="3">
        <f>VLOOKUP(B274,Sheet2!$A:$O,4,0)</f>
        <v>4804</v>
      </c>
    </row>
    <row r="275" spans="1:4">
      <c r="A275" s="7" t="s">
        <v>397</v>
      </c>
      <c r="B275" s="2">
        <v>1020101</v>
      </c>
      <c r="C275" s="2" t="s">
        <v>34</v>
      </c>
      <c r="D275" s="3">
        <f>VLOOKUP(B275,Sheet2!$A:$O,4,0)</f>
        <v>15196</v>
      </c>
    </row>
    <row r="276" spans="1:4">
      <c r="A276" s="7" t="s">
        <v>397</v>
      </c>
      <c r="B276" s="2">
        <v>1020201</v>
      </c>
      <c r="C276" s="2" t="s">
        <v>217</v>
      </c>
      <c r="D276" s="3">
        <f>VLOOKUP(B276,Sheet2!$A:$O,4,0)</f>
        <v>5600</v>
      </c>
    </row>
    <row r="277" spans="1:4">
      <c r="A277" s="7" t="s">
        <v>397</v>
      </c>
      <c r="B277" s="2">
        <v>1020301</v>
      </c>
      <c r="C277" s="2" t="s">
        <v>38</v>
      </c>
      <c r="D277" s="3">
        <f>VLOOKUP(B277,Sheet2!$A:$O,4,0)</f>
        <v>2100</v>
      </c>
    </row>
    <row r="278" spans="1:4">
      <c r="A278" s="7" t="s">
        <v>397</v>
      </c>
      <c r="B278" s="2">
        <v>1020401</v>
      </c>
      <c r="C278" s="2" t="s">
        <v>40</v>
      </c>
      <c r="D278" s="3">
        <f>VLOOKUP(B278,Sheet2!$A:$O,4,0)</f>
        <v>3750</v>
      </c>
    </row>
    <row r="279" spans="1:4">
      <c r="A279" s="7" t="s">
        <v>397</v>
      </c>
      <c r="B279" s="2">
        <v>1030102</v>
      </c>
      <c r="C279" s="2" t="s">
        <v>218</v>
      </c>
      <c r="D279" s="3">
        <f>VLOOKUP(B279,Sheet2!$A:$O,4,0)</f>
        <v>0</v>
      </c>
    </row>
    <row r="280" spans="1:4">
      <c r="A280" s="7" t="s">
        <v>397</v>
      </c>
      <c r="B280" s="2">
        <v>1030201</v>
      </c>
      <c r="C280" s="2" t="s">
        <v>42</v>
      </c>
      <c r="D280" s="3">
        <f>VLOOKUP(B280,Sheet2!$A:$O,4,0)</f>
        <v>2255</v>
      </c>
    </row>
    <row r="281" spans="1:4">
      <c r="A281" s="7" t="s">
        <v>397</v>
      </c>
      <c r="B281" s="2">
        <v>1030203</v>
      </c>
      <c r="C281" s="2" t="s">
        <v>219</v>
      </c>
      <c r="D281" s="3">
        <f>VLOOKUP(B281,Sheet2!$A:$O,4,0)</f>
        <v>0</v>
      </c>
    </row>
    <row r="282" spans="1:4">
      <c r="A282" s="7" t="s">
        <v>397</v>
      </c>
      <c r="B282" s="2">
        <v>1030204</v>
      </c>
      <c r="C282" s="2" t="s">
        <v>220</v>
      </c>
      <c r="D282" s="3">
        <f>VLOOKUP(B282,Sheet2!$A:$O,4,0)</f>
        <v>0</v>
      </c>
    </row>
    <row r="283" spans="1:4">
      <c r="A283" s="7" t="s">
        <v>397</v>
      </c>
      <c r="B283" s="2">
        <v>1030205</v>
      </c>
      <c r="C283" s="2" t="s">
        <v>44</v>
      </c>
      <c r="D283" s="3">
        <f>VLOOKUP(B283,Sheet2!$A:$O,4,0)</f>
        <v>5000</v>
      </c>
    </row>
    <row r="284" spans="1:4">
      <c r="A284" s="7" t="s">
        <v>397</v>
      </c>
      <c r="B284" s="2">
        <v>1030206</v>
      </c>
      <c r="C284" s="2" t="s">
        <v>46</v>
      </c>
      <c r="D284" s="3">
        <f>VLOOKUP(B284,Sheet2!$A:$O,4,0)</f>
        <v>5400</v>
      </c>
    </row>
    <row r="285" spans="1:4">
      <c r="A285" s="7" t="s">
        <v>397</v>
      </c>
      <c r="B285" s="2">
        <v>1030207</v>
      </c>
      <c r="C285" s="2" t="s">
        <v>48</v>
      </c>
      <c r="D285" s="3">
        <f>VLOOKUP(B285,Sheet2!$A:$O,4,0)</f>
        <v>4400</v>
      </c>
    </row>
    <row r="286" spans="1:4">
      <c r="A286" s="7" t="s">
        <v>397</v>
      </c>
      <c r="B286" s="2">
        <v>1030501</v>
      </c>
      <c r="C286" s="2" t="s">
        <v>50</v>
      </c>
      <c r="D286" s="3">
        <f>VLOOKUP(B286,Sheet2!$A:$O,4,0)</f>
        <v>1078</v>
      </c>
    </row>
    <row r="287" spans="1:4">
      <c r="A287" s="7" t="s">
        <v>397</v>
      </c>
      <c r="B287" s="2">
        <v>1030601</v>
      </c>
      <c r="C287" s="2" t="s">
        <v>52</v>
      </c>
      <c r="D287" s="3">
        <f>VLOOKUP(B287,Sheet2!$A:$O,4,0)</f>
        <v>3000</v>
      </c>
    </row>
    <row r="288" spans="1:4">
      <c r="A288" s="7" t="s">
        <v>397</v>
      </c>
      <c r="B288" s="2">
        <v>1030701</v>
      </c>
      <c r="C288" s="2" t="s">
        <v>221</v>
      </c>
      <c r="D288" s="3">
        <f>VLOOKUP(B288,Sheet2!$A:$O,4,0)</f>
        <v>3000</v>
      </c>
    </row>
    <row r="289" spans="1:4">
      <c r="A289" s="7" t="s">
        <v>397</v>
      </c>
      <c r="B289" s="2">
        <v>1030705</v>
      </c>
      <c r="C289" s="2" t="s">
        <v>222</v>
      </c>
      <c r="D289" s="3">
        <f>VLOOKUP(B289,Sheet2!$A:$O,4,0)</f>
        <v>0</v>
      </c>
    </row>
    <row r="290" spans="1:4">
      <c r="A290" s="7" t="s">
        <v>397</v>
      </c>
      <c r="B290" s="2">
        <v>1030801</v>
      </c>
      <c r="C290" s="2" t="s">
        <v>54</v>
      </c>
      <c r="D290" s="3">
        <f>VLOOKUP(B290,Sheet2!$A:$O,4,0)</f>
        <v>1275</v>
      </c>
    </row>
    <row r="291" spans="1:4">
      <c r="A291" s="7" t="s">
        <v>397</v>
      </c>
      <c r="B291" s="2">
        <v>1030901</v>
      </c>
      <c r="C291" s="2" t="s">
        <v>223</v>
      </c>
      <c r="D291" s="3">
        <f>VLOOKUP(B291,Sheet2!$A:$O,4,0)</f>
        <v>0</v>
      </c>
    </row>
    <row r="292" spans="1:4">
      <c r="A292" s="7" t="s">
        <v>397</v>
      </c>
      <c r="B292" s="2">
        <v>1040201</v>
      </c>
      <c r="C292" s="2" t="s">
        <v>56</v>
      </c>
      <c r="D292" s="3">
        <f>VLOOKUP(B292,Sheet2!$A:$O,4,0)</f>
        <v>1472</v>
      </c>
    </row>
    <row r="293" spans="1:4">
      <c r="A293" s="7" t="s">
        <v>397</v>
      </c>
      <c r="B293" s="2">
        <v>1040202</v>
      </c>
      <c r="C293" s="2" t="s">
        <v>224</v>
      </c>
      <c r="D293" s="3">
        <f>VLOOKUP(B293,Sheet2!$A:$O,4,0)</f>
        <v>0</v>
      </c>
    </row>
    <row r="294" spans="1:4">
      <c r="A294" s="7" t="s">
        <v>397</v>
      </c>
      <c r="B294" s="2">
        <v>1040203</v>
      </c>
      <c r="C294" s="2" t="s">
        <v>225</v>
      </c>
      <c r="D294" s="3">
        <f>VLOOKUP(B294,Sheet2!$A:$O,4,0)</f>
        <v>0</v>
      </c>
    </row>
    <row r="295" spans="1:4">
      <c r="A295" s="7" t="s">
        <v>397</v>
      </c>
      <c r="B295" s="2">
        <v>1040204</v>
      </c>
      <c r="C295" s="2" t="s">
        <v>226</v>
      </c>
      <c r="D295" s="3">
        <f>VLOOKUP(B295,Sheet2!$A:$O,4,0)</f>
        <v>7917</v>
      </c>
    </row>
    <row r="296" spans="1:4">
      <c r="A296" s="7" t="s">
        <v>397</v>
      </c>
      <c r="B296" s="2">
        <v>1040301</v>
      </c>
      <c r="C296" s="2" t="s">
        <v>58</v>
      </c>
      <c r="D296" s="3">
        <f>VLOOKUP(B296,Sheet2!$A:$O,4,0)</f>
        <v>1700</v>
      </c>
    </row>
    <row r="297" spans="1:4">
      <c r="A297" s="7" t="s">
        <v>397</v>
      </c>
      <c r="B297" s="2">
        <v>1040401</v>
      </c>
      <c r="C297" s="2" t="s">
        <v>227</v>
      </c>
      <c r="D297" s="3">
        <f>VLOOKUP(B297,Sheet2!$A:$O,4,0)</f>
        <v>0</v>
      </c>
    </row>
    <row r="298" spans="1:4">
      <c r="A298" s="7" t="s">
        <v>397</v>
      </c>
      <c r="B298" s="2">
        <v>1050102</v>
      </c>
      <c r="C298" s="2" t="s">
        <v>60</v>
      </c>
      <c r="D298" s="3">
        <f>VLOOKUP(B298,Sheet2!$A:$O,4,0)</f>
        <v>29500</v>
      </c>
    </row>
    <row r="299" spans="1:4">
      <c r="A299" s="7" t="s">
        <v>397</v>
      </c>
      <c r="B299" s="2">
        <v>1050103</v>
      </c>
      <c r="C299" s="2" t="s">
        <v>228</v>
      </c>
      <c r="D299" s="3">
        <f>VLOOKUP(B299,Sheet2!$A:$O,4,0)</f>
        <v>11275</v>
      </c>
    </row>
    <row r="300" spans="1:4">
      <c r="A300" s="7" t="s">
        <v>397</v>
      </c>
      <c r="B300" s="2">
        <v>1050301</v>
      </c>
      <c r="C300" s="2" t="s">
        <v>62</v>
      </c>
      <c r="D300" s="3">
        <f>VLOOKUP(B300,Sheet2!$A:$O,4,0)</f>
        <v>9804</v>
      </c>
    </row>
    <row r="301" spans="1:4">
      <c r="A301" s="7" t="s">
        <v>397</v>
      </c>
      <c r="B301" s="2">
        <v>1050401</v>
      </c>
      <c r="C301" s="2" t="s">
        <v>64</v>
      </c>
      <c r="D301" s="3">
        <f>VLOOKUP(B301,Sheet2!$A:$O,4,0)</f>
        <v>8333</v>
      </c>
    </row>
    <row r="302" spans="1:4">
      <c r="A302" s="7" t="s">
        <v>397</v>
      </c>
      <c r="B302" s="2">
        <v>1050501</v>
      </c>
      <c r="C302" s="2" t="s">
        <v>66</v>
      </c>
      <c r="D302" s="3">
        <f>VLOOKUP(B302,Sheet2!$A:$O,4,0)</f>
        <v>8824</v>
      </c>
    </row>
    <row r="303" spans="1:4">
      <c r="A303" s="7" t="s">
        <v>397</v>
      </c>
      <c r="B303" s="2">
        <v>1050511</v>
      </c>
      <c r="C303" s="2" t="s">
        <v>68</v>
      </c>
      <c r="D303" s="3">
        <f>VLOOKUP(B303,Sheet2!$A:$O,4,0)</f>
        <v>18000</v>
      </c>
    </row>
    <row r="304" spans="1:4">
      <c r="A304" s="7" t="s">
        <v>397</v>
      </c>
      <c r="B304" s="2">
        <v>1050512</v>
      </c>
      <c r="C304" s="2" t="s">
        <v>229</v>
      </c>
      <c r="D304" s="3">
        <f>VLOOKUP(B304,Sheet2!$A:$O,4,0)</f>
        <v>0</v>
      </c>
    </row>
    <row r="305" spans="1:4">
      <c r="A305" s="7" t="s">
        <v>397</v>
      </c>
      <c r="B305" s="2">
        <v>1050521</v>
      </c>
      <c r="C305" s="2" t="s">
        <v>70</v>
      </c>
      <c r="D305" s="3">
        <f>VLOOKUP(B305,Sheet2!$A:$O,4,0)</f>
        <v>14706</v>
      </c>
    </row>
    <row r="306" spans="1:4">
      <c r="A306" s="7" t="s">
        <v>397</v>
      </c>
      <c r="B306" s="2">
        <v>1050531</v>
      </c>
      <c r="C306" s="2" t="s">
        <v>72</v>
      </c>
      <c r="D306" s="3">
        <f>VLOOKUP(B306,Sheet2!$A:$O,4,0)</f>
        <v>21000</v>
      </c>
    </row>
    <row r="307" spans="1:4">
      <c r="A307" s="7" t="s">
        <v>397</v>
      </c>
      <c r="B307" s="2">
        <v>1050541</v>
      </c>
      <c r="C307" s="2" t="s">
        <v>74</v>
      </c>
      <c r="D307" s="3">
        <f>VLOOKUP(B307,Sheet2!$A:$O,4,0)</f>
        <v>11000</v>
      </c>
    </row>
    <row r="308" spans="1:4">
      <c r="A308" s="7" t="s">
        <v>397</v>
      </c>
      <c r="B308" s="2">
        <v>1050551</v>
      </c>
      <c r="C308" s="2" t="s">
        <v>76</v>
      </c>
      <c r="D308" s="3">
        <f>VLOOKUP(B308,Sheet2!$A:$O,4,0)</f>
        <v>54000</v>
      </c>
    </row>
    <row r="309" spans="1:4">
      <c r="A309" s="7" t="s">
        <v>397</v>
      </c>
      <c r="B309" s="2">
        <v>1050561</v>
      </c>
      <c r="C309" s="2" t="s">
        <v>78</v>
      </c>
      <c r="D309" s="3">
        <f>VLOOKUP(B309,Sheet2!$A:$O,4,0)</f>
        <v>98000</v>
      </c>
    </row>
    <row r="310" spans="1:4">
      <c r="A310" s="7" t="s">
        <v>397</v>
      </c>
      <c r="B310" s="2">
        <v>1050571</v>
      </c>
      <c r="C310" s="2" t="s">
        <v>80</v>
      </c>
      <c r="D310" s="3">
        <f>VLOOKUP(B310,Sheet2!$A:$O,4,0)</f>
        <v>58600</v>
      </c>
    </row>
    <row r="311" spans="1:4">
      <c r="A311" s="7" t="s">
        <v>397</v>
      </c>
      <c r="B311" s="2">
        <v>1050581</v>
      </c>
      <c r="C311" s="2" t="s">
        <v>82</v>
      </c>
      <c r="D311" s="3">
        <f>VLOOKUP(B311,Sheet2!$A:$O,4,0)</f>
        <v>57000</v>
      </c>
    </row>
    <row r="312" spans="1:4">
      <c r="A312" s="7" t="s">
        <v>397</v>
      </c>
      <c r="B312" s="2">
        <v>1050591</v>
      </c>
      <c r="C312" s="2" t="s">
        <v>84</v>
      </c>
      <c r="D312" s="3">
        <f>VLOOKUP(B312,Sheet2!$A:$O,4,0)</f>
        <v>97750</v>
      </c>
    </row>
    <row r="313" spans="1:4">
      <c r="A313" s="7" t="s">
        <v>397</v>
      </c>
      <c r="B313" s="2">
        <v>1050601</v>
      </c>
      <c r="C313" s="2" t="s">
        <v>86</v>
      </c>
      <c r="D313" s="3">
        <f>VLOOKUP(B313,Sheet2!$A:$O,4,0)</f>
        <v>5900</v>
      </c>
    </row>
    <row r="314" spans="1:4">
      <c r="A314" s="7" t="s">
        <v>397</v>
      </c>
      <c r="B314" s="2">
        <v>1050701</v>
      </c>
      <c r="C314" s="2" t="s">
        <v>88</v>
      </c>
      <c r="D314" s="3">
        <f>VLOOKUP(B314,Sheet2!$A:$O,4,0)</f>
        <v>5600</v>
      </c>
    </row>
    <row r="315" spans="1:4">
      <c r="A315" s="7" t="s">
        <v>397</v>
      </c>
      <c r="B315" s="2">
        <v>1050702</v>
      </c>
      <c r="C315" s="2" t="s">
        <v>90</v>
      </c>
      <c r="D315" s="3">
        <f>VLOOKUP(B315,Sheet2!$A:$O,4,0)</f>
        <v>5600</v>
      </c>
    </row>
    <row r="316" spans="1:4">
      <c r="A316" s="7" t="s">
        <v>397</v>
      </c>
      <c r="B316" s="2">
        <v>1050711</v>
      </c>
      <c r="C316" s="2" t="s">
        <v>92</v>
      </c>
      <c r="D316" s="3">
        <f>VLOOKUP(B316,Sheet2!$A:$O,4,0)</f>
        <v>2946</v>
      </c>
    </row>
    <row r="317" spans="1:4">
      <c r="A317" s="7" t="s">
        <v>397</v>
      </c>
      <c r="B317" s="2">
        <v>1050721</v>
      </c>
      <c r="C317" s="2" t="s">
        <v>94</v>
      </c>
      <c r="D317" s="3">
        <f>VLOOKUP(B317,Sheet2!$A:$O,4,0)</f>
        <v>14300</v>
      </c>
    </row>
    <row r="318" spans="1:4">
      <c r="A318" s="7" t="s">
        <v>397</v>
      </c>
      <c r="B318" s="2">
        <v>1050801</v>
      </c>
      <c r="C318" s="2" t="s">
        <v>7</v>
      </c>
      <c r="D318" s="3">
        <f>VLOOKUP(B318,Sheet2!$A:$O,4,0)</f>
        <v>1062</v>
      </c>
    </row>
    <row r="319" spans="1:4">
      <c r="A319" s="7" t="s">
        <v>397</v>
      </c>
      <c r="B319" s="2">
        <v>1050901</v>
      </c>
      <c r="C319" s="2" t="s">
        <v>96</v>
      </c>
      <c r="D319" s="3">
        <f>VLOOKUP(B319,Sheet2!$A:$O,4,0)</f>
        <v>1539</v>
      </c>
    </row>
    <row r="320" spans="1:4">
      <c r="A320" s="7" t="s">
        <v>397</v>
      </c>
      <c r="B320" s="2">
        <v>1060101</v>
      </c>
      <c r="C320" s="2" t="s">
        <v>98</v>
      </c>
      <c r="D320" s="3">
        <f>VLOOKUP(B320,Sheet2!$A:$O,4,0)</f>
        <v>2250</v>
      </c>
    </row>
    <row r="321" spans="1:4">
      <c r="A321" s="7" t="s">
        <v>397</v>
      </c>
      <c r="B321" s="2">
        <v>1060401</v>
      </c>
      <c r="C321" s="2" t="s">
        <v>100</v>
      </c>
      <c r="D321" s="3">
        <f>VLOOKUP(B321,Sheet2!$A:$O,4,0)</f>
        <v>71000</v>
      </c>
    </row>
    <row r="322" spans="1:4">
      <c r="A322" s="7" t="s">
        <v>397</v>
      </c>
      <c r="B322" s="2">
        <v>1060412</v>
      </c>
      <c r="C322" s="2" t="s">
        <v>230</v>
      </c>
      <c r="D322" s="3">
        <f>VLOOKUP(B322,Sheet2!$A:$O,4,0)</f>
        <v>33000</v>
      </c>
    </row>
    <row r="323" spans="1:4">
      <c r="A323" s="7" t="s">
        <v>397</v>
      </c>
      <c r="B323" s="2">
        <v>1060421</v>
      </c>
      <c r="C323" s="2" t="s">
        <v>104</v>
      </c>
      <c r="D323" s="3">
        <f>VLOOKUP(B323,Sheet2!$A:$O,4,0)</f>
        <v>76000</v>
      </c>
    </row>
    <row r="324" spans="1:4">
      <c r="A324" s="7" t="s">
        <v>397</v>
      </c>
      <c r="B324" s="2">
        <v>1060441</v>
      </c>
      <c r="C324" s="2" t="s">
        <v>106</v>
      </c>
      <c r="D324" s="3">
        <f>VLOOKUP(B324,Sheet2!$A:$O,4,0)</f>
        <v>4500</v>
      </c>
    </row>
    <row r="325" spans="1:4">
      <c r="A325" s="7" t="s">
        <v>397</v>
      </c>
      <c r="B325" s="2">
        <v>1060451</v>
      </c>
      <c r="C325" s="2" t="s">
        <v>108</v>
      </c>
      <c r="D325" s="3">
        <f>VLOOKUP(B325,Sheet2!$A:$O,4,0)</f>
        <v>0</v>
      </c>
    </row>
    <row r="326" spans="1:4">
      <c r="A326" s="7" t="s">
        <v>397</v>
      </c>
      <c r="B326" s="2">
        <v>1070101</v>
      </c>
      <c r="C326" s="2" t="s">
        <v>110</v>
      </c>
      <c r="D326" s="3">
        <f>VLOOKUP(B326,Sheet2!$A:$O,4,0)</f>
        <v>4000</v>
      </c>
    </row>
    <row r="327" spans="1:4">
      <c r="A327" s="7" t="s">
        <v>397</v>
      </c>
      <c r="B327" s="2">
        <v>1070301</v>
      </c>
      <c r="C327" s="2" t="s">
        <v>112</v>
      </c>
      <c r="D327" s="3">
        <f>VLOOKUP(B327,Sheet2!$A:$O,4,0)</f>
        <v>35000</v>
      </c>
    </row>
    <row r="328" spans="1:4">
      <c r="A328" s="7" t="s">
        <v>397</v>
      </c>
      <c r="B328" s="2">
        <v>1070401</v>
      </c>
      <c r="C328" s="2" t="s">
        <v>114</v>
      </c>
      <c r="D328" s="3">
        <f>VLOOKUP(B328,Sheet2!$A:$O,4,0)</f>
        <v>12000</v>
      </c>
    </row>
    <row r="329" spans="1:4">
      <c r="A329" s="7" t="s">
        <v>397</v>
      </c>
      <c r="B329" s="2">
        <v>1070501</v>
      </c>
      <c r="C329" s="2" t="s">
        <v>231</v>
      </c>
      <c r="D329" s="3">
        <f>VLOOKUP(B329,Sheet2!$A:$O,4,0)</f>
        <v>5500</v>
      </c>
    </row>
    <row r="330" spans="1:4">
      <c r="A330" s="7" t="s">
        <v>397</v>
      </c>
      <c r="B330" s="2">
        <v>1070701</v>
      </c>
      <c r="C330" s="2" t="s">
        <v>118</v>
      </c>
      <c r="D330" s="3">
        <f>VLOOKUP(B330,Sheet2!$A:$O,4,0)</f>
        <v>36000</v>
      </c>
    </row>
    <row r="331" spans="1:4">
      <c r="A331" s="7" t="s">
        <v>397</v>
      </c>
      <c r="B331" s="2">
        <v>1070801</v>
      </c>
      <c r="C331" s="2" t="s">
        <v>232</v>
      </c>
      <c r="D331" s="3">
        <f>VLOOKUP(B331,Sheet2!$A:$O,4,0)</f>
        <v>35000</v>
      </c>
    </row>
    <row r="332" spans="1:4">
      <c r="A332" s="7" t="s">
        <v>397</v>
      </c>
      <c r="B332" s="2">
        <v>1080101</v>
      </c>
      <c r="C332" s="2" t="s">
        <v>120</v>
      </c>
      <c r="D332" s="3">
        <f>VLOOKUP(B332,Sheet2!$A:$O,4,0)</f>
        <v>11000</v>
      </c>
    </row>
    <row r="333" spans="1:4">
      <c r="A333" s="7" t="s">
        <v>397</v>
      </c>
      <c r="B333" s="2">
        <v>1080201</v>
      </c>
      <c r="C333" s="2" t="s">
        <v>122</v>
      </c>
      <c r="D333" s="3">
        <f>VLOOKUP(B333,Sheet2!$A:$O,4,0)</f>
        <v>614</v>
      </c>
    </row>
    <row r="334" spans="1:4">
      <c r="A334" s="7" t="s">
        <v>397</v>
      </c>
      <c r="B334" s="2">
        <v>1080301</v>
      </c>
      <c r="C334" s="2" t="s">
        <v>124</v>
      </c>
      <c r="D334" s="3">
        <f>VLOOKUP(B334,Sheet2!$A:$O,4,0)</f>
        <v>1550</v>
      </c>
    </row>
    <row r="335" spans="1:4">
      <c r="A335" s="7" t="s">
        <v>397</v>
      </c>
      <c r="B335" s="2">
        <v>1080401</v>
      </c>
      <c r="C335" s="2" t="s">
        <v>233</v>
      </c>
      <c r="D335" s="3">
        <f>VLOOKUP(B335,Sheet2!$A:$O,4,0)</f>
        <v>3300</v>
      </c>
    </row>
    <row r="336" spans="1:4">
      <c r="A336" s="7" t="s">
        <v>397</v>
      </c>
      <c r="B336" s="2">
        <v>1080411</v>
      </c>
      <c r="C336" s="2" t="s">
        <v>128</v>
      </c>
      <c r="D336" s="3">
        <f>VLOOKUP(B336,Sheet2!$A:$O,4,0)</f>
        <v>3300</v>
      </c>
    </row>
    <row r="337" spans="1:4">
      <c r="A337" s="7" t="s">
        <v>397</v>
      </c>
      <c r="B337" s="2">
        <v>1080501</v>
      </c>
      <c r="C337" s="2" t="s">
        <v>130</v>
      </c>
      <c r="D337" s="3">
        <f>VLOOKUP(B337,Sheet2!$A:$O,4,0)</f>
        <v>3800</v>
      </c>
    </row>
    <row r="338" spans="1:4">
      <c r="A338" s="7" t="s">
        <v>397</v>
      </c>
      <c r="B338" s="2">
        <v>1080602</v>
      </c>
      <c r="C338" s="2" t="s">
        <v>234</v>
      </c>
      <c r="D338" s="3">
        <f>VLOOKUP(B338,Sheet2!$A:$O,4,0)</f>
        <v>37600</v>
      </c>
    </row>
    <row r="339" spans="1:4">
      <c r="A339" s="7" t="s">
        <v>397</v>
      </c>
      <c r="B339" s="2">
        <v>1080604</v>
      </c>
      <c r="C339" s="2" t="s">
        <v>235</v>
      </c>
      <c r="D339" s="3">
        <f>VLOOKUP(B339,Sheet2!$A:$O,4,0)</f>
        <v>0</v>
      </c>
    </row>
    <row r="340" spans="1:4">
      <c r="A340" s="7" t="s">
        <v>397</v>
      </c>
      <c r="B340" s="2">
        <v>1080702</v>
      </c>
      <c r="C340" s="2" t="s">
        <v>236</v>
      </c>
      <c r="D340" s="3">
        <f>VLOOKUP(B340,Sheet2!$A:$O,4,0)</f>
        <v>42500</v>
      </c>
    </row>
    <row r="341" spans="1:4">
      <c r="A341" s="7" t="s">
        <v>397</v>
      </c>
      <c r="B341" s="2">
        <v>1080704</v>
      </c>
      <c r="C341" s="2" t="s">
        <v>237</v>
      </c>
      <c r="D341" s="3">
        <f>VLOOKUP(B341,Sheet2!$A:$O,4,0)</f>
        <v>0</v>
      </c>
    </row>
    <row r="342" spans="1:4">
      <c r="A342" s="7" t="s">
        <v>397</v>
      </c>
      <c r="B342" s="2">
        <v>1090104</v>
      </c>
      <c r="C342" s="2" t="s">
        <v>136</v>
      </c>
      <c r="D342" s="3">
        <f>VLOOKUP(B342,Sheet2!$A:$O,4,0)</f>
        <v>40000</v>
      </c>
    </row>
    <row r="343" spans="1:4">
      <c r="A343" s="7" t="s">
        <v>397</v>
      </c>
      <c r="B343" s="2">
        <v>1090112</v>
      </c>
      <c r="C343" s="2" t="s">
        <v>138</v>
      </c>
      <c r="D343" s="3">
        <f>VLOOKUP(B343,Sheet2!$A:$O,4,0)</f>
        <v>35000</v>
      </c>
    </row>
    <row r="344" spans="1:4">
      <c r="A344" s="7" t="s">
        <v>397</v>
      </c>
      <c r="B344" s="2">
        <v>1090201</v>
      </c>
      <c r="C344" s="2" t="s">
        <v>140</v>
      </c>
      <c r="D344" s="3">
        <f>VLOOKUP(B344,Sheet2!$A:$O,4,0)</f>
        <v>15800</v>
      </c>
    </row>
    <row r="345" spans="1:4">
      <c r="A345" s="7" t="s">
        <v>397</v>
      </c>
      <c r="B345" s="2">
        <v>1090202</v>
      </c>
      <c r="C345" s="2" t="s">
        <v>142</v>
      </c>
      <c r="D345" s="3">
        <f>VLOOKUP(B345,Sheet2!$A:$O,4,0)</f>
        <v>98000</v>
      </c>
    </row>
    <row r="346" spans="1:4">
      <c r="A346" s="7" t="s">
        <v>397</v>
      </c>
      <c r="B346" s="2">
        <v>1090203</v>
      </c>
      <c r="C346" s="2" t="s">
        <v>144</v>
      </c>
      <c r="D346" s="3">
        <f>VLOOKUP(B346,Sheet2!$A:$O,4,0)</f>
        <v>23000</v>
      </c>
    </row>
    <row r="347" spans="1:4">
      <c r="A347" s="7" t="s">
        <v>397</v>
      </c>
      <c r="B347" s="2">
        <v>1090211</v>
      </c>
      <c r="C347" s="2" t="s">
        <v>146</v>
      </c>
      <c r="D347" s="3">
        <f>VLOOKUP(B347,Sheet2!$A:$O,4,0)</f>
        <v>69000</v>
      </c>
    </row>
    <row r="348" spans="1:4">
      <c r="A348" s="7" t="s">
        <v>397</v>
      </c>
      <c r="B348" s="2">
        <v>1090301</v>
      </c>
      <c r="C348" s="2" t="s">
        <v>238</v>
      </c>
      <c r="D348" s="3">
        <f>VLOOKUP(B348,Sheet2!$A:$O,4,0)</f>
        <v>32000</v>
      </c>
    </row>
    <row r="349" spans="1:4">
      <c r="A349" s="7" t="s">
        <v>397</v>
      </c>
      <c r="B349" s="2">
        <v>1090311</v>
      </c>
      <c r="C349" s="2" t="s">
        <v>150</v>
      </c>
      <c r="D349" s="3">
        <f>VLOOKUP(B349,Sheet2!$A:$O,4,0)</f>
        <v>37000</v>
      </c>
    </row>
    <row r="350" spans="1:4">
      <c r="A350" s="7" t="s">
        <v>397</v>
      </c>
      <c r="B350" s="2">
        <v>1090321</v>
      </c>
      <c r="C350" s="2" t="s">
        <v>152</v>
      </c>
      <c r="D350" s="3">
        <f>VLOOKUP(B350,Sheet2!$A:$O,4,0)</f>
        <v>75000</v>
      </c>
    </row>
    <row r="351" spans="1:4">
      <c r="A351" s="7" t="s">
        <v>397</v>
      </c>
      <c r="B351" s="2">
        <v>1090401</v>
      </c>
      <c r="C351" s="2" t="s">
        <v>154</v>
      </c>
      <c r="D351" s="3">
        <f>VLOOKUP(B351,Sheet2!$A:$O,4,0)</f>
        <v>8300</v>
      </c>
    </row>
    <row r="352" spans="1:4">
      <c r="A352" s="7" t="s">
        <v>397</v>
      </c>
      <c r="B352" s="2">
        <v>1090411</v>
      </c>
      <c r="C352" s="2" t="s">
        <v>156</v>
      </c>
      <c r="D352" s="3">
        <f>VLOOKUP(B352,Sheet2!$A:$O,4,0)</f>
        <v>39000</v>
      </c>
    </row>
    <row r="353" spans="1:4">
      <c r="A353" s="7" t="s">
        <v>397</v>
      </c>
      <c r="B353" s="2">
        <v>1090421</v>
      </c>
      <c r="C353" s="2" t="s">
        <v>158</v>
      </c>
      <c r="D353" s="3">
        <f>VLOOKUP(B353,Sheet2!$A:$O,4,0)</f>
        <v>36000</v>
      </c>
    </row>
    <row r="354" spans="1:4">
      <c r="A354" s="7" t="s">
        <v>397</v>
      </c>
      <c r="B354" s="2">
        <v>1090551</v>
      </c>
      <c r="C354" s="2" t="s">
        <v>239</v>
      </c>
      <c r="D354" s="3">
        <f>VLOOKUP(B354,Sheet2!$A:$O,4,0)</f>
        <v>4900</v>
      </c>
    </row>
    <row r="355" spans="1:4">
      <c r="A355" s="7" t="s">
        <v>397</v>
      </c>
      <c r="B355" s="2">
        <v>1090602</v>
      </c>
      <c r="C355" s="2" t="s">
        <v>162</v>
      </c>
      <c r="D355" s="3">
        <f>VLOOKUP(B355,Sheet2!$A:$O,4,0)</f>
        <v>5130</v>
      </c>
    </row>
    <row r="356" spans="1:4">
      <c r="A356" s="7" t="s">
        <v>397</v>
      </c>
      <c r="B356" s="2">
        <v>1090611</v>
      </c>
      <c r="C356" s="2" t="s">
        <v>164</v>
      </c>
      <c r="D356" s="3">
        <f>VLOOKUP(B356,Sheet2!$A:$O,4,0)</f>
        <v>4203</v>
      </c>
    </row>
    <row r="357" spans="1:4">
      <c r="A357" s="7" t="s">
        <v>397</v>
      </c>
      <c r="B357" s="2">
        <v>1090701</v>
      </c>
      <c r="C357" s="2" t="s">
        <v>166</v>
      </c>
      <c r="D357" s="3">
        <f>VLOOKUP(B357,Sheet2!$A:$O,4,0)</f>
        <v>21000</v>
      </c>
    </row>
    <row r="358" spans="1:4">
      <c r="A358" s="7" t="s">
        <v>397</v>
      </c>
      <c r="B358" s="2">
        <v>1090901</v>
      </c>
      <c r="C358" s="2" t="s">
        <v>168</v>
      </c>
      <c r="D358" s="3">
        <f>VLOOKUP(B358,Sheet2!$A:$O,4,0)</f>
        <v>4300</v>
      </c>
    </row>
    <row r="359" spans="1:4">
      <c r="A359" s="7" t="s">
        <v>397</v>
      </c>
      <c r="B359" s="2">
        <v>1091001</v>
      </c>
      <c r="C359" s="2" t="s">
        <v>170</v>
      </c>
      <c r="D359" s="3">
        <f>VLOOKUP(B359,Sheet2!$A:$O,4,0)</f>
        <v>6500</v>
      </c>
    </row>
    <row r="360" spans="1:4">
      <c r="A360" s="7" t="s">
        <v>397</v>
      </c>
      <c r="B360" s="2">
        <v>1091002</v>
      </c>
      <c r="C360" s="2" t="s">
        <v>172</v>
      </c>
      <c r="D360" s="3">
        <f>VLOOKUP(B360,Sheet2!$A:$O,4,0)</f>
        <v>5216</v>
      </c>
    </row>
    <row r="361" spans="1:4">
      <c r="A361" s="7" t="s">
        <v>397</v>
      </c>
      <c r="B361" s="2">
        <v>1091003</v>
      </c>
      <c r="C361" s="2" t="s">
        <v>174</v>
      </c>
      <c r="D361" s="3">
        <f>VLOOKUP(B361,Sheet2!$A:$O,4,0)</f>
        <v>6373</v>
      </c>
    </row>
    <row r="362" spans="1:4">
      <c r="A362" s="7" t="s">
        <v>397</v>
      </c>
      <c r="B362" s="2">
        <v>1091004</v>
      </c>
      <c r="C362" s="2" t="s">
        <v>240</v>
      </c>
      <c r="D362" s="3">
        <f>VLOOKUP(B362,Sheet2!$A:$O,4,0)</f>
        <v>0</v>
      </c>
    </row>
    <row r="363" spans="1:4">
      <c r="A363" s="7" t="s">
        <v>397</v>
      </c>
      <c r="B363" s="2">
        <v>1091005</v>
      </c>
      <c r="C363" s="2" t="s">
        <v>241</v>
      </c>
      <c r="D363" s="3">
        <f>VLOOKUP(B363,Sheet2!$A:$O,4,0)</f>
        <v>0</v>
      </c>
    </row>
    <row r="364" spans="1:4">
      <c r="A364" s="7" t="s">
        <v>397</v>
      </c>
      <c r="B364" s="2">
        <v>1091006</v>
      </c>
      <c r="C364" s="2" t="s">
        <v>242</v>
      </c>
      <c r="D364" s="3">
        <f>VLOOKUP(B364,Sheet2!$A:$O,4,0)</f>
        <v>0</v>
      </c>
    </row>
    <row r="365" spans="1:4">
      <c r="A365" s="7" t="s">
        <v>397</v>
      </c>
      <c r="B365" s="2">
        <v>1091007</v>
      </c>
      <c r="C365" s="2" t="s">
        <v>243</v>
      </c>
      <c r="D365" s="3">
        <f>VLOOKUP(B365,Sheet2!$A:$O,4,0)</f>
        <v>2640</v>
      </c>
    </row>
    <row r="366" spans="1:4">
      <c r="A366" s="7" t="s">
        <v>397</v>
      </c>
      <c r="B366" s="2">
        <v>1091008</v>
      </c>
      <c r="C366" s="2" t="s">
        <v>176</v>
      </c>
      <c r="D366" s="3">
        <f>VLOOKUP(B366,Sheet2!$A:$O,4,0)</f>
        <v>0</v>
      </c>
    </row>
    <row r="367" spans="1:4">
      <c r="A367" s="7" t="s">
        <v>397</v>
      </c>
      <c r="B367" s="2">
        <v>1091009</v>
      </c>
      <c r="C367" s="2" t="s">
        <v>178</v>
      </c>
      <c r="D367" s="3">
        <f>VLOOKUP(B367,Sheet2!$A:$O,4,0)</f>
        <v>0</v>
      </c>
    </row>
    <row r="368" spans="1:4">
      <c r="A368" s="7" t="s">
        <v>397</v>
      </c>
      <c r="B368" s="2">
        <v>1091010</v>
      </c>
      <c r="C368" s="2" t="s">
        <v>180</v>
      </c>
      <c r="D368" s="3">
        <f>VLOOKUP(B368,Sheet2!$A:$O,4,0)</f>
        <v>27000</v>
      </c>
    </row>
    <row r="369" spans="1:4">
      <c r="A369" s="7" t="s">
        <v>397</v>
      </c>
      <c r="B369" s="2">
        <v>1091011</v>
      </c>
      <c r="C369" s="2" t="s">
        <v>182</v>
      </c>
      <c r="D369" s="3">
        <f>VLOOKUP(B369,Sheet2!$A:$O,4,0)</f>
        <v>33000</v>
      </c>
    </row>
    <row r="370" spans="1:4">
      <c r="A370" s="7" t="s">
        <v>397</v>
      </c>
      <c r="B370" s="2">
        <v>1091012</v>
      </c>
      <c r="C370" s="2" t="s">
        <v>184</v>
      </c>
      <c r="D370" s="3">
        <f>VLOOKUP(B370,Sheet2!$A:$O,4,0)</f>
        <v>47000</v>
      </c>
    </row>
    <row r="371" spans="1:4">
      <c r="A371" s="7" t="s">
        <v>397</v>
      </c>
      <c r="B371" s="2">
        <v>1091013</v>
      </c>
      <c r="C371" s="2" t="s">
        <v>186</v>
      </c>
      <c r="D371" s="3">
        <f>VLOOKUP(B371,Sheet2!$A:$O,4,0)</f>
        <v>33000</v>
      </c>
    </row>
    <row r="372" spans="1:4">
      <c r="A372" s="7" t="s">
        <v>397</v>
      </c>
      <c r="B372" s="2">
        <v>1091014</v>
      </c>
      <c r="C372" s="2" t="s">
        <v>244</v>
      </c>
      <c r="D372" s="3">
        <f>VLOOKUP(B372,Sheet2!$A:$O,4,0)</f>
        <v>6961</v>
      </c>
    </row>
    <row r="373" spans="1:4">
      <c r="A373" s="7" t="s">
        <v>397</v>
      </c>
      <c r="B373" s="2">
        <v>1091015</v>
      </c>
      <c r="C373" s="2" t="s">
        <v>245</v>
      </c>
      <c r="D373" s="3">
        <f>VLOOKUP(B373,Sheet2!$A:$O,4,0)</f>
        <v>25490</v>
      </c>
    </row>
    <row r="374" spans="1:4">
      <c r="A374" s="7" t="s">
        <v>397</v>
      </c>
      <c r="B374" s="2">
        <v>1091016</v>
      </c>
      <c r="C374" s="2" t="s">
        <v>246</v>
      </c>
      <c r="D374" s="3">
        <f>VLOOKUP(B374,Sheet2!$A:$O,4,0)</f>
        <v>50187</v>
      </c>
    </row>
    <row r="375" spans="1:4">
      <c r="A375" s="7" t="s">
        <v>397</v>
      </c>
      <c r="B375" s="2">
        <v>1091017</v>
      </c>
      <c r="C375" s="2" t="s">
        <v>247</v>
      </c>
      <c r="D375" s="3">
        <f>VLOOKUP(B375,Sheet2!$A:$O,4,0)</f>
        <v>0</v>
      </c>
    </row>
    <row r="376" spans="1:4">
      <c r="A376" s="7" t="s">
        <v>397</v>
      </c>
      <c r="B376" s="2">
        <v>1091018</v>
      </c>
      <c r="C376" s="2" t="s">
        <v>248</v>
      </c>
      <c r="D376" s="3">
        <f>VLOOKUP(B376,Sheet2!$A:$O,4,0)</f>
        <v>0</v>
      </c>
    </row>
    <row r="377" spans="1:4">
      <c r="A377" s="7" t="s">
        <v>397</v>
      </c>
      <c r="B377" s="2">
        <v>1091019</v>
      </c>
      <c r="C377" s="2" t="s">
        <v>249</v>
      </c>
      <c r="D377" s="3">
        <f>VLOOKUP(B377,Sheet2!$A:$O,4,0)</f>
        <v>53387</v>
      </c>
    </row>
    <row r="378" spans="1:4">
      <c r="A378" s="7" t="s">
        <v>397</v>
      </c>
      <c r="B378" s="2">
        <v>1091020</v>
      </c>
      <c r="C378" s="2" t="s">
        <v>250</v>
      </c>
      <c r="D378" s="3">
        <f>VLOOKUP(B378,Sheet2!$A:$O,4,0)</f>
        <v>62745</v>
      </c>
    </row>
    <row r="379" spans="1:4">
      <c r="A379" s="7" t="s">
        <v>397</v>
      </c>
      <c r="B379" s="2">
        <v>1091021</v>
      </c>
      <c r="C379" s="2" t="s">
        <v>251</v>
      </c>
      <c r="D379" s="3">
        <f>VLOOKUP(B379,Sheet2!$A:$O,4,0)</f>
        <v>53922</v>
      </c>
    </row>
    <row r="380" spans="1:4">
      <c r="A380" s="7" t="s">
        <v>397</v>
      </c>
      <c r="B380" s="2">
        <v>1091022</v>
      </c>
      <c r="C380" s="2" t="s">
        <v>252</v>
      </c>
      <c r="D380" s="3">
        <f>VLOOKUP(B380,Sheet2!$A:$O,4,0)</f>
        <v>3235</v>
      </c>
    </row>
    <row r="381" spans="1:4">
      <c r="A381" s="7" t="s">
        <v>397</v>
      </c>
      <c r="B381" s="2">
        <v>1091023</v>
      </c>
      <c r="C381" s="2" t="s">
        <v>253</v>
      </c>
      <c r="D381" s="3">
        <f>VLOOKUP(B381,Sheet2!$A:$O,4,0)</f>
        <v>4412</v>
      </c>
    </row>
    <row r="382" spans="1:4">
      <c r="A382" s="7" t="s">
        <v>397</v>
      </c>
      <c r="B382" s="2">
        <v>1091024</v>
      </c>
      <c r="C382" s="2" t="s">
        <v>254</v>
      </c>
      <c r="D382" s="3">
        <f>VLOOKUP(B382,Sheet2!$A:$O,4,0)</f>
        <v>3922</v>
      </c>
    </row>
    <row r="383" spans="1:4">
      <c r="A383" s="7" t="s">
        <v>397</v>
      </c>
      <c r="B383" s="2">
        <v>1091025</v>
      </c>
      <c r="C383" s="2" t="s">
        <v>255</v>
      </c>
      <c r="D383" s="3">
        <f>VLOOKUP(B383,Sheet2!$A:$O,4,0)</f>
        <v>7843</v>
      </c>
    </row>
    <row r="384" spans="1:4">
      <c r="A384" s="7" t="s">
        <v>397</v>
      </c>
      <c r="B384" s="2">
        <v>1091026</v>
      </c>
      <c r="C384" s="2" t="s">
        <v>256</v>
      </c>
      <c r="D384" s="3">
        <f>VLOOKUP(B384,Sheet2!$A:$O,4,0)</f>
        <v>30196</v>
      </c>
    </row>
    <row r="385" spans="1:4">
      <c r="A385" s="7" t="s">
        <v>397</v>
      </c>
      <c r="B385" s="2">
        <v>1600101</v>
      </c>
      <c r="C385" s="2" t="s">
        <v>188</v>
      </c>
      <c r="D385" s="3">
        <f>VLOOKUP(B385,Sheet2!$A:$O,4,0)</f>
        <v>2206</v>
      </c>
    </row>
    <row r="386" spans="1:4">
      <c r="A386" s="7" t="s">
        <v>397</v>
      </c>
      <c r="B386" s="2">
        <v>1600102</v>
      </c>
      <c r="C386" s="2" t="s">
        <v>257</v>
      </c>
      <c r="D386" s="3">
        <f>VLOOKUP(B386,Sheet2!$A:$O,4,0)</f>
        <v>34314</v>
      </c>
    </row>
    <row r="387" spans="1:4">
      <c r="A387" s="7" t="s">
        <v>397</v>
      </c>
      <c r="B387" s="2">
        <v>1600103</v>
      </c>
      <c r="C387" s="2" t="s">
        <v>258</v>
      </c>
      <c r="D387" s="3">
        <f>VLOOKUP(B387,Sheet2!$A:$O,4,0)</f>
        <v>19800</v>
      </c>
    </row>
    <row r="388" spans="1:4">
      <c r="A388" s="7" t="s">
        <v>397</v>
      </c>
      <c r="B388" s="2">
        <v>1600104</v>
      </c>
      <c r="C388" s="2" t="s">
        <v>259</v>
      </c>
      <c r="D388" s="3">
        <f>VLOOKUP(B388,Sheet2!$A:$O,4,0)</f>
        <v>51000</v>
      </c>
    </row>
    <row r="389" spans="1:4">
      <c r="A389" s="7" t="s">
        <v>397</v>
      </c>
      <c r="B389" s="2">
        <v>1600105</v>
      </c>
      <c r="C389" s="2" t="s">
        <v>260</v>
      </c>
      <c r="D389" s="3">
        <f>VLOOKUP(B389,Sheet2!$A:$O,4,0)</f>
        <v>73000</v>
      </c>
    </row>
    <row r="390" spans="1:4">
      <c r="A390" s="7" t="s">
        <v>397</v>
      </c>
      <c r="B390" s="2">
        <v>1600106</v>
      </c>
      <c r="C390" s="2" t="s">
        <v>261</v>
      </c>
      <c r="D390" s="3">
        <f>VLOOKUP(B390,Sheet2!$A:$O,4,0)</f>
        <v>66667</v>
      </c>
    </row>
    <row r="391" spans="1:4">
      <c r="A391" s="7" t="s">
        <v>397</v>
      </c>
      <c r="B391" s="2">
        <v>1600107</v>
      </c>
      <c r="C391" s="2" t="s">
        <v>262</v>
      </c>
      <c r="D391" s="3">
        <f>VLOOKUP(B391,Sheet2!$A:$O,4,0)</f>
        <v>67647</v>
      </c>
    </row>
    <row r="392" spans="1:4">
      <c r="A392" s="7" t="s">
        <v>397</v>
      </c>
      <c r="B392" s="2">
        <v>1600108</v>
      </c>
      <c r="C392" s="2" t="s">
        <v>263</v>
      </c>
      <c r="D392" s="3">
        <f>VLOOKUP(B392,Sheet2!$A:$O,4,0)</f>
        <v>67647</v>
      </c>
    </row>
    <row r="393" spans="1:4">
      <c r="A393" s="7" t="s">
        <v>397</v>
      </c>
      <c r="B393" s="2">
        <v>1600109</v>
      </c>
      <c r="C393" s="2" t="s">
        <v>264</v>
      </c>
      <c r="D393" s="3">
        <f>VLOOKUP(B393,Sheet2!$A:$O,4,0)</f>
        <v>3529</v>
      </c>
    </row>
    <row r="394" spans="1:4">
      <c r="A394" s="7" t="s">
        <v>397</v>
      </c>
      <c r="B394" s="2">
        <v>1600110</v>
      </c>
      <c r="C394" s="2" t="s">
        <v>265</v>
      </c>
      <c r="D394" s="3">
        <f>VLOOKUP(B394,Sheet2!$A:$O,4,0)</f>
        <v>7917</v>
      </c>
    </row>
    <row r="395" spans="1:4">
      <c r="A395" s="7" t="s">
        <v>397</v>
      </c>
      <c r="B395" s="2">
        <v>1600111</v>
      </c>
      <c r="C395" s="2" t="s">
        <v>266</v>
      </c>
      <c r="D395" s="3">
        <f>VLOOKUP(B395,Sheet2!$A:$O,4,0)</f>
        <v>2266</v>
      </c>
    </row>
    <row r="396" spans="1:4">
      <c r="A396" s="7" t="s">
        <v>397</v>
      </c>
      <c r="B396" s="2">
        <v>1600112</v>
      </c>
      <c r="C396" s="2" t="s">
        <v>190</v>
      </c>
      <c r="D396" s="3">
        <f>VLOOKUP(B396,Sheet2!$A:$O,4,0)</f>
        <v>4800</v>
      </c>
    </row>
    <row r="397" spans="1:4">
      <c r="A397" s="7" t="s">
        <v>397</v>
      </c>
      <c r="B397" s="2">
        <v>1600113</v>
      </c>
      <c r="C397" s="2" t="s">
        <v>267</v>
      </c>
      <c r="D397" s="3">
        <f>VLOOKUP(B397,Sheet2!$A:$O,4,0)</f>
        <v>0</v>
      </c>
    </row>
    <row r="398" spans="1:4">
      <c r="A398" s="7" t="s">
        <v>397</v>
      </c>
      <c r="B398" s="2">
        <v>1600114</v>
      </c>
      <c r="C398" s="2" t="s">
        <v>268</v>
      </c>
      <c r="D398" s="3">
        <f>VLOOKUP(B398,Sheet2!$A:$O,4,0)</f>
        <v>14490</v>
      </c>
    </row>
    <row r="399" spans="1:4">
      <c r="A399" s="7" t="s">
        <v>397</v>
      </c>
      <c r="B399" s="2">
        <v>1700001</v>
      </c>
      <c r="C399" s="2" t="s">
        <v>269</v>
      </c>
      <c r="D399" s="3">
        <f>VLOOKUP(B399,Sheet2!$A:$O,4,0)</f>
        <v>3566</v>
      </c>
    </row>
    <row r="400" spans="1:4">
      <c r="A400" s="7" t="s">
        <v>397</v>
      </c>
      <c r="B400" s="2">
        <v>1700002</v>
      </c>
      <c r="C400" s="2" t="s">
        <v>270</v>
      </c>
      <c r="D400" s="3">
        <f>VLOOKUP(B400,Sheet2!$A:$O,4,0)</f>
        <v>3726</v>
      </c>
    </row>
    <row r="401" spans="1:4">
      <c r="A401" s="7" t="s">
        <v>397</v>
      </c>
      <c r="B401" s="2">
        <v>1700003</v>
      </c>
      <c r="C401" s="2" t="s">
        <v>271</v>
      </c>
      <c r="D401" s="3">
        <f>VLOOKUP(B401,Sheet2!$A:$O,4,0)</f>
        <v>4902</v>
      </c>
    </row>
    <row r="402" spans="1:4">
      <c r="A402" s="7" t="s">
        <v>397</v>
      </c>
      <c r="B402" s="2">
        <v>1700004</v>
      </c>
      <c r="C402" s="2" t="s">
        <v>272</v>
      </c>
      <c r="D402" s="3">
        <f>VLOOKUP(B402,Sheet2!$A:$O,4,0)</f>
        <v>13137</v>
      </c>
    </row>
    <row r="403" spans="1:4">
      <c r="A403" s="7" t="s">
        <v>397</v>
      </c>
      <c r="B403" s="2">
        <v>1700005</v>
      </c>
      <c r="C403" s="2" t="s">
        <v>192</v>
      </c>
      <c r="D403" s="3">
        <f>VLOOKUP(B403,Sheet2!$A:$O,4,0)</f>
        <v>1667</v>
      </c>
    </row>
    <row r="404" spans="1:4">
      <c r="A404" s="7" t="s">
        <v>397</v>
      </c>
      <c r="B404" s="2">
        <v>1700006</v>
      </c>
      <c r="C404" s="2" t="s">
        <v>273</v>
      </c>
      <c r="D404" s="3">
        <f>VLOOKUP(B404,Sheet2!$A:$O,4,0)</f>
        <v>6000</v>
      </c>
    </row>
    <row r="405" spans="1:4">
      <c r="A405" s="7" t="s">
        <v>397</v>
      </c>
      <c r="B405" s="2">
        <v>1700007</v>
      </c>
      <c r="C405" s="2" t="s">
        <v>274</v>
      </c>
      <c r="D405" s="3">
        <f>VLOOKUP(B405,Sheet2!$A:$O,4,0)</f>
        <v>0</v>
      </c>
    </row>
    <row r="406" spans="1:4">
      <c r="A406" s="7" t="s">
        <v>397</v>
      </c>
      <c r="B406" s="2">
        <v>1700008</v>
      </c>
      <c r="C406" s="2" t="s">
        <v>275</v>
      </c>
      <c r="D406" s="3">
        <f>VLOOKUP(B406,Sheet2!$A:$O,4,0)</f>
        <v>0</v>
      </c>
    </row>
    <row r="407" spans="1:4">
      <c r="A407" s="7" t="s">
        <v>397</v>
      </c>
      <c r="B407" s="2">
        <v>1700009</v>
      </c>
      <c r="C407" s="2" t="s">
        <v>276</v>
      </c>
      <c r="D407" s="3">
        <f>VLOOKUP(B407,Sheet2!$A:$O,4,0)</f>
        <v>0</v>
      </c>
    </row>
    <row r="408" spans="1:4">
      <c r="A408" s="7" t="s">
        <v>397</v>
      </c>
      <c r="B408" s="2">
        <v>1700010</v>
      </c>
      <c r="C408" s="2" t="s">
        <v>277</v>
      </c>
      <c r="D408" s="3">
        <f>VLOOKUP(B408,Sheet2!$A:$O,4,0)</f>
        <v>4530</v>
      </c>
    </row>
    <row r="409" spans="1:4">
      <c r="A409" s="7" t="s">
        <v>397</v>
      </c>
      <c r="B409" s="2">
        <v>1700011</v>
      </c>
      <c r="C409" s="2" t="s">
        <v>278</v>
      </c>
      <c r="D409" s="3">
        <f>VLOOKUP(B409,Sheet2!$A:$O,4,0)</f>
        <v>0</v>
      </c>
    </row>
    <row r="410" spans="1:4">
      <c r="A410" s="7" t="s">
        <v>397</v>
      </c>
      <c r="B410" s="2">
        <v>1700012</v>
      </c>
      <c r="C410" s="2" t="s">
        <v>279</v>
      </c>
      <c r="D410" s="3">
        <f>VLOOKUP(B410,Sheet2!$A:$O,4,0)</f>
        <v>12255</v>
      </c>
    </row>
    <row r="411" spans="1:4">
      <c r="A411" s="7" t="s">
        <v>397</v>
      </c>
      <c r="B411" s="2">
        <v>1700013</v>
      </c>
      <c r="C411" s="2" t="s">
        <v>280</v>
      </c>
      <c r="D411" s="3">
        <f>VLOOKUP(B411,Sheet2!$A:$O,4,0)</f>
        <v>657</v>
      </c>
    </row>
    <row r="412" spans="1:4">
      <c r="A412" s="7" t="s">
        <v>397</v>
      </c>
      <c r="B412" s="2">
        <v>1700014</v>
      </c>
      <c r="C412" s="2" t="s">
        <v>194</v>
      </c>
      <c r="D412" s="3">
        <f>VLOOKUP(B412,Sheet2!$A:$O,4,0)</f>
        <v>2255</v>
      </c>
    </row>
    <row r="413" spans="1:4">
      <c r="A413" s="7" t="s">
        <v>397</v>
      </c>
      <c r="B413" s="2">
        <v>1700015</v>
      </c>
      <c r="C413" s="2" t="s">
        <v>281</v>
      </c>
      <c r="D413" s="3">
        <f>VLOOKUP(B413,Sheet2!$A:$O,4,0)</f>
        <v>2300</v>
      </c>
    </row>
    <row r="414" spans="1:4">
      <c r="A414" s="7" t="s">
        <v>397</v>
      </c>
      <c r="B414" s="2">
        <v>1700016</v>
      </c>
      <c r="C414" s="2" t="s">
        <v>282</v>
      </c>
      <c r="D414" s="3">
        <f>VLOOKUP(B414,Sheet2!$A:$O,4,0)</f>
        <v>8216</v>
      </c>
    </row>
    <row r="415" spans="1:4">
      <c r="A415" s="7" t="s">
        <v>397</v>
      </c>
      <c r="B415" s="2">
        <v>1700017</v>
      </c>
      <c r="C415" s="2" t="s">
        <v>283</v>
      </c>
      <c r="D415" s="3">
        <f>VLOOKUP(B415,Sheet2!$A:$O,4,0)</f>
        <v>10530</v>
      </c>
    </row>
    <row r="416" spans="1:4">
      <c r="A416" s="7" t="s">
        <v>397</v>
      </c>
      <c r="B416" s="2">
        <v>1700018</v>
      </c>
      <c r="C416" s="2" t="s">
        <v>284</v>
      </c>
      <c r="D416" s="3">
        <f>VLOOKUP(B416,Sheet2!$A:$O,4,0)</f>
        <v>4791</v>
      </c>
    </row>
    <row r="417" spans="1:4">
      <c r="A417" s="7" t="s">
        <v>397</v>
      </c>
      <c r="B417" s="2">
        <v>1700019</v>
      </c>
      <c r="C417" s="2" t="s">
        <v>285</v>
      </c>
      <c r="D417" s="3">
        <f>VLOOKUP(B417,Sheet2!$A:$O,4,0)</f>
        <v>0</v>
      </c>
    </row>
    <row r="418" spans="1:4">
      <c r="A418" s="7" t="s">
        <v>397</v>
      </c>
      <c r="B418" s="2">
        <v>1700020</v>
      </c>
      <c r="C418" s="2" t="s">
        <v>286</v>
      </c>
      <c r="D418" s="3">
        <f>VLOOKUP(B418,Sheet2!$A:$O,4,0)</f>
        <v>50211</v>
      </c>
    </row>
    <row r="419" spans="1:4">
      <c r="A419" s="7" t="s">
        <v>397</v>
      </c>
      <c r="B419" s="2">
        <v>1700021</v>
      </c>
      <c r="C419" s="2" t="s">
        <v>287</v>
      </c>
      <c r="D419" s="3">
        <f>VLOOKUP(B419,Sheet2!$A:$O,4,0)</f>
        <v>73804</v>
      </c>
    </row>
    <row r="420" spans="1:4">
      <c r="A420" s="7" t="s">
        <v>397</v>
      </c>
      <c r="B420" s="2">
        <v>1700022</v>
      </c>
      <c r="C420" s="2" t="s">
        <v>288</v>
      </c>
      <c r="D420" s="3">
        <f>VLOOKUP(B420,Sheet2!$A:$O,4,0)</f>
        <v>26628</v>
      </c>
    </row>
    <row r="421" spans="1:4">
      <c r="A421" s="7" t="s">
        <v>397</v>
      </c>
      <c r="B421" s="2">
        <v>1700023</v>
      </c>
      <c r="C421" s="2" t="s">
        <v>289</v>
      </c>
      <c r="D421" s="3">
        <f>VLOOKUP(B421,Sheet2!$A:$O,4,0)</f>
        <v>4824</v>
      </c>
    </row>
    <row r="422" spans="1:4">
      <c r="A422" s="7" t="s">
        <v>397</v>
      </c>
      <c r="B422" s="2">
        <v>1700024</v>
      </c>
      <c r="C422" s="2" t="s">
        <v>290</v>
      </c>
      <c r="D422" s="3">
        <f>VLOOKUP(B422,Sheet2!$A:$O,4,0)</f>
        <v>0</v>
      </c>
    </row>
    <row r="423" spans="1:4">
      <c r="A423" s="7" t="s">
        <v>397</v>
      </c>
      <c r="B423" s="2">
        <v>1700025</v>
      </c>
      <c r="C423" s="2" t="s">
        <v>291</v>
      </c>
      <c r="D423" s="3">
        <f>VLOOKUP(B423,Sheet2!$A:$O,4,0)</f>
        <v>0</v>
      </c>
    </row>
    <row r="424" spans="1:4">
      <c r="A424" s="7" t="s">
        <v>397</v>
      </c>
      <c r="B424" s="2">
        <v>1700026</v>
      </c>
      <c r="C424" s="2" t="s">
        <v>292</v>
      </c>
      <c r="D424" s="3">
        <f>VLOOKUP(B424,Sheet2!$A:$O,4,0)</f>
        <v>3725</v>
      </c>
    </row>
    <row r="425" spans="1:4">
      <c r="A425" s="7" t="s">
        <v>397</v>
      </c>
      <c r="B425" s="2">
        <v>1700027</v>
      </c>
      <c r="C425" s="2" t="s">
        <v>293</v>
      </c>
      <c r="D425" s="3">
        <f>VLOOKUP(B425,Sheet2!$A:$O,4,0)</f>
        <v>4902</v>
      </c>
    </row>
    <row r="426" spans="1:4">
      <c r="A426" s="7" t="s">
        <v>397</v>
      </c>
      <c r="B426" s="2">
        <v>1700028</v>
      </c>
      <c r="C426" s="2" t="s">
        <v>294</v>
      </c>
      <c r="D426" s="3">
        <f>VLOOKUP(B426,Sheet2!$A:$O,4,0)</f>
        <v>9500</v>
      </c>
    </row>
    <row r="427" spans="1:4">
      <c r="A427" s="7" t="s">
        <v>397</v>
      </c>
      <c r="B427" s="2">
        <v>1700029</v>
      </c>
      <c r="C427" s="2" t="s">
        <v>295</v>
      </c>
      <c r="D427" s="3">
        <f>VLOOKUP(B427,Sheet2!$A:$O,4,0)</f>
        <v>10670</v>
      </c>
    </row>
    <row r="428" spans="1:4">
      <c r="A428" s="7" t="s">
        <v>397</v>
      </c>
      <c r="B428" s="2">
        <v>1700030</v>
      </c>
      <c r="C428" s="2" t="s">
        <v>296</v>
      </c>
      <c r="D428" s="3">
        <f>VLOOKUP(B428,Sheet2!$A:$O,4,0)</f>
        <v>12720</v>
      </c>
    </row>
    <row r="429" spans="1:4">
      <c r="A429" s="7" t="s">
        <v>397</v>
      </c>
      <c r="B429" s="2">
        <v>1700031</v>
      </c>
      <c r="C429" s="2" t="s">
        <v>196</v>
      </c>
      <c r="D429" s="3">
        <f>VLOOKUP(B429,Sheet2!$A:$O,4,0)</f>
        <v>1961</v>
      </c>
    </row>
    <row r="430" spans="1:4">
      <c r="A430" s="7" t="s">
        <v>397</v>
      </c>
      <c r="B430" s="2">
        <v>1700032</v>
      </c>
      <c r="C430" s="2" t="s">
        <v>297</v>
      </c>
      <c r="D430" s="3">
        <f>VLOOKUP(B430,Sheet2!$A:$O,4,0)</f>
        <v>0</v>
      </c>
    </row>
    <row r="431" spans="1:4">
      <c r="A431" s="7" t="s">
        <v>397</v>
      </c>
      <c r="B431" s="2">
        <v>1700033</v>
      </c>
      <c r="C431" s="2" t="s">
        <v>298</v>
      </c>
      <c r="D431" s="3">
        <f>VLOOKUP(B431,Sheet2!$A:$O,4,0)</f>
        <v>0</v>
      </c>
    </row>
    <row r="432" spans="1:4">
      <c r="A432" s="7" t="s">
        <v>397</v>
      </c>
      <c r="B432" s="2">
        <v>1700034</v>
      </c>
      <c r="C432" s="2" t="s">
        <v>299</v>
      </c>
      <c r="D432" s="3">
        <f>VLOOKUP(B432,Sheet2!$A:$O,4,0)</f>
        <v>15125</v>
      </c>
    </row>
    <row r="433" spans="1:4">
      <c r="A433" s="7" t="s">
        <v>397</v>
      </c>
      <c r="B433" s="2">
        <v>1700035</v>
      </c>
      <c r="C433" s="2" t="s">
        <v>300</v>
      </c>
      <c r="D433" s="3">
        <f>VLOOKUP(B433,Sheet2!$A:$O,4,0)</f>
        <v>34000</v>
      </c>
    </row>
    <row r="434" spans="1:4">
      <c r="A434" s="7" t="s">
        <v>397</v>
      </c>
      <c r="B434" s="2">
        <v>1700036</v>
      </c>
      <c r="C434" s="2" t="s">
        <v>301</v>
      </c>
      <c r="D434" s="3">
        <f>VLOOKUP(B434,Sheet2!$A:$O,4,0)</f>
        <v>4000</v>
      </c>
    </row>
    <row r="435" spans="1:4">
      <c r="A435" s="7" t="s">
        <v>397</v>
      </c>
      <c r="B435" s="2">
        <v>1700037</v>
      </c>
      <c r="C435" s="2" t="s">
        <v>302</v>
      </c>
      <c r="D435" s="3">
        <f>VLOOKUP(B435,Sheet2!$A:$O,4,0)</f>
        <v>7133</v>
      </c>
    </row>
    <row r="436" spans="1:4">
      <c r="A436" s="7" t="s">
        <v>397</v>
      </c>
      <c r="B436" s="2">
        <v>1700038</v>
      </c>
      <c r="C436" s="2" t="s">
        <v>303</v>
      </c>
      <c r="D436" s="3">
        <f>VLOOKUP(B436,Sheet2!$A:$O,4,0)</f>
        <v>2079</v>
      </c>
    </row>
    <row r="437" spans="1:4">
      <c r="A437" s="7" t="s">
        <v>397</v>
      </c>
      <c r="B437" s="2">
        <v>1700039</v>
      </c>
      <c r="C437" s="2" t="s">
        <v>304</v>
      </c>
      <c r="D437" s="3">
        <f>VLOOKUP(B437,Sheet2!$A:$O,4,0)</f>
        <v>2000</v>
      </c>
    </row>
    <row r="438" spans="1:4">
      <c r="A438" s="7" t="s">
        <v>397</v>
      </c>
      <c r="B438" s="2">
        <v>1700040</v>
      </c>
      <c r="C438" s="2" t="s">
        <v>305</v>
      </c>
      <c r="D438" s="3">
        <f>VLOOKUP(B438,Sheet2!$A:$O,4,0)</f>
        <v>1967</v>
      </c>
    </row>
    <row r="439" spans="1:4">
      <c r="A439" s="7" t="s">
        <v>397</v>
      </c>
      <c r="B439" s="2">
        <v>1700041</v>
      </c>
      <c r="C439" s="2" t="s">
        <v>306</v>
      </c>
      <c r="D439" s="3">
        <f>VLOOKUP(B439,Sheet2!$A:$O,4,0)</f>
        <v>3000</v>
      </c>
    </row>
    <row r="440" spans="1:4">
      <c r="A440" s="7" t="s">
        <v>397</v>
      </c>
      <c r="B440" s="2">
        <v>1700042</v>
      </c>
      <c r="C440" s="2" t="s">
        <v>307</v>
      </c>
      <c r="D440" s="3">
        <f>VLOOKUP(B440,Sheet2!$A:$O,4,0)</f>
        <v>3200</v>
      </c>
    </row>
    <row r="441" spans="1:4">
      <c r="A441" s="7" t="s">
        <v>397</v>
      </c>
      <c r="B441" s="2">
        <v>1700043</v>
      </c>
      <c r="C441" s="2" t="s">
        <v>308</v>
      </c>
      <c r="D441" s="3">
        <f>VLOOKUP(B441,Sheet2!$A:$O,4,0)</f>
        <v>4990</v>
      </c>
    </row>
    <row r="442" spans="1:4">
      <c r="A442" s="7" t="s">
        <v>397</v>
      </c>
      <c r="B442" s="2">
        <v>1700044</v>
      </c>
      <c r="C442" s="2" t="s">
        <v>309</v>
      </c>
      <c r="D442" s="3">
        <f>VLOOKUP(B442,Sheet2!$A:$O,4,0)</f>
        <v>7000</v>
      </c>
    </row>
    <row r="443" spans="1:4">
      <c r="A443" s="7" t="s">
        <v>397</v>
      </c>
      <c r="B443" s="2">
        <v>1700045</v>
      </c>
      <c r="C443" s="2" t="s">
        <v>310</v>
      </c>
      <c r="D443" s="3">
        <f>VLOOKUP(B443,Sheet2!$A:$O,4,0)</f>
        <v>4382</v>
      </c>
    </row>
    <row r="444" spans="1:4">
      <c r="A444" s="7" t="s">
        <v>397</v>
      </c>
      <c r="B444" s="2">
        <v>1700046</v>
      </c>
      <c r="C444" s="2" t="s">
        <v>311</v>
      </c>
      <c r="D444" s="3">
        <f>VLOOKUP(B444,Sheet2!$A:$O,4,0)</f>
        <v>6176</v>
      </c>
    </row>
    <row r="445" spans="1:4">
      <c r="A445" s="7" t="s">
        <v>397</v>
      </c>
      <c r="B445" s="2">
        <v>1700047</v>
      </c>
      <c r="C445" s="2" t="s">
        <v>312</v>
      </c>
      <c r="D445" s="3">
        <f>VLOOKUP(B445,Sheet2!$A:$O,4,0)</f>
        <v>25000</v>
      </c>
    </row>
    <row r="446" spans="1:4">
      <c r="A446" s="7" t="s">
        <v>397</v>
      </c>
      <c r="B446" s="2">
        <v>1700048</v>
      </c>
      <c r="C446" s="2" t="s">
        <v>313</v>
      </c>
      <c r="D446" s="3">
        <f>VLOOKUP(B446,Sheet2!$A:$O,4,0)</f>
        <v>13330</v>
      </c>
    </row>
    <row r="447" spans="1:4">
      <c r="A447" s="7" t="s">
        <v>397</v>
      </c>
      <c r="B447" s="2">
        <v>1700049</v>
      </c>
      <c r="C447" s="2" t="s">
        <v>314</v>
      </c>
      <c r="D447" s="3">
        <f>VLOOKUP(B447,Sheet2!$A:$O,4,0)</f>
        <v>5785</v>
      </c>
    </row>
    <row r="448" spans="1:4">
      <c r="A448" s="7" t="s">
        <v>397</v>
      </c>
      <c r="B448" s="2">
        <v>1700050</v>
      </c>
      <c r="C448" s="2" t="s">
        <v>315</v>
      </c>
      <c r="D448" s="3">
        <f>VLOOKUP(B448,Sheet2!$A:$O,4,0)</f>
        <v>39000</v>
      </c>
    </row>
    <row r="449" spans="1:4">
      <c r="A449" s="7" t="s">
        <v>397</v>
      </c>
      <c r="B449" s="2">
        <v>1700051</v>
      </c>
      <c r="C449" s="2" t="s">
        <v>316</v>
      </c>
      <c r="D449" s="3">
        <f>VLOOKUP(B449,Sheet2!$A:$O,4,0)</f>
        <v>11500</v>
      </c>
    </row>
    <row r="450" spans="1:4">
      <c r="A450" s="7" t="s">
        <v>397</v>
      </c>
      <c r="B450" s="2">
        <v>1700052</v>
      </c>
      <c r="C450" s="2" t="s">
        <v>317</v>
      </c>
      <c r="D450" s="3">
        <f>VLOOKUP(B450,Sheet2!$A:$O,4,0)</f>
        <v>3444</v>
      </c>
    </row>
    <row r="451" spans="1:4">
      <c r="A451" s="7" t="s">
        <v>397</v>
      </c>
      <c r="B451" s="2">
        <v>1700053</v>
      </c>
      <c r="C451" s="2" t="s">
        <v>318</v>
      </c>
      <c r="D451" s="3">
        <f>VLOOKUP(B451,Sheet2!$A:$O,4,0)</f>
        <v>15530</v>
      </c>
    </row>
    <row r="452" spans="1:4">
      <c r="A452" s="7" t="s">
        <v>397</v>
      </c>
      <c r="B452" s="2">
        <v>1700054</v>
      </c>
      <c r="C452" s="2" t="s">
        <v>319</v>
      </c>
      <c r="D452" s="3">
        <f>VLOOKUP(B452,Sheet2!$A:$O,4,0)</f>
        <v>11670</v>
      </c>
    </row>
    <row r="453" spans="1:4">
      <c r="A453" s="7" t="s">
        <v>397</v>
      </c>
      <c r="B453" s="2">
        <v>1700055</v>
      </c>
      <c r="C453" s="2" t="s">
        <v>320</v>
      </c>
      <c r="D453" s="3">
        <f>VLOOKUP(B453,Sheet2!$A:$O,4,0)</f>
        <v>11940</v>
      </c>
    </row>
    <row r="454" spans="1:4">
      <c r="A454" s="7" t="s">
        <v>397</v>
      </c>
      <c r="B454" s="2">
        <v>1700056</v>
      </c>
      <c r="C454" s="2" t="s">
        <v>321</v>
      </c>
      <c r="D454" s="3">
        <f>VLOOKUP(B454,Sheet2!$A:$O,4,0)</f>
        <v>6226</v>
      </c>
    </row>
    <row r="455" spans="1:4">
      <c r="A455" s="7" t="s">
        <v>397</v>
      </c>
      <c r="B455" s="2">
        <v>1700057</v>
      </c>
      <c r="C455" s="2" t="s">
        <v>322</v>
      </c>
      <c r="D455" s="3">
        <f>VLOOKUP(B455,Sheet2!$A:$O,4,0)</f>
        <v>2098</v>
      </c>
    </row>
    <row r="456" spans="1:4">
      <c r="A456" s="7" t="s">
        <v>397</v>
      </c>
      <c r="B456" s="2">
        <v>1700058</v>
      </c>
      <c r="C456" s="2" t="s">
        <v>323</v>
      </c>
      <c r="D456" s="3">
        <f>VLOOKUP(B456,Sheet2!$A:$O,4,0)</f>
        <v>5800</v>
      </c>
    </row>
    <row r="457" spans="1:4">
      <c r="A457" s="7" t="s">
        <v>397</v>
      </c>
      <c r="B457" s="2">
        <v>1700059</v>
      </c>
      <c r="C457" s="2" t="s">
        <v>324</v>
      </c>
      <c r="D457" s="3">
        <f>VLOOKUP(B457,Sheet2!$A:$O,4,0)</f>
        <v>27667</v>
      </c>
    </row>
    <row r="458" spans="1:4">
      <c r="A458" s="7" t="s">
        <v>397</v>
      </c>
      <c r="B458" s="2">
        <v>1700060</v>
      </c>
      <c r="C458" s="2" t="s">
        <v>325</v>
      </c>
      <c r="D458" s="3">
        <f>VLOOKUP(B458,Sheet2!$A:$O,4,0)</f>
        <v>8245</v>
      </c>
    </row>
    <row r="459" spans="1:4">
      <c r="A459" s="7" t="s">
        <v>397</v>
      </c>
      <c r="B459" s="2">
        <v>1700061</v>
      </c>
      <c r="C459" s="2" t="s">
        <v>326</v>
      </c>
      <c r="D459" s="3">
        <f>VLOOKUP(B459,Sheet2!$A:$O,4,0)</f>
        <v>8920</v>
      </c>
    </row>
    <row r="460" spans="1:4">
      <c r="A460" s="7" t="s">
        <v>397</v>
      </c>
      <c r="B460" s="2">
        <v>1700062</v>
      </c>
      <c r="C460" s="2" t="s">
        <v>327</v>
      </c>
      <c r="D460" s="3">
        <f>VLOOKUP(B460,Sheet2!$A:$O,4,0)</f>
        <v>10520</v>
      </c>
    </row>
    <row r="461" spans="1:4">
      <c r="A461" s="7" t="s">
        <v>397</v>
      </c>
      <c r="B461" s="2">
        <v>1700063</v>
      </c>
      <c r="C461" s="2" t="s">
        <v>328</v>
      </c>
      <c r="D461" s="3">
        <f>VLOOKUP(B461,Sheet2!$A:$O,4,0)</f>
        <v>10550</v>
      </c>
    </row>
    <row r="462" spans="1:4">
      <c r="A462" s="7" t="s">
        <v>397</v>
      </c>
      <c r="B462" s="2">
        <v>1700064</v>
      </c>
      <c r="C462" s="2" t="s">
        <v>329</v>
      </c>
      <c r="D462" s="3">
        <f>VLOOKUP(B462,Sheet2!$A:$O,4,0)</f>
        <v>11060</v>
      </c>
    </row>
    <row r="463" spans="1:4">
      <c r="A463" s="7" t="s">
        <v>397</v>
      </c>
      <c r="B463" s="2">
        <v>1700065</v>
      </c>
      <c r="C463" s="2" t="s">
        <v>330</v>
      </c>
      <c r="D463" s="3">
        <f>VLOOKUP(B463,Sheet2!$A:$O,4,0)</f>
        <v>12760</v>
      </c>
    </row>
    <row r="464" spans="1:4">
      <c r="A464" s="7" t="s">
        <v>397</v>
      </c>
      <c r="B464" s="2">
        <v>1700066</v>
      </c>
      <c r="C464" s="2" t="s">
        <v>331</v>
      </c>
      <c r="D464" s="3">
        <f>VLOOKUP(B464,Sheet2!$A:$O,4,0)</f>
        <v>13200</v>
      </c>
    </row>
    <row r="465" spans="1:4">
      <c r="A465" s="7" t="s">
        <v>397</v>
      </c>
      <c r="B465" s="2">
        <v>1700067</v>
      </c>
      <c r="C465" s="2" t="s">
        <v>332</v>
      </c>
      <c r="D465" s="3">
        <f>VLOOKUP(B465,Sheet2!$A:$O,4,0)</f>
        <v>10720</v>
      </c>
    </row>
    <row r="466" spans="1:4">
      <c r="A466" s="7" t="s">
        <v>397</v>
      </c>
      <c r="B466" s="2">
        <v>1700068</v>
      </c>
      <c r="C466" s="2" t="s">
        <v>333</v>
      </c>
      <c r="D466" s="3">
        <f>VLOOKUP(B466,Sheet2!$A:$O,4,0)</f>
        <v>12720</v>
      </c>
    </row>
    <row r="467" spans="1:4">
      <c r="A467" s="7" t="s">
        <v>397</v>
      </c>
      <c r="B467" s="2">
        <v>1700069</v>
      </c>
      <c r="C467" s="2" t="s">
        <v>334</v>
      </c>
      <c r="D467" s="3">
        <f>VLOOKUP(B467,Sheet2!$A:$O,4,0)</f>
        <v>14000</v>
      </c>
    </row>
    <row r="468" spans="1:4">
      <c r="A468" s="7" t="s">
        <v>397</v>
      </c>
      <c r="B468" s="2">
        <v>1700070</v>
      </c>
      <c r="C468" s="2" t="s">
        <v>335</v>
      </c>
      <c r="D468" s="3">
        <f>VLOOKUP(B468,Sheet2!$A:$O,4,0)</f>
        <v>1618</v>
      </c>
    </row>
    <row r="469" spans="1:4">
      <c r="A469" s="7" t="s">
        <v>397</v>
      </c>
      <c r="B469" s="2">
        <v>1700071</v>
      </c>
      <c r="C469" s="2" t="s">
        <v>336</v>
      </c>
      <c r="D469" s="3">
        <f>VLOOKUP(B469,Sheet2!$A:$O,4,0)</f>
        <v>12190</v>
      </c>
    </row>
    <row r="470" spans="1:4">
      <c r="A470" s="7" t="s">
        <v>397</v>
      </c>
      <c r="B470" s="2">
        <v>1700072</v>
      </c>
      <c r="C470" s="2" t="s">
        <v>337</v>
      </c>
      <c r="D470" s="3">
        <f>VLOOKUP(B470,Sheet2!$A:$O,4,0)</f>
        <v>10180</v>
      </c>
    </row>
    <row r="471" spans="1:4">
      <c r="A471" s="7" t="s">
        <v>397</v>
      </c>
      <c r="B471" s="2">
        <v>1700073</v>
      </c>
      <c r="C471" s="2" t="s">
        <v>338</v>
      </c>
      <c r="D471" s="3">
        <f>VLOOKUP(B471,Sheet2!$A:$O,4,0)</f>
        <v>9020</v>
      </c>
    </row>
    <row r="472" spans="1:4">
      <c r="A472" s="7" t="s">
        <v>397</v>
      </c>
      <c r="B472" s="2">
        <v>1700076</v>
      </c>
      <c r="C472" s="2" t="s">
        <v>339</v>
      </c>
      <c r="D472" s="3">
        <f>VLOOKUP(B472,Sheet2!$A:$O,4,0)</f>
        <v>3480</v>
      </c>
    </row>
    <row r="473" spans="1:4">
      <c r="A473" s="7" t="s">
        <v>397</v>
      </c>
      <c r="B473" s="2">
        <v>1700077</v>
      </c>
      <c r="C473" s="2" t="s">
        <v>340</v>
      </c>
      <c r="D473" s="3">
        <f>VLOOKUP(B473,Sheet2!$A:$O,4,0)</f>
        <v>3265</v>
      </c>
    </row>
    <row r="474" spans="1:4">
      <c r="A474" s="7" t="s">
        <v>397</v>
      </c>
      <c r="B474" s="2">
        <v>1700078</v>
      </c>
      <c r="C474" s="2" t="s">
        <v>341</v>
      </c>
      <c r="D474" s="3">
        <f>VLOOKUP(B474,Sheet2!$A:$O,4,0)</f>
        <v>4078</v>
      </c>
    </row>
    <row r="475" spans="1:4">
      <c r="A475" s="7" t="s">
        <v>397</v>
      </c>
      <c r="B475" s="2">
        <v>1700080</v>
      </c>
      <c r="C475" s="2" t="s">
        <v>342</v>
      </c>
      <c r="D475" s="3">
        <f>VLOOKUP(B475,Sheet2!$A:$O,4,0)</f>
        <v>3529</v>
      </c>
    </row>
    <row r="476" spans="1:4">
      <c r="A476" s="7" t="s">
        <v>397</v>
      </c>
      <c r="B476" s="2">
        <v>1700083</v>
      </c>
      <c r="C476" s="2" t="s">
        <v>343</v>
      </c>
      <c r="D476" s="3">
        <f>VLOOKUP(B476,Sheet2!$A:$O,4,0)</f>
        <v>4435</v>
      </c>
    </row>
    <row r="477" spans="1:4">
      <c r="A477" s="7" t="s">
        <v>397</v>
      </c>
      <c r="B477" s="2">
        <v>1700084</v>
      </c>
      <c r="C477" s="2" t="s">
        <v>344</v>
      </c>
      <c r="D477" s="3">
        <f>VLOOKUP(B477,Sheet2!$A:$O,4,0)</f>
        <v>11092</v>
      </c>
    </row>
    <row r="478" spans="1:4">
      <c r="A478" s="7" t="s">
        <v>397</v>
      </c>
      <c r="B478" s="2">
        <v>1700085</v>
      </c>
      <c r="C478" s="2" t="s">
        <v>345</v>
      </c>
      <c r="D478" s="3">
        <f>VLOOKUP(B478,Sheet2!$A:$O,4,0)</f>
        <v>7720</v>
      </c>
    </row>
    <row r="479" spans="1:4">
      <c r="A479" s="7" t="s">
        <v>397</v>
      </c>
      <c r="B479" s="2">
        <v>1700086</v>
      </c>
      <c r="C479" s="2" t="s">
        <v>346</v>
      </c>
      <c r="D479" s="3">
        <f>VLOOKUP(B479,Sheet2!$A:$O,4,0)</f>
        <v>2657</v>
      </c>
    </row>
    <row r="480" spans="1:4">
      <c r="A480" s="7" t="s">
        <v>397</v>
      </c>
      <c r="B480" s="2">
        <v>1700087</v>
      </c>
      <c r="C480" s="2" t="s">
        <v>347</v>
      </c>
      <c r="D480" s="3">
        <f>VLOOKUP(B480,Sheet2!$A:$O,4,0)</f>
        <v>4660</v>
      </c>
    </row>
    <row r="481" spans="1:4">
      <c r="A481" s="7" t="s">
        <v>397</v>
      </c>
      <c r="B481" s="2">
        <v>1700088</v>
      </c>
      <c r="C481" s="2" t="s">
        <v>348</v>
      </c>
      <c r="D481" s="3">
        <f>VLOOKUP(B481,Sheet2!$A:$O,4,0)</f>
        <v>15500</v>
      </c>
    </row>
    <row r="482" spans="1:4">
      <c r="A482" s="7" t="s">
        <v>397</v>
      </c>
      <c r="B482" s="2">
        <v>1700089</v>
      </c>
      <c r="C482" s="2" t="s">
        <v>349</v>
      </c>
      <c r="D482" s="3">
        <f>VLOOKUP(B482,Sheet2!$A:$O,4,0)</f>
        <v>18500</v>
      </c>
    </row>
    <row r="483" spans="1:4">
      <c r="A483" s="7" t="s">
        <v>397</v>
      </c>
      <c r="B483" s="2">
        <v>1700090</v>
      </c>
      <c r="C483" s="2" t="s">
        <v>350</v>
      </c>
      <c r="D483" s="3">
        <f>VLOOKUP(B483,Sheet2!$A:$O,4,0)</f>
        <v>28088</v>
      </c>
    </row>
    <row r="484" spans="1:4">
      <c r="A484" s="7" t="s">
        <v>397</v>
      </c>
      <c r="B484" s="2">
        <v>1700091</v>
      </c>
      <c r="C484" s="2" t="s">
        <v>351</v>
      </c>
      <c r="D484" s="3">
        <f>VLOOKUP(B484,Sheet2!$A:$O,4,0)</f>
        <v>15716</v>
      </c>
    </row>
    <row r="485" spans="1:4">
      <c r="A485" s="7" t="s">
        <v>397</v>
      </c>
      <c r="B485" s="2">
        <v>1700092</v>
      </c>
      <c r="C485" s="2" t="s">
        <v>352</v>
      </c>
      <c r="D485" s="3">
        <f>VLOOKUP(B485,Sheet2!$A:$O,4,0)</f>
        <v>2343</v>
      </c>
    </row>
    <row r="486" spans="1:4">
      <c r="A486" s="7" t="s">
        <v>397</v>
      </c>
      <c r="B486" s="2">
        <v>1700093</v>
      </c>
      <c r="C486" s="2" t="s">
        <v>353</v>
      </c>
      <c r="D486" s="3">
        <f>VLOOKUP(B486,Sheet2!$A:$O,4,0)</f>
        <v>23760</v>
      </c>
    </row>
    <row r="487" spans="1:4">
      <c r="A487" s="7" t="s">
        <v>397</v>
      </c>
      <c r="B487" s="2">
        <v>1700094</v>
      </c>
      <c r="C487" s="2" t="s">
        <v>354</v>
      </c>
      <c r="D487" s="3">
        <f>VLOOKUP(B487,Sheet2!$A:$O,4,0)</f>
        <v>13529</v>
      </c>
    </row>
    <row r="488" spans="1:4">
      <c r="A488" s="7" t="s">
        <v>397</v>
      </c>
      <c r="B488" s="2">
        <v>1700095</v>
      </c>
      <c r="C488" s="2" t="s">
        <v>355</v>
      </c>
      <c r="D488" s="3">
        <f>VLOOKUP(B488,Sheet2!$A:$O,4,0)</f>
        <v>4500</v>
      </c>
    </row>
    <row r="489" spans="1:4">
      <c r="A489" s="7" t="s">
        <v>397</v>
      </c>
      <c r="B489" s="2">
        <v>1700096</v>
      </c>
      <c r="C489" s="2" t="s">
        <v>356</v>
      </c>
      <c r="D489" s="3">
        <f>VLOOKUP(B489,Sheet2!$A:$O,4,0)</f>
        <v>24510</v>
      </c>
    </row>
    <row r="490" spans="1:4">
      <c r="A490" s="7" t="s">
        <v>397</v>
      </c>
      <c r="B490" s="2">
        <v>1700097</v>
      </c>
      <c r="C490" s="2" t="s">
        <v>357</v>
      </c>
      <c r="D490" s="3">
        <f>VLOOKUP(B490,Sheet2!$A:$O,4,0)</f>
        <v>19608</v>
      </c>
    </row>
    <row r="491" spans="1:4">
      <c r="A491" s="7" t="s">
        <v>397</v>
      </c>
      <c r="B491" s="2">
        <v>1700098</v>
      </c>
      <c r="C491" s="2" t="s">
        <v>358</v>
      </c>
      <c r="D491" s="3">
        <f>VLOOKUP(B491,Sheet2!$A:$O,4,0)</f>
        <v>19608</v>
      </c>
    </row>
    <row r="492" spans="1:4">
      <c r="A492" s="7" t="s">
        <v>397</v>
      </c>
      <c r="B492" s="2">
        <v>1700099</v>
      </c>
      <c r="C492" s="2" t="s">
        <v>359</v>
      </c>
      <c r="D492" s="3">
        <f>VLOOKUP(B492,Sheet2!$A:$O,4,0)</f>
        <v>9000</v>
      </c>
    </row>
    <row r="493" spans="1:4">
      <c r="A493" s="7" t="s">
        <v>397</v>
      </c>
      <c r="B493" s="2">
        <v>1700100</v>
      </c>
      <c r="C493" s="2" t="s">
        <v>360</v>
      </c>
      <c r="D493" s="3">
        <f>VLOOKUP(B493,Sheet2!$A:$O,4,0)</f>
        <v>3030</v>
      </c>
    </row>
    <row r="494" spans="1:4">
      <c r="A494" s="7" t="s">
        <v>397</v>
      </c>
      <c r="B494" s="2">
        <v>1700101</v>
      </c>
      <c r="C494" s="2" t="s">
        <v>361</v>
      </c>
      <c r="D494" s="3">
        <f>VLOOKUP(B494,Sheet2!$A:$O,4,0)</f>
        <v>7451</v>
      </c>
    </row>
    <row r="495" spans="1:4">
      <c r="A495" s="7" t="s">
        <v>397</v>
      </c>
      <c r="B495" s="2">
        <v>1700102</v>
      </c>
      <c r="C495" s="2" t="s">
        <v>362</v>
      </c>
      <c r="D495" s="3">
        <f>VLOOKUP(B495,Sheet2!$A:$O,4,0)</f>
        <v>40197</v>
      </c>
    </row>
    <row r="496" spans="1:4">
      <c r="A496" s="7" t="s">
        <v>397</v>
      </c>
      <c r="B496" s="2">
        <v>1700103</v>
      </c>
      <c r="C496" s="2" t="s">
        <v>363</v>
      </c>
      <c r="D496" s="3">
        <f>VLOOKUP(B496,Sheet2!$A:$O,4,0)</f>
        <v>9000</v>
      </c>
    </row>
    <row r="497" spans="1:4">
      <c r="A497" s="7" t="s">
        <v>397</v>
      </c>
      <c r="B497" s="2">
        <v>1700104</v>
      </c>
      <c r="C497" s="2" t="s">
        <v>364</v>
      </c>
      <c r="D497" s="3">
        <f>VLOOKUP(B497,Sheet2!$A:$O,4,0)</f>
        <v>36380</v>
      </c>
    </row>
    <row r="498" spans="1:4">
      <c r="A498" s="7" t="s">
        <v>397</v>
      </c>
      <c r="B498" s="2">
        <v>1700105</v>
      </c>
      <c r="C498" s="2" t="s">
        <v>365</v>
      </c>
      <c r="D498" s="3">
        <f>VLOOKUP(B498,Sheet2!$A:$O,4,0)</f>
        <v>10588</v>
      </c>
    </row>
    <row r="499" spans="1:4">
      <c r="A499" s="7" t="s">
        <v>397</v>
      </c>
      <c r="B499" s="2">
        <v>1700106</v>
      </c>
      <c r="C499" s="2" t="s">
        <v>366</v>
      </c>
      <c r="D499" s="3">
        <f>VLOOKUP(B499,Sheet2!$A:$O,4,0)</f>
        <v>14020</v>
      </c>
    </row>
    <row r="500" spans="1:4">
      <c r="A500" s="7" t="s">
        <v>397</v>
      </c>
      <c r="B500" s="2">
        <v>1700107</v>
      </c>
      <c r="C500" s="2" t="s">
        <v>367</v>
      </c>
      <c r="D500" s="3">
        <f>VLOOKUP(B500,Sheet2!$A:$O,4,0)</f>
        <v>9020</v>
      </c>
    </row>
    <row r="501" spans="1:4">
      <c r="A501" s="7" t="s">
        <v>397</v>
      </c>
      <c r="B501" s="2">
        <v>1800002</v>
      </c>
      <c r="C501" s="2" t="s">
        <v>368</v>
      </c>
      <c r="D501" s="3">
        <f>VLOOKUP(B501,Sheet2!$A:$O,4,0)</f>
        <v>9520</v>
      </c>
    </row>
    <row r="502" spans="1:4">
      <c r="A502" s="7" t="s">
        <v>397</v>
      </c>
      <c r="B502" s="2">
        <v>1800004</v>
      </c>
      <c r="C502" s="2" t="s">
        <v>369</v>
      </c>
      <c r="D502" s="3">
        <f>VLOOKUP(B502,Sheet2!$A:$O,4,0)</f>
        <v>0</v>
      </c>
    </row>
    <row r="503" spans="1:4">
      <c r="A503" s="7" t="s">
        <v>397</v>
      </c>
      <c r="B503" s="2">
        <v>1800005</v>
      </c>
      <c r="C503" s="2" t="s">
        <v>370</v>
      </c>
      <c r="D503" s="3">
        <f>VLOOKUP(B503,Sheet2!$A:$O,4,0)</f>
        <v>0</v>
      </c>
    </row>
    <row r="504" spans="1:4">
      <c r="A504" s="7" t="s">
        <v>397</v>
      </c>
      <c r="B504" s="2">
        <v>1800006</v>
      </c>
      <c r="C504" s="2" t="s">
        <v>371</v>
      </c>
      <c r="D504" s="3">
        <f>VLOOKUP(B504,Sheet2!$A:$O,4,0)</f>
        <v>0</v>
      </c>
    </row>
    <row r="505" spans="1:4">
      <c r="A505" s="7" t="s">
        <v>397</v>
      </c>
      <c r="B505" s="2">
        <v>1800007</v>
      </c>
      <c r="C505" s="2" t="s">
        <v>372</v>
      </c>
      <c r="D505" s="3">
        <f>VLOOKUP(B505,Sheet2!$A:$O,4,0)</f>
        <v>10000</v>
      </c>
    </row>
    <row r="506" spans="1:4">
      <c r="A506" s="7" t="s">
        <v>397</v>
      </c>
      <c r="B506" s="2">
        <v>1800008</v>
      </c>
      <c r="C506" s="2" t="s">
        <v>373</v>
      </c>
      <c r="D506" s="3">
        <f>VLOOKUP(B506,Sheet2!$A:$O,4,0)</f>
        <v>10110</v>
      </c>
    </row>
    <row r="507" spans="1:4">
      <c r="A507" s="7" t="s">
        <v>397</v>
      </c>
      <c r="B507" s="2">
        <v>1800009</v>
      </c>
      <c r="C507" s="2" t="s">
        <v>374</v>
      </c>
      <c r="D507" s="3">
        <f>VLOOKUP(B507,Sheet2!$A:$O,4,0)</f>
        <v>11800</v>
      </c>
    </row>
    <row r="508" spans="1:4">
      <c r="A508" s="7" t="s">
        <v>397</v>
      </c>
      <c r="B508" s="2">
        <v>1800010</v>
      </c>
      <c r="C508" s="2" t="s">
        <v>375</v>
      </c>
      <c r="D508" s="3">
        <f>VLOOKUP(B508,Sheet2!$A:$O,4,0)</f>
        <v>5784</v>
      </c>
    </row>
    <row r="509" spans="1:4">
      <c r="A509" s="7" t="s">
        <v>397</v>
      </c>
      <c r="B509" s="2">
        <v>1800011</v>
      </c>
      <c r="C509" s="2" t="s">
        <v>376</v>
      </c>
      <c r="D509" s="3">
        <f>VLOOKUP(B509,Sheet2!$A:$O,4,0)</f>
        <v>9363</v>
      </c>
    </row>
    <row r="510" spans="1:4">
      <c r="A510" s="7" t="s">
        <v>397</v>
      </c>
      <c r="B510" s="2">
        <v>1800012</v>
      </c>
      <c r="C510" s="2" t="s">
        <v>377</v>
      </c>
      <c r="D510" s="3">
        <f>VLOOKUP(B510,Sheet2!$A:$O,4,0)</f>
        <v>5725</v>
      </c>
    </row>
    <row r="511" spans="1:4">
      <c r="A511" s="7" t="s">
        <v>397</v>
      </c>
      <c r="B511" s="2">
        <v>1800013</v>
      </c>
      <c r="C511" s="2" t="s">
        <v>378</v>
      </c>
      <c r="D511" s="3">
        <f>VLOOKUP(B511,Sheet2!$A:$O,4,0)</f>
        <v>49100</v>
      </c>
    </row>
    <row r="512" spans="1:4">
      <c r="A512" s="7" t="s">
        <v>397</v>
      </c>
      <c r="B512" s="2">
        <v>1800014</v>
      </c>
      <c r="C512" s="2" t="s">
        <v>379</v>
      </c>
      <c r="D512" s="3">
        <f>VLOOKUP(B512,Sheet2!$A:$O,4,0)</f>
        <v>70000</v>
      </c>
    </row>
    <row r="513" spans="1:4">
      <c r="A513" s="7" t="s">
        <v>397</v>
      </c>
      <c r="B513" s="2">
        <v>1800015</v>
      </c>
      <c r="C513" s="2" t="s">
        <v>380</v>
      </c>
      <c r="D513" s="3">
        <f>VLOOKUP(B513,Sheet2!$A:$O,4,0)</f>
        <v>66700</v>
      </c>
    </row>
    <row r="514" spans="1:4">
      <c r="A514" s="7" t="s">
        <v>397</v>
      </c>
      <c r="B514" s="2">
        <v>1900013</v>
      </c>
      <c r="C514" s="2" t="s">
        <v>381</v>
      </c>
      <c r="D514" s="3">
        <f>VLOOKUP(B514,Sheet2!$A:$O,4,0)</f>
        <v>0</v>
      </c>
    </row>
    <row r="515" spans="1:4">
      <c r="A515" s="7" t="s">
        <v>397</v>
      </c>
      <c r="B515" s="2">
        <v>1900018</v>
      </c>
      <c r="C515" s="2" t="s">
        <v>382</v>
      </c>
      <c r="D515" s="3">
        <f>VLOOKUP(B515,Sheet2!$A:$O,4,0)</f>
        <v>0</v>
      </c>
    </row>
    <row r="516" spans="1:4">
      <c r="A516" s="7" t="s">
        <v>398</v>
      </c>
      <c r="B516" s="2">
        <v>1010101</v>
      </c>
      <c r="C516" s="2" t="s">
        <v>5</v>
      </c>
      <c r="D516" s="3">
        <f>VLOOKUP(B516,Sheet2!$A:$O,5,0)</f>
        <v>698</v>
      </c>
    </row>
    <row r="517" spans="1:4">
      <c r="A517" s="7" t="s">
        <v>398</v>
      </c>
      <c r="B517" s="2">
        <v>1010111</v>
      </c>
      <c r="C517" s="2" t="s">
        <v>9</v>
      </c>
      <c r="D517" s="3">
        <f>VLOOKUP(B517,Sheet2!$A:$O,5,0)</f>
        <v>18300</v>
      </c>
    </row>
    <row r="518" spans="1:4">
      <c r="A518" s="7" t="s">
        <v>398</v>
      </c>
      <c r="B518" s="2">
        <v>1010201</v>
      </c>
      <c r="C518" s="2" t="s">
        <v>11</v>
      </c>
      <c r="D518" s="3">
        <f>VLOOKUP(B518,Sheet2!$A:$O,5,0)</f>
        <v>882</v>
      </c>
    </row>
    <row r="519" spans="1:4">
      <c r="A519" s="7" t="s">
        <v>398</v>
      </c>
      <c r="B519" s="2">
        <v>1010300</v>
      </c>
      <c r="C519" s="2" t="s">
        <v>213</v>
      </c>
      <c r="D519" s="3">
        <f>VLOOKUP(B519,Sheet2!$A:$O,5,0)</f>
        <v>5490</v>
      </c>
    </row>
    <row r="520" spans="1:4">
      <c r="A520" s="7" t="s">
        <v>398</v>
      </c>
      <c r="B520" s="2">
        <v>1010301</v>
      </c>
      <c r="C520" s="2" t="s">
        <v>214</v>
      </c>
      <c r="D520" s="3">
        <f>VLOOKUP(B520,Sheet2!$A:$O,5,0)</f>
        <v>5882</v>
      </c>
    </row>
    <row r="521" spans="1:4">
      <c r="A521" s="7" t="s">
        <v>398</v>
      </c>
      <c r="B521" s="2">
        <v>1010302</v>
      </c>
      <c r="C521" s="2" t="s">
        <v>16</v>
      </c>
      <c r="D521" s="3">
        <f>VLOOKUP(B521,Sheet2!$A:$O,5,0)</f>
        <v>4216</v>
      </c>
    </row>
    <row r="522" spans="1:4">
      <c r="A522" s="7" t="s">
        <v>398</v>
      </c>
      <c r="B522" s="2">
        <v>1010303</v>
      </c>
      <c r="C522" s="2" t="s">
        <v>18</v>
      </c>
      <c r="D522" s="3">
        <f>VLOOKUP(B522,Sheet2!$A:$O,5,0)</f>
        <v>882</v>
      </c>
    </row>
    <row r="523" spans="1:4">
      <c r="A523" s="7" t="s">
        <v>398</v>
      </c>
      <c r="B523" s="2">
        <v>1010304</v>
      </c>
      <c r="C523" s="2" t="s">
        <v>215</v>
      </c>
      <c r="D523" s="3">
        <f>VLOOKUP(B523,Sheet2!$A:$O,5,0)</f>
        <v>1225</v>
      </c>
    </row>
    <row r="524" spans="1:4">
      <c r="A524" s="7" t="s">
        <v>398</v>
      </c>
      <c r="B524" s="2">
        <v>1010401</v>
      </c>
      <c r="C524" s="2" t="s">
        <v>20</v>
      </c>
      <c r="D524" s="3">
        <f>VLOOKUP(B524,Sheet2!$A:$O,5,0)</f>
        <v>3627</v>
      </c>
    </row>
    <row r="525" spans="1:4">
      <c r="A525" s="7" t="s">
        <v>398</v>
      </c>
      <c r="B525" s="2">
        <v>1010405</v>
      </c>
      <c r="C525" s="2" t="s">
        <v>22</v>
      </c>
      <c r="D525" s="3">
        <f>VLOOKUP(B525,Sheet2!$A:$O,5,0)</f>
        <v>9975</v>
      </c>
    </row>
    <row r="526" spans="1:4">
      <c r="A526" s="7" t="s">
        <v>398</v>
      </c>
      <c r="B526" s="2">
        <v>1010501</v>
      </c>
      <c r="C526" s="2" t="s">
        <v>24</v>
      </c>
      <c r="D526" s="3">
        <f>VLOOKUP(B526,Sheet2!$A:$O,5,0)</f>
        <v>980</v>
      </c>
    </row>
    <row r="527" spans="1:4">
      <c r="A527" s="7" t="s">
        <v>398</v>
      </c>
      <c r="B527" s="2">
        <v>1010502</v>
      </c>
      <c r="C527" s="2" t="s">
        <v>216</v>
      </c>
      <c r="D527" s="3">
        <f>VLOOKUP(B527,Sheet2!$A:$O,5,0)</f>
        <v>0</v>
      </c>
    </row>
    <row r="528" spans="1:4">
      <c r="A528" s="7" t="s">
        <v>398</v>
      </c>
      <c r="B528" s="2">
        <v>1010601</v>
      </c>
      <c r="C528" s="2" t="s">
        <v>26</v>
      </c>
      <c r="D528" s="3">
        <f>VLOOKUP(B528,Sheet2!$A:$O,5,0)</f>
        <v>0</v>
      </c>
    </row>
    <row r="529" spans="1:4">
      <c r="A529" s="7" t="s">
        <v>398</v>
      </c>
      <c r="B529" s="2">
        <v>1010701</v>
      </c>
      <c r="C529" s="2" t="s">
        <v>28</v>
      </c>
      <c r="D529" s="3">
        <f>VLOOKUP(B529,Sheet2!$A:$O,5,0)</f>
        <v>686</v>
      </c>
    </row>
    <row r="530" spans="1:4">
      <c r="A530" s="7" t="s">
        <v>398</v>
      </c>
      <c r="B530" s="2">
        <v>1010801</v>
      </c>
      <c r="C530" s="2" t="s">
        <v>30</v>
      </c>
      <c r="D530" s="3">
        <f>VLOOKUP(B530,Sheet2!$A:$O,5,0)</f>
        <v>7157</v>
      </c>
    </row>
    <row r="531" spans="1:4">
      <c r="A531" s="7" t="s">
        <v>398</v>
      </c>
      <c r="B531" s="2">
        <v>1010901</v>
      </c>
      <c r="C531" s="2" t="s">
        <v>32</v>
      </c>
      <c r="D531" s="3">
        <f>VLOOKUP(B531,Sheet2!$A:$O,5,0)</f>
        <v>4804</v>
      </c>
    </row>
    <row r="532" spans="1:4">
      <c r="A532" s="7" t="s">
        <v>398</v>
      </c>
      <c r="B532" s="2">
        <v>1020101</v>
      </c>
      <c r="C532" s="2" t="s">
        <v>34</v>
      </c>
      <c r="D532" s="3">
        <f>VLOOKUP(B532,Sheet2!$A:$O,5,0)</f>
        <v>15196</v>
      </c>
    </row>
    <row r="533" spans="1:4">
      <c r="A533" s="7" t="s">
        <v>398</v>
      </c>
      <c r="B533" s="2">
        <v>1020201</v>
      </c>
      <c r="C533" s="2" t="s">
        <v>217</v>
      </c>
      <c r="D533" s="3">
        <f>VLOOKUP(B533,Sheet2!$A:$O,5,0)</f>
        <v>5600</v>
      </c>
    </row>
    <row r="534" spans="1:4">
      <c r="A534" s="7" t="s">
        <v>398</v>
      </c>
      <c r="B534" s="2">
        <v>1020301</v>
      </c>
      <c r="C534" s="2" t="s">
        <v>38</v>
      </c>
      <c r="D534" s="3">
        <f>VLOOKUP(B534,Sheet2!$A:$O,5,0)</f>
        <v>2100</v>
      </c>
    </row>
    <row r="535" spans="1:4">
      <c r="A535" s="7" t="s">
        <v>398</v>
      </c>
      <c r="B535" s="2">
        <v>1020401</v>
      </c>
      <c r="C535" s="2" t="s">
        <v>40</v>
      </c>
      <c r="D535" s="3">
        <f>VLOOKUP(B535,Sheet2!$A:$O,5,0)</f>
        <v>3500</v>
      </c>
    </row>
    <row r="536" spans="1:4">
      <c r="A536" s="7" t="s">
        <v>398</v>
      </c>
      <c r="B536" s="2">
        <v>1030102</v>
      </c>
      <c r="C536" s="2" t="s">
        <v>218</v>
      </c>
      <c r="D536" s="3">
        <f>VLOOKUP(B536,Sheet2!$A:$O,5,0)</f>
        <v>0</v>
      </c>
    </row>
    <row r="537" spans="1:4">
      <c r="A537" s="7" t="s">
        <v>398</v>
      </c>
      <c r="B537" s="2">
        <v>1030201</v>
      </c>
      <c r="C537" s="2" t="s">
        <v>42</v>
      </c>
      <c r="D537" s="3">
        <f>VLOOKUP(B537,Sheet2!$A:$O,5,0)</f>
        <v>2255</v>
      </c>
    </row>
    <row r="538" spans="1:4">
      <c r="A538" s="7" t="s">
        <v>398</v>
      </c>
      <c r="B538" s="2">
        <v>1030203</v>
      </c>
      <c r="C538" s="2" t="s">
        <v>219</v>
      </c>
      <c r="D538" s="3">
        <f>VLOOKUP(B538,Sheet2!$A:$O,5,0)</f>
        <v>0</v>
      </c>
    </row>
    <row r="539" spans="1:4">
      <c r="A539" s="7" t="s">
        <v>398</v>
      </c>
      <c r="B539" s="2">
        <v>1030204</v>
      </c>
      <c r="C539" s="2" t="s">
        <v>220</v>
      </c>
      <c r="D539" s="3">
        <f>VLOOKUP(B539,Sheet2!$A:$O,5,0)</f>
        <v>0</v>
      </c>
    </row>
    <row r="540" spans="1:4">
      <c r="A540" s="7" t="s">
        <v>398</v>
      </c>
      <c r="B540" s="2">
        <v>1030205</v>
      </c>
      <c r="C540" s="2" t="s">
        <v>44</v>
      </c>
      <c r="D540" s="3">
        <f>VLOOKUP(B540,Sheet2!$A:$O,5,0)</f>
        <v>5000</v>
      </c>
    </row>
    <row r="541" spans="1:4">
      <c r="A541" s="7" t="s">
        <v>398</v>
      </c>
      <c r="B541" s="2">
        <v>1030206</v>
      </c>
      <c r="C541" s="2" t="s">
        <v>46</v>
      </c>
      <c r="D541" s="3">
        <f>VLOOKUP(B541,Sheet2!$A:$O,5,0)</f>
        <v>5400</v>
      </c>
    </row>
    <row r="542" spans="1:4">
      <c r="A542" s="7" t="s">
        <v>398</v>
      </c>
      <c r="B542" s="2">
        <v>1030207</v>
      </c>
      <c r="C542" s="2" t="s">
        <v>48</v>
      </c>
      <c r="D542" s="3">
        <f>VLOOKUP(B542,Sheet2!$A:$O,5,0)</f>
        <v>4400</v>
      </c>
    </row>
    <row r="543" spans="1:4">
      <c r="A543" s="7" t="s">
        <v>398</v>
      </c>
      <c r="B543" s="2">
        <v>1030501</v>
      </c>
      <c r="C543" s="2" t="s">
        <v>50</v>
      </c>
      <c r="D543" s="3">
        <f>VLOOKUP(B543,Sheet2!$A:$O,5,0)</f>
        <v>1051</v>
      </c>
    </row>
    <row r="544" spans="1:4">
      <c r="A544" s="7" t="s">
        <v>398</v>
      </c>
      <c r="B544" s="2">
        <v>1030601</v>
      </c>
      <c r="C544" s="2" t="s">
        <v>52</v>
      </c>
      <c r="D544" s="3">
        <f>VLOOKUP(B544,Sheet2!$A:$O,5,0)</f>
        <v>3000</v>
      </c>
    </row>
    <row r="545" spans="1:4">
      <c r="A545" s="7" t="s">
        <v>398</v>
      </c>
      <c r="B545" s="2">
        <v>1030701</v>
      </c>
      <c r="C545" s="2" t="s">
        <v>221</v>
      </c>
      <c r="D545" s="3">
        <f>VLOOKUP(B545,Sheet2!$A:$O,5,0)</f>
        <v>3000</v>
      </c>
    </row>
    <row r="546" spans="1:4">
      <c r="A546" s="7" t="s">
        <v>398</v>
      </c>
      <c r="B546" s="2">
        <v>1030705</v>
      </c>
      <c r="C546" s="2" t="s">
        <v>222</v>
      </c>
      <c r="D546" s="3">
        <f>VLOOKUP(B546,Sheet2!$A:$O,5,0)</f>
        <v>0</v>
      </c>
    </row>
    <row r="547" spans="1:4">
      <c r="A547" s="7" t="s">
        <v>398</v>
      </c>
      <c r="B547" s="2">
        <v>1030801</v>
      </c>
      <c r="C547" s="2" t="s">
        <v>54</v>
      </c>
      <c r="D547" s="3">
        <f>VLOOKUP(B547,Sheet2!$A:$O,5,0)</f>
        <v>1436</v>
      </c>
    </row>
    <row r="548" spans="1:4">
      <c r="A548" s="7" t="s">
        <v>398</v>
      </c>
      <c r="B548" s="2">
        <v>1030901</v>
      </c>
      <c r="C548" s="2" t="s">
        <v>223</v>
      </c>
      <c r="D548" s="3">
        <f>VLOOKUP(B548,Sheet2!$A:$O,5,0)</f>
        <v>0</v>
      </c>
    </row>
    <row r="549" spans="1:4">
      <c r="A549" s="7" t="s">
        <v>398</v>
      </c>
      <c r="B549" s="2">
        <v>1040201</v>
      </c>
      <c r="C549" s="2" t="s">
        <v>56</v>
      </c>
      <c r="D549" s="3">
        <f>VLOOKUP(B549,Sheet2!$A:$O,5,0)</f>
        <v>1500</v>
      </c>
    </row>
    <row r="550" spans="1:4">
      <c r="A550" s="7" t="s">
        <v>398</v>
      </c>
      <c r="B550" s="2">
        <v>1040202</v>
      </c>
      <c r="C550" s="2" t="s">
        <v>224</v>
      </c>
      <c r="D550" s="3">
        <f>VLOOKUP(B550,Sheet2!$A:$O,5,0)</f>
        <v>0</v>
      </c>
    </row>
    <row r="551" spans="1:4">
      <c r="A551" s="7" t="s">
        <v>398</v>
      </c>
      <c r="B551" s="2">
        <v>1040203</v>
      </c>
      <c r="C551" s="2" t="s">
        <v>225</v>
      </c>
      <c r="D551" s="3">
        <f>VLOOKUP(B551,Sheet2!$A:$O,5,0)</f>
        <v>0</v>
      </c>
    </row>
    <row r="552" spans="1:4">
      <c r="A552" s="7" t="s">
        <v>398</v>
      </c>
      <c r="B552" s="2">
        <v>1040204</v>
      </c>
      <c r="C552" s="2" t="s">
        <v>226</v>
      </c>
      <c r="D552" s="3">
        <f>VLOOKUP(B552,Sheet2!$A:$O,5,0)</f>
        <v>7917</v>
      </c>
    </row>
    <row r="553" spans="1:4">
      <c r="A553" s="7" t="s">
        <v>398</v>
      </c>
      <c r="B553" s="2">
        <v>1040301</v>
      </c>
      <c r="C553" s="2" t="s">
        <v>58</v>
      </c>
      <c r="D553" s="3">
        <f>VLOOKUP(B553,Sheet2!$A:$O,5,0)</f>
        <v>1790</v>
      </c>
    </row>
    <row r="554" spans="1:4">
      <c r="A554" s="7" t="s">
        <v>398</v>
      </c>
      <c r="B554" s="2">
        <v>1040401</v>
      </c>
      <c r="C554" s="2" t="s">
        <v>227</v>
      </c>
      <c r="D554" s="3">
        <f>VLOOKUP(B554,Sheet2!$A:$O,5,0)</f>
        <v>0</v>
      </c>
    </row>
    <row r="555" spans="1:4">
      <c r="A555" s="7" t="s">
        <v>398</v>
      </c>
      <c r="B555" s="2">
        <v>1050102</v>
      </c>
      <c r="C555" s="2" t="s">
        <v>60</v>
      </c>
      <c r="D555" s="3">
        <f>VLOOKUP(B555,Sheet2!$A:$O,5,0)</f>
        <v>29500</v>
      </c>
    </row>
    <row r="556" spans="1:4">
      <c r="A556" s="7" t="s">
        <v>398</v>
      </c>
      <c r="B556" s="2">
        <v>1050103</v>
      </c>
      <c r="C556" s="2" t="s">
        <v>228</v>
      </c>
      <c r="D556" s="3">
        <f>VLOOKUP(B556,Sheet2!$A:$O,5,0)</f>
        <v>11275</v>
      </c>
    </row>
    <row r="557" spans="1:4">
      <c r="A557" s="7" t="s">
        <v>398</v>
      </c>
      <c r="B557" s="2">
        <v>1050301</v>
      </c>
      <c r="C557" s="2" t="s">
        <v>62</v>
      </c>
      <c r="D557" s="3">
        <f>VLOOKUP(B557,Sheet2!$A:$O,5,0)</f>
        <v>9804</v>
      </c>
    </row>
    <row r="558" spans="1:4">
      <c r="A558" s="7" t="s">
        <v>398</v>
      </c>
      <c r="B558" s="2">
        <v>1050401</v>
      </c>
      <c r="C558" s="2" t="s">
        <v>64</v>
      </c>
      <c r="D558" s="3">
        <f>VLOOKUP(B558,Sheet2!$A:$O,5,0)</f>
        <v>8824</v>
      </c>
    </row>
    <row r="559" spans="1:4">
      <c r="A559" s="7" t="s">
        <v>398</v>
      </c>
      <c r="B559" s="2">
        <v>1050501</v>
      </c>
      <c r="C559" s="2" t="s">
        <v>66</v>
      </c>
      <c r="D559" s="3">
        <f>VLOOKUP(B559,Sheet2!$A:$O,5,0)</f>
        <v>10785</v>
      </c>
    </row>
    <row r="560" spans="1:4">
      <c r="A560" s="7" t="s">
        <v>398</v>
      </c>
      <c r="B560" s="2">
        <v>1050511</v>
      </c>
      <c r="C560" s="2" t="s">
        <v>68</v>
      </c>
      <c r="D560" s="3">
        <f>VLOOKUP(B560,Sheet2!$A:$O,5,0)</f>
        <v>18000</v>
      </c>
    </row>
    <row r="561" spans="1:4">
      <c r="A561" s="7" t="s">
        <v>398</v>
      </c>
      <c r="B561" s="2">
        <v>1050512</v>
      </c>
      <c r="C561" s="2" t="s">
        <v>229</v>
      </c>
      <c r="D561" s="3">
        <f>VLOOKUP(B561,Sheet2!$A:$O,5,0)</f>
        <v>0</v>
      </c>
    </row>
    <row r="562" spans="1:4">
      <c r="A562" s="7" t="s">
        <v>398</v>
      </c>
      <c r="B562" s="2">
        <v>1050521</v>
      </c>
      <c r="C562" s="2" t="s">
        <v>70</v>
      </c>
      <c r="D562" s="3">
        <f>VLOOKUP(B562,Sheet2!$A:$O,5,0)</f>
        <v>14706</v>
      </c>
    </row>
    <row r="563" spans="1:4">
      <c r="A563" s="7" t="s">
        <v>398</v>
      </c>
      <c r="B563" s="2">
        <v>1050531</v>
      </c>
      <c r="C563" s="2" t="s">
        <v>72</v>
      </c>
      <c r="D563" s="3">
        <f>VLOOKUP(B563,Sheet2!$A:$O,5,0)</f>
        <v>21000</v>
      </c>
    </row>
    <row r="564" spans="1:4">
      <c r="A564" s="7" t="s">
        <v>398</v>
      </c>
      <c r="B564" s="2">
        <v>1050541</v>
      </c>
      <c r="C564" s="2" t="s">
        <v>74</v>
      </c>
      <c r="D564" s="3">
        <f>VLOOKUP(B564,Sheet2!$A:$O,5,0)</f>
        <v>11000</v>
      </c>
    </row>
    <row r="565" spans="1:4">
      <c r="A565" s="7" t="s">
        <v>398</v>
      </c>
      <c r="B565" s="2">
        <v>1050551</v>
      </c>
      <c r="C565" s="2" t="s">
        <v>76</v>
      </c>
      <c r="D565" s="3">
        <f>VLOOKUP(B565,Sheet2!$A:$O,5,0)</f>
        <v>54000</v>
      </c>
    </row>
    <row r="566" spans="1:4">
      <c r="A566" s="7" t="s">
        <v>398</v>
      </c>
      <c r="B566" s="2">
        <v>1050561</v>
      </c>
      <c r="C566" s="2" t="s">
        <v>78</v>
      </c>
      <c r="D566" s="3">
        <f>VLOOKUP(B566,Sheet2!$A:$O,5,0)</f>
        <v>98000</v>
      </c>
    </row>
    <row r="567" spans="1:4">
      <c r="A567" s="7" t="s">
        <v>398</v>
      </c>
      <c r="B567" s="2">
        <v>1050571</v>
      </c>
      <c r="C567" s="2" t="s">
        <v>80</v>
      </c>
      <c r="D567" s="3">
        <f>VLOOKUP(B567,Sheet2!$A:$O,5,0)</f>
        <v>58000</v>
      </c>
    </row>
    <row r="568" spans="1:4">
      <c r="A568" s="7" t="s">
        <v>398</v>
      </c>
      <c r="B568" s="2">
        <v>1050581</v>
      </c>
      <c r="C568" s="2" t="s">
        <v>82</v>
      </c>
      <c r="D568" s="3">
        <f>VLOOKUP(B568,Sheet2!$A:$O,5,0)</f>
        <v>57000</v>
      </c>
    </row>
    <row r="569" spans="1:4">
      <c r="A569" s="7" t="s">
        <v>398</v>
      </c>
      <c r="B569" s="2">
        <v>1050591</v>
      </c>
      <c r="C569" s="2" t="s">
        <v>84</v>
      </c>
      <c r="D569" s="3">
        <f>VLOOKUP(B569,Sheet2!$A:$O,5,0)</f>
        <v>97750</v>
      </c>
    </row>
    <row r="570" spans="1:4">
      <c r="A570" s="7" t="s">
        <v>398</v>
      </c>
      <c r="B570" s="2">
        <v>1050601</v>
      </c>
      <c r="C570" s="2" t="s">
        <v>86</v>
      </c>
      <c r="D570" s="3">
        <f>VLOOKUP(B570,Sheet2!$A:$O,5,0)</f>
        <v>5900</v>
      </c>
    </row>
    <row r="571" spans="1:4">
      <c r="A571" s="7" t="s">
        <v>398</v>
      </c>
      <c r="B571" s="2">
        <v>1050701</v>
      </c>
      <c r="C571" s="2" t="s">
        <v>88</v>
      </c>
      <c r="D571" s="3">
        <f>VLOOKUP(B571,Sheet2!$A:$O,5,0)</f>
        <v>5600</v>
      </c>
    </row>
    <row r="572" spans="1:4">
      <c r="A572" s="7" t="s">
        <v>398</v>
      </c>
      <c r="B572" s="2">
        <v>1050702</v>
      </c>
      <c r="C572" s="2" t="s">
        <v>90</v>
      </c>
      <c r="D572" s="3">
        <f>VLOOKUP(B572,Sheet2!$A:$O,5,0)</f>
        <v>5600</v>
      </c>
    </row>
    <row r="573" spans="1:4">
      <c r="A573" s="7" t="s">
        <v>398</v>
      </c>
      <c r="B573" s="2">
        <v>1050711</v>
      </c>
      <c r="C573" s="2" t="s">
        <v>92</v>
      </c>
      <c r="D573" s="3">
        <f>VLOOKUP(B573,Sheet2!$A:$O,5,0)</f>
        <v>2900</v>
      </c>
    </row>
    <row r="574" spans="1:4">
      <c r="A574" s="7" t="s">
        <v>398</v>
      </c>
      <c r="B574" s="2">
        <v>1050721</v>
      </c>
      <c r="C574" s="2" t="s">
        <v>94</v>
      </c>
      <c r="D574" s="3">
        <f>VLOOKUP(B574,Sheet2!$A:$O,5,0)</f>
        <v>14300</v>
      </c>
    </row>
    <row r="575" spans="1:4">
      <c r="A575" s="7" t="s">
        <v>398</v>
      </c>
      <c r="B575" s="2">
        <v>1050801</v>
      </c>
      <c r="C575" s="2" t="s">
        <v>7</v>
      </c>
      <c r="D575" s="3">
        <f>VLOOKUP(B575,Sheet2!$A:$O,5,0)</f>
        <v>1026</v>
      </c>
    </row>
    <row r="576" spans="1:4">
      <c r="A576" s="7" t="s">
        <v>398</v>
      </c>
      <c r="B576" s="2">
        <v>1050901</v>
      </c>
      <c r="C576" s="2" t="s">
        <v>96</v>
      </c>
      <c r="D576" s="3">
        <f>VLOOKUP(B576,Sheet2!$A:$O,5,0)</f>
        <v>1539</v>
      </c>
    </row>
    <row r="577" spans="1:4">
      <c r="A577" s="7" t="s">
        <v>398</v>
      </c>
      <c r="B577" s="2">
        <v>1060101</v>
      </c>
      <c r="C577" s="2" t="s">
        <v>98</v>
      </c>
      <c r="D577" s="3">
        <f>VLOOKUP(B577,Sheet2!$A:$O,5,0)</f>
        <v>2250</v>
      </c>
    </row>
    <row r="578" spans="1:4">
      <c r="A578" s="7" t="s">
        <v>398</v>
      </c>
      <c r="B578" s="2">
        <v>1060401</v>
      </c>
      <c r="C578" s="2" t="s">
        <v>100</v>
      </c>
      <c r="D578" s="3">
        <f>VLOOKUP(B578,Sheet2!$A:$O,5,0)</f>
        <v>71000</v>
      </c>
    </row>
    <row r="579" spans="1:4">
      <c r="A579" s="7" t="s">
        <v>398</v>
      </c>
      <c r="B579" s="2">
        <v>1060412</v>
      </c>
      <c r="C579" s="2" t="s">
        <v>230</v>
      </c>
      <c r="D579" s="3">
        <f>VLOOKUP(B579,Sheet2!$A:$O,5,0)</f>
        <v>33000</v>
      </c>
    </row>
    <row r="580" spans="1:4">
      <c r="A580" s="7" t="s">
        <v>398</v>
      </c>
      <c r="B580" s="2">
        <v>1060421</v>
      </c>
      <c r="C580" s="2" t="s">
        <v>104</v>
      </c>
      <c r="D580" s="3">
        <f>VLOOKUP(B580,Sheet2!$A:$O,5,0)</f>
        <v>76000</v>
      </c>
    </row>
    <row r="581" spans="1:4">
      <c r="A581" s="7" t="s">
        <v>398</v>
      </c>
      <c r="B581" s="2">
        <v>1060441</v>
      </c>
      <c r="C581" s="2" t="s">
        <v>106</v>
      </c>
      <c r="D581" s="3">
        <f>VLOOKUP(B581,Sheet2!$A:$O,5,0)</f>
        <v>5200</v>
      </c>
    </row>
    <row r="582" spans="1:4">
      <c r="A582" s="7" t="s">
        <v>398</v>
      </c>
      <c r="B582" s="2">
        <v>1060451</v>
      </c>
      <c r="C582" s="2" t="s">
        <v>108</v>
      </c>
      <c r="D582" s="3">
        <f>VLOOKUP(B582,Sheet2!$A:$O,5,0)</f>
        <v>0</v>
      </c>
    </row>
    <row r="583" spans="1:4">
      <c r="A583" s="7" t="s">
        <v>398</v>
      </c>
      <c r="B583" s="2">
        <v>1070101</v>
      </c>
      <c r="C583" s="2" t="s">
        <v>110</v>
      </c>
      <c r="D583" s="3">
        <f>VLOOKUP(B583,Sheet2!$A:$O,5,0)</f>
        <v>3650</v>
      </c>
    </row>
    <row r="584" spans="1:4">
      <c r="A584" s="7" t="s">
        <v>398</v>
      </c>
      <c r="B584" s="2">
        <v>1070301</v>
      </c>
      <c r="C584" s="2" t="s">
        <v>112</v>
      </c>
      <c r="D584" s="3">
        <f>VLOOKUP(B584,Sheet2!$A:$O,5,0)</f>
        <v>35000</v>
      </c>
    </row>
    <row r="585" spans="1:4">
      <c r="A585" s="7" t="s">
        <v>398</v>
      </c>
      <c r="B585" s="2">
        <v>1070401</v>
      </c>
      <c r="C585" s="2" t="s">
        <v>114</v>
      </c>
      <c r="D585" s="3">
        <f>VLOOKUP(B585,Sheet2!$A:$O,5,0)</f>
        <v>12000</v>
      </c>
    </row>
    <row r="586" spans="1:4">
      <c r="A586" s="7" t="s">
        <v>398</v>
      </c>
      <c r="B586" s="2">
        <v>1070501</v>
      </c>
      <c r="C586" s="2" t="s">
        <v>231</v>
      </c>
      <c r="D586" s="3">
        <f>VLOOKUP(B586,Sheet2!$A:$O,5,0)</f>
        <v>5500</v>
      </c>
    </row>
    <row r="587" spans="1:4">
      <c r="A587" s="7" t="s">
        <v>398</v>
      </c>
      <c r="B587" s="2">
        <v>1070701</v>
      </c>
      <c r="C587" s="2" t="s">
        <v>118</v>
      </c>
      <c r="D587" s="3">
        <f>VLOOKUP(B587,Sheet2!$A:$O,5,0)</f>
        <v>36000</v>
      </c>
    </row>
    <row r="588" spans="1:4">
      <c r="A588" s="7" t="s">
        <v>398</v>
      </c>
      <c r="B588" s="2">
        <v>1070801</v>
      </c>
      <c r="C588" s="2" t="s">
        <v>232</v>
      </c>
      <c r="D588" s="3">
        <f>VLOOKUP(B588,Sheet2!$A:$O,5,0)</f>
        <v>35000</v>
      </c>
    </row>
    <row r="589" spans="1:4">
      <c r="A589" s="7" t="s">
        <v>398</v>
      </c>
      <c r="B589" s="2">
        <v>1080101</v>
      </c>
      <c r="C589" s="2" t="s">
        <v>120</v>
      </c>
      <c r="D589" s="3">
        <f>VLOOKUP(B589,Sheet2!$A:$O,5,0)</f>
        <v>11000</v>
      </c>
    </row>
    <row r="590" spans="1:4">
      <c r="A590" s="7" t="s">
        <v>398</v>
      </c>
      <c r="B590" s="2">
        <v>1080201</v>
      </c>
      <c r="C590" s="2" t="s">
        <v>122</v>
      </c>
      <c r="D590" s="3">
        <f>VLOOKUP(B590,Sheet2!$A:$O,5,0)</f>
        <v>620</v>
      </c>
    </row>
    <row r="591" spans="1:4">
      <c r="A591" s="7" t="s">
        <v>398</v>
      </c>
      <c r="B591" s="2">
        <v>1080301</v>
      </c>
      <c r="C591" s="2" t="s">
        <v>124</v>
      </c>
      <c r="D591" s="3">
        <f>VLOOKUP(B591,Sheet2!$A:$O,5,0)</f>
        <v>1550</v>
      </c>
    </row>
    <row r="592" spans="1:4">
      <c r="A592" s="7" t="s">
        <v>398</v>
      </c>
      <c r="B592" s="2">
        <v>1080401</v>
      </c>
      <c r="C592" s="2" t="s">
        <v>233</v>
      </c>
      <c r="D592" s="3">
        <f>VLOOKUP(B592,Sheet2!$A:$O,5,0)</f>
        <v>3300</v>
      </c>
    </row>
    <row r="593" spans="1:4">
      <c r="A593" s="7" t="s">
        <v>398</v>
      </c>
      <c r="B593" s="2">
        <v>1080411</v>
      </c>
      <c r="C593" s="2" t="s">
        <v>128</v>
      </c>
      <c r="D593" s="3">
        <f>VLOOKUP(B593,Sheet2!$A:$O,5,0)</f>
        <v>3300</v>
      </c>
    </row>
    <row r="594" spans="1:4">
      <c r="A594" s="7" t="s">
        <v>398</v>
      </c>
      <c r="B594" s="2">
        <v>1080501</v>
      </c>
      <c r="C594" s="2" t="s">
        <v>130</v>
      </c>
      <c r="D594" s="3">
        <f>VLOOKUP(B594,Sheet2!$A:$O,5,0)</f>
        <v>3800</v>
      </c>
    </row>
    <row r="595" spans="1:4">
      <c r="A595" s="7" t="s">
        <v>398</v>
      </c>
      <c r="B595" s="2">
        <v>1080602</v>
      </c>
      <c r="C595" s="2" t="s">
        <v>234</v>
      </c>
      <c r="D595" s="3">
        <f>VLOOKUP(B595,Sheet2!$A:$O,5,0)</f>
        <v>37600</v>
      </c>
    </row>
    <row r="596" spans="1:4">
      <c r="A596" s="7" t="s">
        <v>398</v>
      </c>
      <c r="B596" s="2">
        <v>1080604</v>
      </c>
      <c r="C596" s="2" t="s">
        <v>235</v>
      </c>
      <c r="D596" s="3">
        <f>VLOOKUP(B596,Sheet2!$A:$O,5,0)</f>
        <v>0</v>
      </c>
    </row>
    <row r="597" spans="1:4">
      <c r="A597" s="7" t="s">
        <v>398</v>
      </c>
      <c r="B597" s="2">
        <v>1080702</v>
      </c>
      <c r="C597" s="2" t="s">
        <v>236</v>
      </c>
      <c r="D597" s="3">
        <f>VLOOKUP(B597,Sheet2!$A:$O,5,0)</f>
        <v>42500</v>
      </c>
    </row>
    <row r="598" spans="1:4">
      <c r="A598" s="7" t="s">
        <v>398</v>
      </c>
      <c r="B598" s="2">
        <v>1080704</v>
      </c>
      <c r="C598" s="2" t="s">
        <v>237</v>
      </c>
      <c r="D598" s="3">
        <f>VLOOKUP(B598,Sheet2!$A:$O,5,0)</f>
        <v>0</v>
      </c>
    </row>
    <row r="599" spans="1:4">
      <c r="A599" s="7" t="s">
        <v>398</v>
      </c>
      <c r="B599" s="2">
        <v>1090104</v>
      </c>
      <c r="C599" s="2" t="s">
        <v>136</v>
      </c>
      <c r="D599" s="3">
        <f>VLOOKUP(B599,Sheet2!$A:$O,5,0)</f>
        <v>40000</v>
      </c>
    </row>
    <row r="600" spans="1:4">
      <c r="A600" s="7" t="s">
        <v>398</v>
      </c>
      <c r="B600" s="2">
        <v>1090112</v>
      </c>
      <c r="C600" s="2" t="s">
        <v>138</v>
      </c>
      <c r="D600" s="3">
        <f>VLOOKUP(B600,Sheet2!$A:$O,5,0)</f>
        <v>35000</v>
      </c>
    </row>
    <row r="601" spans="1:4">
      <c r="A601" s="7" t="s">
        <v>398</v>
      </c>
      <c r="B601" s="2">
        <v>1090201</v>
      </c>
      <c r="C601" s="2" t="s">
        <v>140</v>
      </c>
      <c r="D601" s="3">
        <f>VLOOKUP(B601,Sheet2!$A:$O,5,0)</f>
        <v>15800</v>
      </c>
    </row>
    <row r="602" spans="1:4">
      <c r="A602" s="7" t="s">
        <v>398</v>
      </c>
      <c r="B602" s="2">
        <v>1090202</v>
      </c>
      <c r="C602" s="2" t="s">
        <v>142</v>
      </c>
      <c r="D602" s="3">
        <f>VLOOKUP(B602,Sheet2!$A:$O,5,0)</f>
        <v>98000</v>
      </c>
    </row>
    <row r="603" spans="1:4">
      <c r="A603" s="7" t="s">
        <v>398</v>
      </c>
      <c r="B603" s="2">
        <v>1090203</v>
      </c>
      <c r="C603" s="2" t="s">
        <v>144</v>
      </c>
      <c r="D603" s="3">
        <f>VLOOKUP(B603,Sheet2!$A:$O,5,0)</f>
        <v>23000</v>
      </c>
    </row>
    <row r="604" spans="1:4">
      <c r="A604" s="7" t="s">
        <v>398</v>
      </c>
      <c r="B604" s="2">
        <v>1090211</v>
      </c>
      <c r="C604" s="2" t="s">
        <v>146</v>
      </c>
      <c r="D604" s="3">
        <f>VLOOKUP(B604,Sheet2!$A:$O,5,0)</f>
        <v>69000</v>
      </c>
    </row>
    <row r="605" spans="1:4">
      <c r="A605" s="7" t="s">
        <v>398</v>
      </c>
      <c r="B605" s="2">
        <v>1090301</v>
      </c>
      <c r="C605" s="2" t="s">
        <v>238</v>
      </c>
      <c r="D605" s="3">
        <f>VLOOKUP(B605,Sheet2!$A:$O,5,0)</f>
        <v>32000</v>
      </c>
    </row>
    <row r="606" spans="1:4">
      <c r="A606" s="7" t="s">
        <v>398</v>
      </c>
      <c r="B606" s="2">
        <v>1090311</v>
      </c>
      <c r="C606" s="2" t="s">
        <v>150</v>
      </c>
      <c r="D606" s="3">
        <f>VLOOKUP(B606,Sheet2!$A:$O,5,0)</f>
        <v>37000</v>
      </c>
    </row>
    <row r="607" spans="1:4">
      <c r="A607" s="7" t="s">
        <v>398</v>
      </c>
      <c r="B607" s="2">
        <v>1090321</v>
      </c>
      <c r="C607" s="2" t="s">
        <v>152</v>
      </c>
      <c r="D607" s="3">
        <f>VLOOKUP(B607,Sheet2!$A:$O,5,0)</f>
        <v>75000</v>
      </c>
    </row>
    <row r="608" spans="1:4">
      <c r="A608" s="7" t="s">
        <v>398</v>
      </c>
      <c r="B608" s="2">
        <v>1090401</v>
      </c>
      <c r="C608" s="2" t="s">
        <v>154</v>
      </c>
      <c r="D608" s="3">
        <f>VLOOKUP(B608,Sheet2!$A:$O,5,0)</f>
        <v>8300</v>
      </c>
    </row>
    <row r="609" spans="1:4">
      <c r="A609" s="7" t="s">
        <v>398</v>
      </c>
      <c r="B609" s="2">
        <v>1090411</v>
      </c>
      <c r="C609" s="2" t="s">
        <v>156</v>
      </c>
      <c r="D609" s="3">
        <f>VLOOKUP(B609,Sheet2!$A:$O,5,0)</f>
        <v>45000</v>
      </c>
    </row>
    <row r="610" spans="1:4">
      <c r="A610" s="7" t="s">
        <v>398</v>
      </c>
      <c r="B610" s="2">
        <v>1090421</v>
      </c>
      <c r="C610" s="2" t="s">
        <v>158</v>
      </c>
      <c r="D610" s="3">
        <f>VLOOKUP(B610,Sheet2!$A:$O,5,0)</f>
        <v>36000</v>
      </c>
    </row>
    <row r="611" spans="1:4">
      <c r="A611" s="7" t="s">
        <v>398</v>
      </c>
      <c r="B611" s="2">
        <v>1090551</v>
      </c>
      <c r="C611" s="2" t="s">
        <v>239</v>
      </c>
      <c r="D611" s="3">
        <f>VLOOKUP(B611,Sheet2!$A:$O,5,0)</f>
        <v>4900</v>
      </c>
    </row>
    <row r="612" spans="1:4">
      <c r="A612" s="7" t="s">
        <v>398</v>
      </c>
      <c r="B612" s="2">
        <v>1090602</v>
      </c>
      <c r="C612" s="2" t="s">
        <v>162</v>
      </c>
      <c r="D612" s="3">
        <f>VLOOKUP(B612,Sheet2!$A:$O,5,0)</f>
        <v>5130</v>
      </c>
    </row>
    <row r="613" spans="1:4">
      <c r="A613" s="7" t="s">
        <v>398</v>
      </c>
      <c r="B613" s="2">
        <v>1090611</v>
      </c>
      <c r="C613" s="2" t="s">
        <v>164</v>
      </c>
      <c r="D613" s="3">
        <f>VLOOKUP(B613,Sheet2!$A:$O,5,0)</f>
        <v>4300</v>
      </c>
    </row>
    <row r="614" spans="1:4">
      <c r="A614" s="7" t="s">
        <v>398</v>
      </c>
      <c r="B614" s="2">
        <v>1090701</v>
      </c>
      <c r="C614" s="2" t="s">
        <v>166</v>
      </c>
      <c r="D614" s="3">
        <f>VLOOKUP(B614,Sheet2!$A:$O,5,0)</f>
        <v>21000</v>
      </c>
    </row>
    <row r="615" spans="1:4">
      <c r="A615" s="7" t="s">
        <v>398</v>
      </c>
      <c r="B615" s="2">
        <v>1090901</v>
      </c>
      <c r="C615" s="2" t="s">
        <v>168</v>
      </c>
      <c r="D615" s="3">
        <f>VLOOKUP(B615,Sheet2!$A:$O,5,0)</f>
        <v>4300</v>
      </c>
    </row>
    <row r="616" spans="1:4">
      <c r="A616" s="7" t="s">
        <v>398</v>
      </c>
      <c r="B616" s="2">
        <v>1091001</v>
      </c>
      <c r="C616" s="2" t="s">
        <v>170</v>
      </c>
      <c r="D616" s="3">
        <f>VLOOKUP(B616,Sheet2!$A:$O,5,0)</f>
        <v>6500</v>
      </c>
    </row>
    <row r="617" spans="1:4">
      <c r="A617" s="7" t="s">
        <v>398</v>
      </c>
      <c r="B617" s="2">
        <v>1091002</v>
      </c>
      <c r="C617" s="2" t="s">
        <v>172</v>
      </c>
      <c r="D617" s="3">
        <f>VLOOKUP(B617,Sheet2!$A:$O,5,0)</f>
        <v>6373</v>
      </c>
    </row>
    <row r="618" spans="1:4">
      <c r="A618" s="7" t="s">
        <v>398</v>
      </c>
      <c r="B618" s="2">
        <v>1091003</v>
      </c>
      <c r="C618" s="2" t="s">
        <v>174</v>
      </c>
      <c r="D618" s="3">
        <f>VLOOKUP(B618,Sheet2!$A:$O,5,0)</f>
        <v>7367</v>
      </c>
    </row>
    <row r="619" spans="1:4">
      <c r="A619" s="7" t="s">
        <v>398</v>
      </c>
      <c r="B619" s="2">
        <v>1091004</v>
      </c>
      <c r="C619" s="2" t="s">
        <v>240</v>
      </c>
      <c r="D619" s="3">
        <f>VLOOKUP(B619,Sheet2!$A:$O,5,0)</f>
        <v>0</v>
      </c>
    </row>
    <row r="620" spans="1:4">
      <c r="A620" s="7" t="s">
        <v>398</v>
      </c>
      <c r="B620" s="2">
        <v>1091005</v>
      </c>
      <c r="C620" s="2" t="s">
        <v>241</v>
      </c>
      <c r="D620" s="3">
        <f>VLOOKUP(B620,Sheet2!$A:$O,5,0)</f>
        <v>0</v>
      </c>
    </row>
    <row r="621" spans="1:4">
      <c r="A621" s="7" t="s">
        <v>398</v>
      </c>
      <c r="B621" s="2">
        <v>1091006</v>
      </c>
      <c r="C621" s="2" t="s">
        <v>242</v>
      </c>
      <c r="D621" s="3">
        <f>VLOOKUP(B621,Sheet2!$A:$O,5,0)</f>
        <v>0</v>
      </c>
    </row>
    <row r="622" spans="1:4">
      <c r="A622" s="7" t="s">
        <v>398</v>
      </c>
      <c r="B622" s="2">
        <v>1091007</v>
      </c>
      <c r="C622" s="2" t="s">
        <v>243</v>
      </c>
      <c r="D622" s="3">
        <f>VLOOKUP(B622,Sheet2!$A:$O,5,0)</f>
        <v>2640</v>
      </c>
    </row>
    <row r="623" spans="1:4">
      <c r="A623" s="7" t="s">
        <v>398</v>
      </c>
      <c r="B623" s="2">
        <v>1091008</v>
      </c>
      <c r="C623" s="2" t="s">
        <v>176</v>
      </c>
      <c r="D623" s="3">
        <f>VLOOKUP(B623,Sheet2!$A:$O,5,0)</f>
        <v>0</v>
      </c>
    </row>
    <row r="624" spans="1:4">
      <c r="A624" s="7" t="s">
        <v>398</v>
      </c>
      <c r="B624" s="2">
        <v>1091009</v>
      </c>
      <c r="C624" s="2" t="s">
        <v>178</v>
      </c>
      <c r="D624" s="3">
        <f>VLOOKUP(B624,Sheet2!$A:$O,5,0)</f>
        <v>0</v>
      </c>
    </row>
    <row r="625" spans="1:4">
      <c r="A625" s="7" t="s">
        <v>398</v>
      </c>
      <c r="B625" s="2">
        <v>1091010</v>
      </c>
      <c r="C625" s="2" t="s">
        <v>180</v>
      </c>
      <c r="D625" s="3">
        <f>VLOOKUP(B625,Sheet2!$A:$O,5,0)</f>
        <v>27000</v>
      </c>
    </row>
    <row r="626" spans="1:4">
      <c r="A626" s="7" t="s">
        <v>398</v>
      </c>
      <c r="B626" s="2">
        <v>1091011</v>
      </c>
      <c r="C626" s="2" t="s">
        <v>182</v>
      </c>
      <c r="D626" s="3">
        <f>VLOOKUP(B626,Sheet2!$A:$O,5,0)</f>
        <v>33000</v>
      </c>
    </row>
    <row r="627" spans="1:4">
      <c r="A627" s="7" t="s">
        <v>398</v>
      </c>
      <c r="B627" s="2">
        <v>1091012</v>
      </c>
      <c r="C627" s="2" t="s">
        <v>184</v>
      </c>
      <c r="D627" s="3">
        <f>VLOOKUP(B627,Sheet2!$A:$O,5,0)</f>
        <v>47000</v>
      </c>
    </row>
    <row r="628" spans="1:4">
      <c r="A628" s="7" t="s">
        <v>398</v>
      </c>
      <c r="B628" s="2">
        <v>1091013</v>
      </c>
      <c r="C628" s="2" t="s">
        <v>186</v>
      </c>
      <c r="D628" s="3">
        <f>VLOOKUP(B628,Sheet2!$A:$O,5,0)</f>
        <v>33000</v>
      </c>
    </row>
    <row r="629" spans="1:4">
      <c r="A629" s="7" t="s">
        <v>398</v>
      </c>
      <c r="B629" s="2">
        <v>1091014</v>
      </c>
      <c r="C629" s="2" t="s">
        <v>244</v>
      </c>
      <c r="D629" s="3">
        <f>VLOOKUP(B629,Sheet2!$A:$O,5,0)</f>
        <v>6961</v>
      </c>
    </row>
    <row r="630" spans="1:4">
      <c r="A630" s="7" t="s">
        <v>398</v>
      </c>
      <c r="B630" s="2">
        <v>1091015</v>
      </c>
      <c r="C630" s="2" t="s">
        <v>245</v>
      </c>
      <c r="D630" s="3">
        <f>VLOOKUP(B630,Sheet2!$A:$O,5,0)</f>
        <v>25490</v>
      </c>
    </row>
    <row r="631" spans="1:4">
      <c r="A631" s="7" t="s">
        <v>398</v>
      </c>
      <c r="B631" s="2">
        <v>1091016</v>
      </c>
      <c r="C631" s="2" t="s">
        <v>246</v>
      </c>
      <c r="D631" s="3">
        <f>VLOOKUP(B631,Sheet2!$A:$O,5,0)</f>
        <v>59000</v>
      </c>
    </row>
    <row r="632" spans="1:4">
      <c r="A632" s="7" t="s">
        <v>398</v>
      </c>
      <c r="B632" s="2">
        <v>1091017</v>
      </c>
      <c r="C632" s="2" t="s">
        <v>247</v>
      </c>
      <c r="D632" s="3">
        <f>VLOOKUP(B632,Sheet2!$A:$O,5,0)</f>
        <v>0</v>
      </c>
    </row>
    <row r="633" spans="1:4">
      <c r="A633" s="7" t="s">
        <v>398</v>
      </c>
      <c r="B633" s="2">
        <v>1091018</v>
      </c>
      <c r="C633" s="2" t="s">
        <v>248</v>
      </c>
      <c r="D633" s="3">
        <f>VLOOKUP(B633,Sheet2!$A:$O,5,0)</f>
        <v>0</v>
      </c>
    </row>
    <row r="634" spans="1:4">
      <c r="A634" s="7" t="s">
        <v>398</v>
      </c>
      <c r="B634" s="2">
        <v>1091019</v>
      </c>
      <c r="C634" s="2" t="s">
        <v>249</v>
      </c>
      <c r="D634" s="3">
        <f>VLOOKUP(B634,Sheet2!$A:$O,5,0)</f>
        <v>53387</v>
      </c>
    </row>
    <row r="635" spans="1:4">
      <c r="A635" s="7" t="s">
        <v>398</v>
      </c>
      <c r="B635" s="2">
        <v>1091020</v>
      </c>
      <c r="C635" s="2" t="s">
        <v>250</v>
      </c>
      <c r="D635" s="3">
        <f>VLOOKUP(B635,Sheet2!$A:$O,5,0)</f>
        <v>62745</v>
      </c>
    </row>
    <row r="636" spans="1:4">
      <c r="A636" s="7" t="s">
        <v>398</v>
      </c>
      <c r="B636" s="2">
        <v>1091021</v>
      </c>
      <c r="C636" s="2" t="s">
        <v>251</v>
      </c>
      <c r="D636" s="3">
        <f>VLOOKUP(B636,Sheet2!$A:$O,5,0)</f>
        <v>53922</v>
      </c>
    </row>
    <row r="637" spans="1:4">
      <c r="A637" s="7" t="s">
        <v>398</v>
      </c>
      <c r="B637" s="2">
        <v>1091022</v>
      </c>
      <c r="C637" s="2" t="s">
        <v>252</v>
      </c>
      <c r="D637" s="3">
        <f>VLOOKUP(B637,Sheet2!$A:$O,5,0)</f>
        <v>3235</v>
      </c>
    </row>
    <row r="638" spans="1:4">
      <c r="A638" s="7" t="s">
        <v>398</v>
      </c>
      <c r="B638" s="2">
        <v>1091023</v>
      </c>
      <c r="C638" s="2" t="s">
        <v>253</v>
      </c>
      <c r="D638" s="3">
        <f>VLOOKUP(B638,Sheet2!$A:$O,5,0)</f>
        <v>4412</v>
      </c>
    </row>
    <row r="639" spans="1:4">
      <c r="A639" s="7" t="s">
        <v>398</v>
      </c>
      <c r="B639" s="2">
        <v>1091024</v>
      </c>
      <c r="C639" s="2" t="s">
        <v>254</v>
      </c>
      <c r="D639" s="3">
        <f>VLOOKUP(B639,Sheet2!$A:$O,5,0)</f>
        <v>3922</v>
      </c>
    </row>
    <row r="640" spans="1:4">
      <c r="A640" s="7" t="s">
        <v>398</v>
      </c>
      <c r="B640" s="2">
        <v>1091025</v>
      </c>
      <c r="C640" s="2" t="s">
        <v>255</v>
      </c>
      <c r="D640" s="3">
        <f>VLOOKUP(B640,Sheet2!$A:$O,5,0)</f>
        <v>7843</v>
      </c>
    </row>
    <row r="641" spans="1:4">
      <c r="A641" s="7" t="s">
        <v>398</v>
      </c>
      <c r="B641" s="2">
        <v>1091026</v>
      </c>
      <c r="C641" s="2" t="s">
        <v>256</v>
      </c>
      <c r="D641" s="3">
        <f>VLOOKUP(B641,Sheet2!$A:$O,5,0)</f>
        <v>30196</v>
      </c>
    </row>
    <row r="642" spans="1:4">
      <c r="A642" s="7" t="s">
        <v>398</v>
      </c>
      <c r="B642" s="2">
        <v>1600101</v>
      </c>
      <c r="C642" s="2" t="s">
        <v>188</v>
      </c>
      <c r="D642" s="3">
        <f>VLOOKUP(B642,Sheet2!$A:$O,5,0)</f>
        <v>2253</v>
      </c>
    </row>
    <row r="643" spans="1:4">
      <c r="A643" s="7" t="s">
        <v>398</v>
      </c>
      <c r="B643" s="2">
        <v>1600102</v>
      </c>
      <c r="C643" s="2" t="s">
        <v>257</v>
      </c>
      <c r="D643" s="3">
        <f>VLOOKUP(B643,Sheet2!$A:$O,5,0)</f>
        <v>34314</v>
      </c>
    </row>
    <row r="644" spans="1:4">
      <c r="A644" s="7" t="s">
        <v>398</v>
      </c>
      <c r="B644" s="2">
        <v>1600103</v>
      </c>
      <c r="C644" s="2" t="s">
        <v>258</v>
      </c>
      <c r="D644" s="3">
        <f>VLOOKUP(B644,Sheet2!$A:$O,5,0)</f>
        <v>19800</v>
      </c>
    </row>
    <row r="645" spans="1:4">
      <c r="A645" s="7" t="s">
        <v>398</v>
      </c>
      <c r="B645" s="2">
        <v>1600104</v>
      </c>
      <c r="C645" s="2" t="s">
        <v>259</v>
      </c>
      <c r="D645" s="3">
        <f>VLOOKUP(B645,Sheet2!$A:$O,5,0)</f>
        <v>65000</v>
      </c>
    </row>
    <row r="646" spans="1:4">
      <c r="A646" s="7" t="s">
        <v>398</v>
      </c>
      <c r="B646" s="2">
        <v>1600105</v>
      </c>
      <c r="C646" s="2" t="s">
        <v>260</v>
      </c>
      <c r="D646" s="3">
        <f>VLOOKUP(B646,Sheet2!$A:$O,5,0)</f>
        <v>73000</v>
      </c>
    </row>
    <row r="647" spans="1:4">
      <c r="A647" s="7" t="s">
        <v>398</v>
      </c>
      <c r="B647" s="2">
        <v>1600106</v>
      </c>
      <c r="C647" s="2" t="s">
        <v>261</v>
      </c>
      <c r="D647" s="3">
        <f>VLOOKUP(B647,Sheet2!$A:$O,5,0)</f>
        <v>66667</v>
      </c>
    </row>
    <row r="648" spans="1:4">
      <c r="A648" s="7" t="s">
        <v>398</v>
      </c>
      <c r="B648" s="2">
        <v>1600107</v>
      </c>
      <c r="C648" s="2" t="s">
        <v>262</v>
      </c>
      <c r="D648" s="3">
        <f>VLOOKUP(B648,Sheet2!$A:$O,5,0)</f>
        <v>67647</v>
      </c>
    </row>
    <row r="649" spans="1:4">
      <c r="A649" s="7" t="s">
        <v>398</v>
      </c>
      <c r="B649" s="2">
        <v>1600108</v>
      </c>
      <c r="C649" s="2" t="s">
        <v>263</v>
      </c>
      <c r="D649" s="3">
        <f>VLOOKUP(B649,Sheet2!$A:$O,5,0)</f>
        <v>67647</v>
      </c>
    </row>
    <row r="650" spans="1:4">
      <c r="A650" s="7" t="s">
        <v>398</v>
      </c>
      <c r="B650" s="2">
        <v>1600109</v>
      </c>
      <c r="C650" s="2" t="s">
        <v>264</v>
      </c>
      <c r="D650" s="3">
        <f>VLOOKUP(B650,Sheet2!$A:$O,5,0)</f>
        <v>4510</v>
      </c>
    </row>
    <row r="651" spans="1:4">
      <c r="A651" s="7" t="s">
        <v>398</v>
      </c>
      <c r="B651" s="2">
        <v>1600110</v>
      </c>
      <c r="C651" s="2" t="s">
        <v>265</v>
      </c>
      <c r="D651" s="3">
        <f>VLOOKUP(B651,Sheet2!$A:$O,5,0)</f>
        <v>7917</v>
      </c>
    </row>
    <row r="652" spans="1:4">
      <c r="A652" s="7" t="s">
        <v>398</v>
      </c>
      <c r="B652" s="2">
        <v>1600111</v>
      </c>
      <c r="C652" s="2" t="s">
        <v>266</v>
      </c>
      <c r="D652" s="3">
        <f>VLOOKUP(B652,Sheet2!$A:$O,5,0)</f>
        <v>2266</v>
      </c>
    </row>
    <row r="653" spans="1:4">
      <c r="A653" s="7" t="s">
        <v>398</v>
      </c>
      <c r="B653" s="2">
        <v>1600112</v>
      </c>
      <c r="C653" s="2" t="s">
        <v>190</v>
      </c>
      <c r="D653" s="3">
        <f>VLOOKUP(B653,Sheet2!$A:$O,5,0)</f>
        <v>4800</v>
      </c>
    </row>
    <row r="654" spans="1:4">
      <c r="A654" s="7" t="s">
        <v>398</v>
      </c>
      <c r="B654" s="2">
        <v>1600113</v>
      </c>
      <c r="C654" s="2" t="s">
        <v>267</v>
      </c>
      <c r="D654" s="3">
        <f>VLOOKUP(B654,Sheet2!$A:$O,5,0)</f>
        <v>0</v>
      </c>
    </row>
    <row r="655" spans="1:4">
      <c r="A655" s="7" t="s">
        <v>398</v>
      </c>
      <c r="B655" s="2">
        <v>1600114</v>
      </c>
      <c r="C655" s="2" t="s">
        <v>268</v>
      </c>
      <c r="D655" s="3">
        <f>VLOOKUP(B655,Sheet2!$A:$O,5,0)</f>
        <v>14490</v>
      </c>
    </row>
    <row r="656" spans="1:4">
      <c r="A656" s="7" t="s">
        <v>398</v>
      </c>
      <c r="B656" s="2">
        <v>1700001</v>
      </c>
      <c r="C656" s="2" t="s">
        <v>269</v>
      </c>
      <c r="D656" s="3">
        <f>VLOOKUP(B656,Sheet2!$A:$O,5,0)</f>
        <v>3340</v>
      </c>
    </row>
    <row r="657" spans="1:4">
      <c r="A657" s="7" t="s">
        <v>398</v>
      </c>
      <c r="B657" s="2">
        <v>1700002</v>
      </c>
      <c r="C657" s="2" t="s">
        <v>270</v>
      </c>
      <c r="D657" s="3">
        <f>VLOOKUP(B657,Sheet2!$A:$O,5,0)</f>
        <v>3726</v>
      </c>
    </row>
    <row r="658" spans="1:4">
      <c r="A658" s="7" t="s">
        <v>398</v>
      </c>
      <c r="B658" s="2">
        <v>1700003</v>
      </c>
      <c r="C658" s="2" t="s">
        <v>271</v>
      </c>
      <c r="D658" s="3">
        <f>VLOOKUP(B658,Sheet2!$A:$O,5,0)</f>
        <v>4902</v>
      </c>
    </row>
    <row r="659" spans="1:4">
      <c r="A659" s="7" t="s">
        <v>398</v>
      </c>
      <c r="B659" s="2">
        <v>1700004</v>
      </c>
      <c r="C659" s="2" t="s">
        <v>272</v>
      </c>
      <c r="D659" s="3">
        <f>VLOOKUP(B659,Sheet2!$A:$O,5,0)</f>
        <v>13137</v>
      </c>
    </row>
    <row r="660" spans="1:4">
      <c r="A660" s="7" t="s">
        <v>398</v>
      </c>
      <c r="B660" s="2">
        <v>1700005</v>
      </c>
      <c r="C660" s="2" t="s">
        <v>192</v>
      </c>
      <c r="D660" s="3">
        <f>VLOOKUP(B660,Sheet2!$A:$O,5,0)</f>
        <v>1667</v>
      </c>
    </row>
    <row r="661" spans="1:4">
      <c r="A661" s="7" t="s">
        <v>398</v>
      </c>
      <c r="B661" s="2">
        <v>1700006</v>
      </c>
      <c r="C661" s="2" t="s">
        <v>273</v>
      </c>
      <c r="D661" s="3">
        <f>VLOOKUP(B661,Sheet2!$A:$O,5,0)</f>
        <v>6373</v>
      </c>
    </row>
    <row r="662" spans="1:4">
      <c r="A662" s="7" t="s">
        <v>398</v>
      </c>
      <c r="B662" s="2">
        <v>1700007</v>
      </c>
      <c r="C662" s="2" t="s">
        <v>274</v>
      </c>
      <c r="D662" s="3">
        <f>VLOOKUP(B662,Sheet2!$A:$O,5,0)</f>
        <v>0</v>
      </c>
    </row>
    <row r="663" spans="1:4">
      <c r="A663" s="7" t="s">
        <v>398</v>
      </c>
      <c r="B663" s="2">
        <v>1700008</v>
      </c>
      <c r="C663" s="2" t="s">
        <v>275</v>
      </c>
      <c r="D663" s="3">
        <f>VLOOKUP(B663,Sheet2!$A:$O,5,0)</f>
        <v>0</v>
      </c>
    </row>
    <row r="664" spans="1:4">
      <c r="A664" s="7" t="s">
        <v>398</v>
      </c>
      <c r="B664" s="2">
        <v>1700009</v>
      </c>
      <c r="C664" s="2" t="s">
        <v>276</v>
      </c>
      <c r="D664" s="3">
        <f>VLOOKUP(B664,Sheet2!$A:$O,5,0)</f>
        <v>0</v>
      </c>
    </row>
    <row r="665" spans="1:4">
      <c r="A665" s="7" t="s">
        <v>398</v>
      </c>
      <c r="B665" s="2">
        <v>1700010</v>
      </c>
      <c r="C665" s="2" t="s">
        <v>277</v>
      </c>
      <c r="D665" s="3">
        <f>VLOOKUP(B665,Sheet2!$A:$O,5,0)</f>
        <v>4530</v>
      </c>
    </row>
    <row r="666" spans="1:4">
      <c r="A666" s="7" t="s">
        <v>398</v>
      </c>
      <c r="B666" s="2">
        <v>1700011</v>
      </c>
      <c r="C666" s="2" t="s">
        <v>278</v>
      </c>
      <c r="D666" s="3">
        <f>VLOOKUP(B666,Sheet2!$A:$O,5,0)</f>
        <v>0</v>
      </c>
    </row>
    <row r="667" spans="1:4">
      <c r="A667" s="7" t="s">
        <v>398</v>
      </c>
      <c r="B667" s="2">
        <v>1700012</v>
      </c>
      <c r="C667" s="2" t="s">
        <v>279</v>
      </c>
      <c r="D667" s="3">
        <f>VLOOKUP(B667,Sheet2!$A:$O,5,0)</f>
        <v>12255</v>
      </c>
    </row>
    <row r="668" spans="1:4">
      <c r="A668" s="7" t="s">
        <v>398</v>
      </c>
      <c r="B668" s="2">
        <v>1700013</v>
      </c>
      <c r="C668" s="2" t="s">
        <v>280</v>
      </c>
      <c r="D668" s="3">
        <f>VLOOKUP(B668,Sheet2!$A:$O,5,0)</f>
        <v>657</v>
      </c>
    </row>
    <row r="669" spans="1:4">
      <c r="A669" s="7" t="s">
        <v>398</v>
      </c>
      <c r="B669" s="2">
        <v>1700014</v>
      </c>
      <c r="C669" s="2" t="s">
        <v>194</v>
      </c>
      <c r="D669" s="3">
        <f>VLOOKUP(B669,Sheet2!$A:$O,5,0)</f>
        <v>2255</v>
      </c>
    </row>
    <row r="670" spans="1:4">
      <c r="A670" s="7" t="s">
        <v>398</v>
      </c>
      <c r="B670" s="2">
        <v>1700015</v>
      </c>
      <c r="C670" s="2" t="s">
        <v>281</v>
      </c>
      <c r="D670" s="3">
        <f>VLOOKUP(B670,Sheet2!$A:$O,5,0)</f>
        <v>3580</v>
      </c>
    </row>
    <row r="671" spans="1:4">
      <c r="A671" s="7" t="s">
        <v>398</v>
      </c>
      <c r="B671" s="2">
        <v>1700016</v>
      </c>
      <c r="C671" s="2" t="s">
        <v>282</v>
      </c>
      <c r="D671" s="3">
        <f>VLOOKUP(B671,Sheet2!$A:$O,5,0)</f>
        <v>2657</v>
      </c>
    </row>
    <row r="672" spans="1:4">
      <c r="A672" s="7" t="s">
        <v>398</v>
      </c>
      <c r="B672" s="2">
        <v>1700017</v>
      </c>
      <c r="C672" s="2" t="s">
        <v>283</v>
      </c>
      <c r="D672" s="3">
        <f>VLOOKUP(B672,Sheet2!$A:$O,5,0)</f>
        <v>10784</v>
      </c>
    </row>
    <row r="673" spans="1:4">
      <c r="A673" s="7" t="s">
        <v>398</v>
      </c>
      <c r="B673" s="2">
        <v>1700018</v>
      </c>
      <c r="C673" s="2" t="s">
        <v>284</v>
      </c>
      <c r="D673" s="3">
        <f>VLOOKUP(B673,Sheet2!$A:$O,5,0)</f>
        <v>4549</v>
      </c>
    </row>
    <row r="674" spans="1:4">
      <c r="A674" s="7" t="s">
        <v>398</v>
      </c>
      <c r="B674" s="2">
        <v>1700019</v>
      </c>
      <c r="C674" s="2" t="s">
        <v>285</v>
      </c>
      <c r="D674" s="3">
        <f>VLOOKUP(B674,Sheet2!$A:$O,5,0)</f>
        <v>0</v>
      </c>
    </row>
    <row r="675" spans="1:4">
      <c r="A675" s="7" t="s">
        <v>398</v>
      </c>
      <c r="B675" s="2">
        <v>1700020</v>
      </c>
      <c r="C675" s="2" t="s">
        <v>286</v>
      </c>
      <c r="D675" s="3">
        <f>VLOOKUP(B675,Sheet2!$A:$O,5,0)</f>
        <v>50211</v>
      </c>
    </row>
    <row r="676" spans="1:4">
      <c r="A676" s="7" t="s">
        <v>398</v>
      </c>
      <c r="B676" s="2">
        <v>1700021</v>
      </c>
      <c r="C676" s="2" t="s">
        <v>287</v>
      </c>
      <c r="D676" s="3">
        <f>VLOOKUP(B676,Sheet2!$A:$O,5,0)</f>
        <v>71301</v>
      </c>
    </row>
    <row r="677" spans="1:4">
      <c r="A677" s="7" t="s">
        <v>398</v>
      </c>
      <c r="B677" s="2">
        <v>1700022</v>
      </c>
      <c r="C677" s="2" t="s">
        <v>288</v>
      </c>
      <c r="D677" s="3">
        <f>VLOOKUP(B677,Sheet2!$A:$O,5,0)</f>
        <v>26628</v>
      </c>
    </row>
    <row r="678" spans="1:4">
      <c r="A678" s="7" t="s">
        <v>398</v>
      </c>
      <c r="B678" s="2">
        <v>1700023</v>
      </c>
      <c r="C678" s="2" t="s">
        <v>289</v>
      </c>
      <c r="D678" s="3">
        <f>VLOOKUP(B678,Sheet2!$A:$O,5,0)</f>
        <v>5294</v>
      </c>
    </row>
    <row r="679" spans="1:4">
      <c r="A679" s="7" t="s">
        <v>398</v>
      </c>
      <c r="B679" s="2">
        <v>1700024</v>
      </c>
      <c r="C679" s="2" t="s">
        <v>290</v>
      </c>
      <c r="D679" s="3">
        <f>VLOOKUP(B679,Sheet2!$A:$O,5,0)</f>
        <v>0</v>
      </c>
    </row>
    <row r="680" spans="1:4">
      <c r="A680" s="7" t="s">
        <v>398</v>
      </c>
      <c r="B680" s="2">
        <v>1700025</v>
      </c>
      <c r="C680" s="2" t="s">
        <v>291</v>
      </c>
      <c r="D680" s="3">
        <f>VLOOKUP(B680,Sheet2!$A:$O,5,0)</f>
        <v>0</v>
      </c>
    </row>
    <row r="681" spans="1:4">
      <c r="A681" s="7" t="s">
        <v>398</v>
      </c>
      <c r="B681" s="2">
        <v>1700026</v>
      </c>
      <c r="C681" s="2" t="s">
        <v>292</v>
      </c>
      <c r="D681" s="3">
        <f>VLOOKUP(B681,Sheet2!$A:$O,5,0)</f>
        <v>3843</v>
      </c>
    </row>
    <row r="682" spans="1:4">
      <c r="A682" s="7" t="s">
        <v>398</v>
      </c>
      <c r="B682" s="2">
        <v>1700027</v>
      </c>
      <c r="C682" s="2" t="s">
        <v>293</v>
      </c>
      <c r="D682" s="3">
        <f>VLOOKUP(B682,Sheet2!$A:$O,5,0)</f>
        <v>4657</v>
      </c>
    </row>
    <row r="683" spans="1:4">
      <c r="A683" s="7" t="s">
        <v>398</v>
      </c>
      <c r="B683" s="2">
        <v>1700028</v>
      </c>
      <c r="C683" s="2" t="s">
        <v>294</v>
      </c>
      <c r="D683" s="3">
        <f>VLOOKUP(B683,Sheet2!$A:$O,5,0)</f>
        <v>9500</v>
      </c>
    </row>
    <row r="684" spans="1:4">
      <c r="A684" s="7" t="s">
        <v>398</v>
      </c>
      <c r="B684" s="2">
        <v>1700029</v>
      </c>
      <c r="C684" s="2" t="s">
        <v>295</v>
      </c>
      <c r="D684" s="3">
        <f>VLOOKUP(B684,Sheet2!$A:$O,5,0)</f>
        <v>10670</v>
      </c>
    </row>
    <row r="685" spans="1:4">
      <c r="A685" s="7" t="s">
        <v>398</v>
      </c>
      <c r="B685" s="2">
        <v>1700030</v>
      </c>
      <c r="C685" s="2" t="s">
        <v>296</v>
      </c>
      <c r="D685" s="3">
        <f>VLOOKUP(B685,Sheet2!$A:$O,5,0)</f>
        <v>12720</v>
      </c>
    </row>
    <row r="686" spans="1:4">
      <c r="A686" s="7" t="s">
        <v>398</v>
      </c>
      <c r="B686" s="2">
        <v>1700031</v>
      </c>
      <c r="C686" s="2" t="s">
        <v>196</v>
      </c>
      <c r="D686" s="3">
        <f>VLOOKUP(B686,Sheet2!$A:$O,5,0)</f>
        <v>1961</v>
      </c>
    </row>
    <row r="687" spans="1:4">
      <c r="A687" s="7" t="s">
        <v>398</v>
      </c>
      <c r="B687" s="2">
        <v>1700032</v>
      </c>
      <c r="C687" s="2" t="s">
        <v>297</v>
      </c>
      <c r="D687" s="3">
        <f>VLOOKUP(B687,Sheet2!$A:$O,5,0)</f>
        <v>0</v>
      </c>
    </row>
    <row r="688" spans="1:4">
      <c r="A688" s="7" t="s">
        <v>398</v>
      </c>
      <c r="B688" s="2">
        <v>1700033</v>
      </c>
      <c r="C688" s="2" t="s">
        <v>298</v>
      </c>
      <c r="D688" s="3">
        <f>VLOOKUP(B688,Sheet2!$A:$O,5,0)</f>
        <v>0</v>
      </c>
    </row>
    <row r="689" spans="1:4">
      <c r="A689" s="7" t="s">
        <v>398</v>
      </c>
      <c r="B689" s="2">
        <v>1700034</v>
      </c>
      <c r="C689" s="2" t="s">
        <v>299</v>
      </c>
      <c r="D689" s="3">
        <f>VLOOKUP(B689,Sheet2!$A:$O,5,0)</f>
        <v>15125</v>
      </c>
    </row>
    <row r="690" spans="1:4">
      <c r="A690" s="7" t="s">
        <v>398</v>
      </c>
      <c r="B690" s="2">
        <v>1700035</v>
      </c>
      <c r="C690" s="2" t="s">
        <v>300</v>
      </c>
      <c r="D690" s="3">
        <f>VLOOKUP(B690,Sheet2!$A:$O,5,0)</f>
        <v>34000</v>
      </c>
    </row>
    <row r="691" spans="1:4">
      <c r="A691" s="7" t="s">
        <v>398</v>
      </c>
      <c r="B691" s="2">
        <v>1700036</v>
      </c>
      <c r="C691" s="2" t="s">
        <v>301</v>
      </c>
      <c r="D691" s="3">
        <f>VLOOKUP(B691,Sheet2!$A:$O,5,0)</f>
        <v>4000</v>
      </c>
    </row>
    <row r="692" spans="1:4">
      <c r="A692" s="7" t="s">
        <v>398</v>
      </c>
      <c r="B692" s="2">
        <v>1700037</v>
      </c>
      <c r="C692" s="2" t="s">
        <v>302</v>
      </c>
      <c r="D692" s="3">
        <f>VLOOKUP(B692,Sheet2!$A:$O,5,0)</f>
        <v>7133</v>
      </c>
    </row>
    <row r="693" spans="1:4">
      <c r="A693" s="7" t="s">
        <v>398</v>
      </c>
      <c r="B693" s="2">
        <v>1700038</v>
      </c>
      <c r="C693" s="2" t="s">
        <v>303</v>
      </c>
      <c r="D693" s="3">
        <f>VLOOKUP(B693,Sheet2!$A:$O,5,0)</f>
        <v>2079</v>
      </c>
    </row>
    <row r="694" spans="1:4">
      <c r="A694" s="7" t="s">
        <v>398</v>
      </c>
      <c r="B694" s="2">
        <v>1700039</v>
      </c>
      <c r="C694" s="2" t="s">
        <v>304</v>
      </c>
      <c r="D694" s="3">
        <f>VLOOKUP(B694,Sheet2!$A:$O,5,0)</f>
        <v>2000</v>
      </c>
    </row>
    <row r="695" spans="1:4">
      <c r="A695" s="7" t="s">
        <v>398</v>
      </c>
      <c r="B695" s="2">
        <v>1700040</v>
      </c>
      <c r="C695" s="2" t="s">
        <v>305</v>
      </c>
      <c r="D695" s="3">
        <f>VLOOKUP(B695,Sheet2!$A:$O,5,0)</f>
        <v>1967</v>
      </c>
    </row>
    <row r="696" spans="1:4">
      <c r="A696" s="7" t="s">
        <v>398</v>
      </c>
      <c r="B696" s="2">
        <v>1700041</v>
      </c>
      <c r="C696" s="2" t="s">
        <v>306</v>
      </c>
      <c r="D696" s="3">
        <f>VLOOKUP(B696,Sheet2!$A:$O,5,0)</f>
        <v>3000</v>
      </c>
    </row>
    <row r="697" spans="1:4">
      <c r="A697" s="7" t="s">
        <v>398</v>
      </c>
      <c r="B697" s="2">
        <v>1700042</v>
      </c>
      <c r="C697" s="2" t="s">
        <v>307</v>
      </c>
      <c r="D697" s="3">
        <f>VLOOKUP(B697,Sheet2!$A:$O,5,0)</f>
        <v>3212</v>
      </c>
    </row>
    <row r="698" spans="1:4">
      <c r="A698" s="7" t="s">
        <v>398</v>
      </c>
      <c r="B698" s="2">
        <v>1700043</v>
      </c>
      <c r="C698" s="2" t="s">
        <v>308</v>
      </c>
      <c r="D698" s="3">
        <f>VLOOKUP(B698,Sheet2!$A:$O,5,0)</f>
        <v>2931</v>
      </c>
    </row>
    <row r="699" spans="1:4">
      <c r="A699" s="7" t="s">
        <v>398</v>
      </c>
      <c r="B699" s="2">
        <v>1700044</v>
      </c>
      <c r="C699" s="2" t="s">
        <v>309</v>
      </c>
      <c r="D699" s="3">
        <f>VLOOKUP(B699,Sheet2!$A:$O,5,0)</f>
        <v>7000</v>
      </c>
    </row>
    <row r="700" spans="1:4">
      <c r="A700" s="7" t="s">
        <v>398</v>
      </c>
      <c r="B700" s="2">
        <v>1700045</v>
      </c>
      <c r="C700" s="2" t="s">
        <v>310</v>
      </c>
      <c r="D700" s="3">
        <f>VLOOKUP(B700,Sheet2!$A:$O,5,0)</f>
        <v>3549</v>
      </c>
    </row>
    <row r="701" spans="1:4">
      <c r="A701" s="7" t="s">
        <v>398</v>
      </c>
      <c r="B701" s="2">
        <v>1700046</v>
      </c>
      <c r="C701" s="2" t="s">
        <v>311</v>
      </c>
      <c r="D701" s="3">
        <f>VLOOKUP(B701,Sheet2!$A:$O,5,0)</f>
        <v>6176</v>
      </c>
    </row>
    <row r="702" spans="1:4">
      <c r="A702" s="7" t="s">
        <v>398</v>
      </c>
      <c r="B702" s="2">
        <v>1700047</v>
      </c>
      <c r="C702" s="2" t="s">
        <v>312</v>
      </c>
      <c r="D702" s="3">
        <f>VLOOKUP(B702,Sheet2!$A:$O,5,0)</f>
        <v>25000</v>
      </c>
    </row>
    <row r="703" spans="1:4">
      <c r="A703" s="7" t="s">
        <v>398</v>
      </c>
      <c r="B703" s="2">
        <v>1700048</v>
      </c>
      <c r="C703" s="2" t="s">
        <v>313</v>
      </c>
      <c r="D703" s="3">
        <f>VLOOKUP(B703,Sheet2!$A:$O,5,0)</f>
        <v>13330</v>
      </c>
    </row>
    <row r="704" spans="1:4">
      <c r="A704" s="7" t="s">
        <v>398</v>
      </c>
      <c r="B704" s="2">
        <v>1700049</v>
      </c>
      <c r="C704" s="2" t="s">
        <v>314</v>
      </c>
      <c r="D704" s="3">
        <f>VLOOKUP(B704,Sheet2!$A:$O,5,0)</f>
        <v>5785</v>
      </c>
    </row>
    <row r="705" spans="1:4">
      <c r="A705" s="7" t="s">
        <v>398</v>
      </c>
      <c r="B705" s="2">
        <v>1700050</v>
      </c>
      <c r="C705" s="2" t="s">
        <v>315</v>
      </c>
      <c r="D705" s="3">
        <f>VLOOKUP(B705,Sheet2!$A:$O,5,0)</f>
        <v>39000</v>
      </c>
    </row>
    <row r="706" spans="1:4">
      <c r="A706" s="7" t="s">
        <v>398</v>
      </c>
      <c r="B706" s="2">
        <v>1700051</v>
      </c>
      <c r="C706" s="2" t="s">
        <v>316</v>
      </c>
      <c r="D706" s="3">
        <f>VLOOKUP(B706,Sheet2!$A:$O,5,0)</f>
        <v>11500</v>
      </c>
    </row>
    <row r="707" spans="1:4">
      <c r="A707" s="7" t="s">
        <v>398</v>
      </c>
      <c r="B707" s="2">
        <v>1700052</v>
      </c>
      <c r="C707" s="2" t="s">
        <v>317</v>
      </c>
      <c r="D707" s="3">
        <f>VLOOKUP(B707,Sheet2!$A:$O,5,0)</f>
        <v>3444</v>
      </c>
    </row>
    <row r="708" spans="1:4">
      <c r="A708" s="7" t="s">
        <v>398</v>
      </c>
      <c r="B708" s="2">
        <v>1700053</v>
      </c>
      <c r="C708" s="2" t="s">
        <v>318</v>
      </c>
      <c r="D708" s="3">
        <f>VLOOKUP(B708,Sheet2!$A:$O,5,0)</f>
        <v>15530</v>
      </c>
    </row>
    <row r="709" spans="1:4">
      <c r="A709" s="7" t="s">
        <v>398</v>
      </c>
      <c r="B709" s="2">
        <v>1700054</v>
      </c>
      <c r="C709" s="2" t="s">
        <v>319</v>
      </c>
      <c r="D709" s="3">
        <f>VLOOKUP(B709,Sheet2!$A:$O,5,0)</f>
        <v>11670</v>
      </c>
    </row>
    <row r="710" spans="1:4">
      <c r="A710" s="7" t="s">
        <v>398</v>
      </c>
      <c r="B710" s="2">
        <v>1700055</v>
      </c>
      <c r="C710" s="2" t="s">
        <v>320</v>
      </c>
      <c r="D710" s="3">
        <f>VLOOKUP(B710,Sheet2!$A:$O,5,0)</f>
        <v>11940</v>
      </c>
    </row>
    <row r="711" spans="1:4">
      <c r="A711" s="7" t="s">
        <v>398</v>
      </c>
      <c r="B711" s="2">
        <v>1700056</v>
      </c>
      <c r="C711" s="2" t="s">
        <v>321</v>
      </c>
      <c r="D711" s="3">
        <f>VLOOKUP(B711,Sheet2!$A:$O,5,0)</f>
        <v>6226</v>
      </c>
    </row>
    <row r="712" spans="1:4">
      <c r="A712" s="7" t="s">
        <v>398</v>
      </c>
      <c r="B712" s="2">
        <v>1700057</v>
      </c>
      <c r="C712" s="2" t="s">
        <v>322</v>
      </c>
      <c r="D712" s="3">
        <f>VLOOKUP(B712,Sheet2!$A:$O,5,0)</f>
        <v>2098</v>
      </c>
    </row>
    <row r="713" spans="1:4">
      <c r="A713" s="7" t="s">
        <v>398</v>
      </c>
      <c r="B713" s="2">
        <v>1700058</v>
      </c>
      <c r="C713" s="2" t="s">
        <v>323</v>
      </c>
      <c r="D713" s="3">
        <f>VLOOKUP(B713,Sheet2!$A:$O,5,0)</f>
        <v>5800</v>
      </c>
    </row>
    <row r="714" spans="1:4">
      <c r="A714" s="7" t="s">
        <v>398</v>
      </c>
      <c r="B714" s="2">
        <v>1700059</v>
      </c>
      <c r="C714" s="2" t="s">
        <v>324</v>
      </c>
      <c r="D714" s="3">
        <f>VLOOKUP(B714,Sheet2!$A:$O,5,0)</f>
        <v>27667</v>
      </c>
    </row>
    <row r="715" spans="1:4">
      <c r="A715" s="7" t="s">
        <v>398</v>
      </c>
      <c r="B715" s="2">
        <v>1700060</v>
      </c>
      <c r="C715" s="2" t="s">
        <v>325</v>
      </c>
      <c r="D715" s="3">
        <f>VLOOKUP(B715,Sheet2!$A:$O,5,0)</f>
        <v>8245</v>
      </c>
    </row>
    <row r="716" spans="1:4">
      <c r="A716" s="7" t="s">
        <v>398</v>
      </c>
      <c r="B716" s="2">
        <v>1700061</v>
      </c>
      <c r="C716" s="2" t="s">
        <v>326</v>
      </c>
      <c r="D716" s="3">
        <f>VLOOKUP(B716,Sheet2!$A:$O,5,0)</f>
        <v>8920</v>
      </c>
    </row>
    <row r="717" spans="1:4">
      <c r="A717" s="7" t="s">
        <v>398</v>
      </c>
      <c r="B717" s="2">
        <v>1700062</v>
      </c>
      <c r="C717" s="2" t="s">
        <v>327</v>
      </c>
      <c r="D717" s="3">
        <f>VLOOKUP(B717,Sheet2!$A:$O,5,0)</f>
        <v>10520</v>
      </c>
    </row>
    <row r="718" spans="1:4">
      <c r="A718" s="7" t="s">
        <v>398</v>
      </c>
      <c r="B718" s="2">
        <v>1700063</v>
      </c>
      <c r="C718" s="2" t="s">
        <v>328</v>
      </c>
      <c r="D718" s="3">
        <f>VLOOKUP(B718,Sheet2!$A:$O,5,0)</f>
        <v>10550</v>
      </c>
    </row>
    <row r="719" spans="1:4">
      <c r="A719" s="7" t="s">
        <v>398</v>
      </c>
      <c r="B719" s="2">
        <v>1700064</v>
      </c>
      <c r="C719" s="2" t="s">
        <v>329</v>
      </c>
      <c r="D719" s="3">
        <f>VLOOKUP(B719,Sheet2!$A:$O,5,0)</f>
        <v>11060</v>
      </c>
    </row>
    <row r="720" spans="1:4">
      <c r="A720" s="7" t="s">
        <v>398</v>
      </c>
      <c r="B720" s="2">
        <v>1700065</v>
      </c>
      <c r="C720" s="2" t="s">
        <v>330</v>
      </c>
      <c r="D720" s="3">
        <f>VLOOKUP(B720,Sheet2!$A:$O,5,0)</f>
        <v>12760</v>
      </c>
    </row>
    <row r="721" spans="1:4">
      <c r="A721" s="7" t="s">
        <v>398</v>
      </c>
      <c r="B721" s="2">
        <v>1700066</v>
      </c>
      <c r="C721" s="2" t="s">
        <v>331</v>
      </c>
      <c r="D721" s="3">
        <f>VLOOKUP(B721,Sheet2!$A:$O,5,0)</f>
        <v>13200</v>
      </c>
    </row>
    <row r="722" spans="1:4">
      <c r="A722" s="7" t="s">
        <v>398</v>
      </c>
      <c r="B722" s="2">
        <v>1700067</v>
      </c>
      <c r="C722" s="2" t="s">
        <v>332</v>
      </c>
      <c r="D722" s="3">
        <f>VLOOKUP(B722,Sheet2!$A:$O,5,0)</f>
        <v>10720</v>
      </c>
    </row>
    <row r="723" spans="1:4">
      <c r="A723" s="7" t="s">
        <v>398</v>
      </c>
      <c r="B723" s="2">
        <v>1700068</v>
      </c>
      <c r="C723" s="2" t="s">
        <v>333</v>
      </c>
      <c r="D723" s="3">
        <f>VLOOKUP(B723,Sheet2!$A:$O,5,0)</f>
        <v>12720</v>
      </c>
    </row>
    <row r="724" spans="1:4">
      <c r="A724" s="7" t="s">
        <v>398</v>
      </c>
      <c r="B724" s="2">
        <v>1700069</v>
      </c>
      <c r="C724" s="2" t="s">
        <v>334</v>
      </c>
      <c r="D724" s="3">
        <f>VLOOKUP(B724,Sheet2!$A:$O,5,0)</f>
        <v>14000</v>
      </c>
    </row>
    <row r="725" spans="1:4">
      <c r="A725" s="7" t="s">
        <v>398</v>
      </c>
      <c r="B725" s="2">
        <v>1700070</v>
      </c>
      <c r="C725" s="2" t="s">
        <v>335</v>
      </c>
      <c r="D725" s="3">
        <f>VLOOKUP(B725,Sheet2!$A:$O,5,0)</f>
        <v>1618</v>
      </c>
    </row>
    <row r="726" spans="1:4">
      <c r="A726" s="7" t="s">
        <v>398</v>
      </c>
      <c r="B726" s="2">
        <v>1700071</v>
      </c>
      <c r="C726" s="2" t="s">
        <v>336</v>
      </c>
      <c r="D726" s="3">
        <f>VLOOKUP(B726,Sheet2!$A:$O,5,0)</f>
        <v>12190</v>
      </c>
    </row>
    <row r="727" spans="1:4">
      <c r="A727" s="7" t="s">
        <v>398</v>
      </c>
      <c r="B727" s="2">
        <v>1700072</v>
      </c>
      <c r="C727" s="2" t="s">
        <v>337</v>
      </c>
      <c r="D727" s="3">
        <f>VLOOKUP(B727,Sheet2!$A:$O,5,0)</f>
        <v>10180</v>
      </c>
    </row>
    <row r="728" spans="1:4">
      <c r="A728" s="7" t="s">
        <v>398</v>
      </c>
      <c r="B728" s="2">
        <v>1700073</v>
      </c>
      <c r="C728" s="2" t="s">
        <v>338</v>
      </c>
      <c r="D728" s="3">
        <f>VLOOKUP(B728,Sheet2!$A:$O,5,0)</f>
        <v>9020</v>
      </c>
    </row>
    <row r="729" spans="1:4">
      <c r="A729" s="7" t="s">
        <v>398</v>
      </c>
      <c r="B729" s="2">
        <v>1700076</v>
      </c>
      <c r="C729" s="2" t="s">
        <v>339</v>
      </c>
      <c r="D729" s="3">
        <f>VLOOKUP(B729,Sheet2!$A:$O,5,0)</f>
        <v>3480</v>
      </c>
    </row>
    <row r="730" spans="1:4">
      <c r="A730" s="7" t="s">
        <v>398</v>
      </c>
      <c r="B730" s="2">
        <v>1700077</v>
      </c>
      <c r="C730" s="2" t="s">
        <v>340</v>
      </c>
      <c r="D730" s="3">
        <f>VLOOKUP(B730,Sheet2!$A:$O,5,0)</f>
        <v>3265</v>
      </c>
    </row>
    <row r="731" spans="1:4">
      <c r="A731" s="7" t="s">
        <v>398</v>
      </c>
      <c r="B731" s="2">
        <v>1700078</v>
      </c>
      <c r="C731" s="2" t="s">
        <v>341</v>
      </c>
      <c r="D731" s="3">
        <f>VLOOKUP(B731,Sheet2!$A:$O,5,0)</f>
        <v>4078</v>
      </c>
    </row>
    <row r="732" spans="1:4">
      <c r="A732" s="7" t="s">
        <v>398</v>
      </c>
      <c r="B732" s="2">
        <v>1700080</v>
      </c>
      <c r="C732" s="2" t="s">
        <v>342</v>
      </c>
      <c r="D732" s="3">
        <f>VLOOKUP(B732,Sheet2!$A:$O,5,0)</f>
        <v>3529</v>
      </c>
    </row>
    <row r="733" spans="1:4">
      <c r="A733" s="7" t="s">
        <v>398</v>
      </c>
      <c r="B733" s="2">
        <v>1700083</v>
      </c>
      <c r="C733" s="2" t="s">
        <v>343</v>
      </c>
      <c r="D733" s="3">
        <f>VLOOKUP(B733,Sheet2!$A:$O,5,0)</f>
        <v>4435</v>
      </c>
    </row>
    <row r="734" spans="1:4">
      <c r="A734" s="7" t="s">
        <v>398</v>
      </c>
      <c r="B734" s="2">
        <v>1700084</v>
      </c>
      <c r="C734" s="2" t="s">
        <v>344</v>
      </c>
      <c r="D734" s="3">
        <f>VLOOKUP(B734,Sheet2!$A:$O,5,0)</f>
        <v>11092</v>
      </c>
    </row>
    <row r="735" spans="1:4">
      <c r="A735" s="7" t="s">
        <v>398</v>
      </c>
      <c r="B735" s="2">
        <v>1700085</v>
      </c>
      <c r="C735" s="2" t="s">
        <v>345</v>
      </c>
      <c r="D735" s="3">
        <f>VLOOKUP(B735,Sheet2!$A:$O,5,0)</f>
        <v>7720</v>
      </c>
    </row>
    <row r="736" spans="1:4">
      <c r="A736" s="7" t="s">
        <v>398</v>
      </c>
      <c r="B736" s="2">
        <v>1700086</v>
      </c>
      <c r="C736" s="2" t="s">
        <v>346</v>
      </c>
      <c r="D736" s="3">
        <f>VLOOKUP(B736,Sheet2!$A:$O,5,0)</f>
        <v>2657</v>
      </c>
    </row>
    <row r="737" spans="1:4">
      <c r="A737" s="7" t="s">
        <v>398</v>
      </c>
      <c r="B737" s="2">
        <v>1700087</v>
      </c>
      <c r="C737" s="2" t="s">
        <v>347</v>
      </c>
      <c r="D737" s="3">
        <f>VLOOKUP(B737,Sheet2!$A:$O,5,0)</f>
        <v>4660</v>
      </c>
    </row>
    <row r="738" spans="1:4">
      <c r="A738" s="7" t="s">
        <v>398</v>
      </c>
      <c r="B738" s="2">
        <v>1700088</v>
      </c>
      <c r="C738" s="2" t="s">
        <v>348</v>
      </c>
      <c r="D738" s="3">
        <f>VLOOKUP(B738,Sheet2!$A:$O,5,0)</f>
        <v>15500</v>
      </c>
    </row>
    <row r="739" spans="1:4">
      <c r="A739" s="7" t="s">
        <v>398</v>
      </c>
      <c r="B739" s="2">
        <v>1700089</v>
      </c>
      <c r="C739" s="2" t="s">
        <v>349</v>
      </c>
      <c r="D739" s="3">
        <f>VLOOKUP(B739,Sheet2!$A:$O,5,0)</f>
        <v>18500</v>
      </c>
    </row>
    <row r="740" spans="1:4">
      <c r="A740" s="7" t="s">
        <v>398</v>
      </c>
      <c r="B740" s="2">
        <v>1700090</v>
      </c>
      <c r="C740" s="2" t="s">
        <v>350</v>
      </c>
      <c r="D740" s="3">
        <f>VLOOKUP(B740,Sheet2!$A:$O,5,0)</f>
        <v>25961</v>
      </c>
    </row>
    <row r="741" spans="1:4">
      <c r="A741" s="7" t="s">
        <v>398</v>
      </c>
      <c r="B741" s="2">
        <v>1700091</v>
      </c>
      <c r="C741" s="2" t="s">
        <v>351</v>
      </c>
      <c r="D741" s="3">
        <f>VLOOKUP(B741,Sheet2!$A:$O,5,0)</f>
        <v>15716</v>
      </c>
    </row>
    <row r="742" spans="1:4">
      <c r="A742" s="7" t="s">
        <v>398</v>
      </c>
      <c r="B742" s="2">
        <v>1700092</v>
      </c>
      <c r="C742" s="2" t="s">
        <v>352</v>
      </c>
      <c r="D742" s="3">
        <f>VLOOKUP(B742,Sheet2!$A:$O,5,0)</f>
        <v>2196</v>
      </c>
    </row>
    <row r="743" spans="1:4">
      <c r="A743" s="7" t="s">
        <v>398</v>
      </c>
      <c r="B743" s="2">
        <v>1700093</v>
      </c>
      <c r="C743" s="2" t="s">
        <v>353</v>
      </c>
      <c r="D743" s="3">
        <f>VLOOKUP(B743,Sheet2!$A:$O,5,0)</f>
        <v>23760</v>
      </c>
    </row>
    <row r="744" spans="1:4">
      <c r="A744" s="7" t="s">
        <v>398</v>
      </c>
      <c r="B744" s="2">
        <v>1700094</v>
      </c>
      <c r="C744" s="2" t="s">
        <v>354</v>
      </c>
      <c r="D744" s="3">
        <f>VLOOKUP(B744,Sheet2!$A:$O,5,0)</f>
        <v>13529</v>
      </c>
    </row>
    <row r="745" spans="1:4">
      <c r="A745" s="7" t="s">
        <v>398</v>
      </c>
      <c r="B745" s="2">
        <v>1700095</v>
      </c>
      <c r="C745" s="2" t="s">
        <v>355</v>
      </c>
      <c r="D745" s="3">
        <f>VLOOKUP(B745,Sheet2!$A:$O,5,0)</f>
        <v>4500</v>
      </c>
    </row>
    <row r="746" spans="1:4">
      <c r="A746" s="7" t="s">
        <v>398</v>
      </c>
      <c r="B746" s="2">
        <v>1700096</v>
      </c>
      <c r="C746" s="2" t="s">
        <v>356</v>
      </c>
      <c r="D746" s="3">
        <f>VLOOKUP(B746,Sheet2!$A:$O,5,0)</f>
        <v>24510</v>
      </c>
    </row>
    <row r="747" spans="1:4">
      <c r="A747" s="7" t="s">
        <v>398</v>
      </c>
      <c r="B747" s="2">
        <v>1700097</v>
      </c>
      <c r="C747" s="2" t="s">
        <v>357</v>
      </c>
      <c r="D747" s="3">
        <f>VLOOKUP(B747,Sheet2!$A:$O,5,0)</f>
        <v>19608</v>
      </c>
    </row>
    <row r="748" spans="1:4">
      <c r="A748" s="7" t="s">
        <v>398</v>
      </c>
      <c r="B748" s="2">
        <v>1700098</v>
      </c>
      <c r="C748" s="2" t="s">
        <v>358</v>
      </c>
      <c r="D748" s="3">
        <f>VLOOKUP(B748,Sheet2!$A:$O,5,0)</f>
        <v>19608</v>
      </c>
    </row>
    <row r="749" spans="1:4">
      <c r="A749" s="7" t="s">
        <v>398</v>
      </c>
      <c r="B749" s="2">
        <v>1700099</v>
      </c>
      <c r="C749" s="2" t="s">
        <v>359</v>
      </c>
      <c r="D749" s="3">
        <f>VLOOKUP(B749,Sheet2!$A:$O,5,0)</f>
        <v>9000</v>
      </c>
    </row>
    <row r="750" spans="1:4">
      <c r="A750" s="7" t="s">
        <v>398</v>
      </c>
      <c r="B750" s="2">
        <v>1700100</v>
      </c>
      <c r="C750" s="2" t="s">
        <v>360</v>
      </c>
      <c r="D750" s="3">
        <f>VLOOKUP(B750,Sheet2!$A:$O,5,0)</f>
        <v>3029</v>
      </c>
    </row>
    <row r="751" spans="1:4">
      <c r="A751" s="7" t="s">
        <v>398</v>
      </c>
      <c r="B751" s="2">
        <v>1700101</v>
      </c>
      <c r="C751" s="2" t="s">
        <v>361</v>
      </c>
      <c r="D751" s="3">
        <f>VLOOKUP(B751,Sheet2!$A:$O,5,0)</f>
        <v>7451</v>
      </c>
    </row>
    <row r="752" spans="1:4">
      <c r="A752" s="7" t="s">
        <v>398</v>
      </c>
      <c r="B752" s="2">
        <v>1700102</v>
      </c>
      <c r="C752" s="2" t="s">
        <v>362</v>
      </c>
      <c r="D752" s="3">
        <f>VLOOKUP(B752,Sheet2!$A:$O,5,0)</f>
        <v>40197</v>
      </c>
    </row>
    <row r="753" spans="1:4">
      <c r="A753" s="7" t="s">
        <v>398</v>
      </c>
      <c r="B753" s="2">
        <v>1700103</v>
      </c>
      <c r="C753" s="2" t="s">
        <v>363</v>
      </c>
      <c r="D753" s="3">
        <f>VLOOKUP(B753,Sheet2!$A:$O,5,0)</f>
        <v>9000</v>
      </c>
    </row>
    <row r="754" spans="1:4">
      <c r="A754" s="7" t="s">
        <v>398</v>
      </c>
      <c r="B754" s="2">
        <v>1700104</v>
      </c>
      <c r="C754" s="2" t="s">
        <v>364</v>
      </c>
      <c r="D754" s="3">
        <f>VLOOKUP(B754,Sheet2!$A:$O,5,0)</f>
        <v>36380</v>
      </c>
    </row>
    <row r="755" spans="1:4">
      <c r="A755" s="7" t="s">
        <v>398</v>
      </c>
      <c r="B755" s="2">
        <v>1700105</v>
      </c>
      <c r="C755" s="2" t="s">
        <v>365</v>
      </c>
      <c r="D755" s="3">
        <f>VLOOKUP(B755,Sheet2!$A:$O,5,0)</f>
        <v>10588</v>
      </c>
    </row>
    <row r="756" spans="1:4">
      <c r="A756" s="7" t="s">
        <v>398</v>
      </c>
      <c r="B756" s="2">
        <v>1700106</v>
      </c>
      <c r="C756" s="2" t="s">
        <v>366</v>
      </c>
      <c r="D756" s="3">
        <f>VLOOKUP(B756,Sheet2!$A:$O,5,0)</f>
        <v>14020</v>
      </c>
    </row>
    <row r="757" spans="1:4">
      <c r="A757" s="7" t="s">
        <v>398</v>
      </c>
      <c r="B757" s="2">
        <v>1700107</v>
      </c>
      <c r="C757" s="2" t="s">
        <v>367</v>
      </c>
      <c r="D757" s="3">
        <f>VLOOKUP(B757,Sheet2!$A:$O,5,0)</f>
        <v>9020</v>
      </c>
    </row>
    <row r="758" spans="1:4">
      <c r="A758" s="7" t="s">
        <v>398</v>
      </c>
      <c r="B758" s="2">
        <v>1800002</v>
      </c>
      <c r="C758" s="2" t="s">
        <v>368</v>
      </c>
      <c r="D758" s="3">
        <f>VLOOKUP(B758,Sheet2!$A:$O,5,0)</f>
        <v>9520</v>
      </c>
    </row>
    <row r="759" spans="1:4">
      <c r="A759" s="7" t="s">
        <v>398</v>
      </c>
      <c r="B759" s="2">
        <v>1800004</v>
      </c>
      <c r="C759" s="2" t="s">
        <v>369</v>
      </c>
      <c r="D759" s="3">
        <f>VLOOKUP(B759,Sheet2!$A:$O,5,0)</f>
        <v>0</v>
      </c>
    </row>
    <row r="760" spans="1:4">
      <c r="A760" s="7" t="s">
        <v>398</v>
      </c>
      <c r="B760" s="2">
        <v>1800005</v>
      </c>
      <c r="C760" s="2" t="s">
        <v>370</v>
      </c>
      <c r="D760" s="3">
        <f>VLOOKUP(B760,Sheet2!$A:$O,5,0)</f>
        <v>0</v>
      </c>
    </row>
    <row r="761" spans="1:4">
      <c r="A761" s="7" t="s">
        <v>398</v>
      </c>
      <c r="B761" s="2">
        <v>1800006</v>
      </c>
      <c r="C761" s="2" t="s">
        <v>371</v>
      </c>
      <c r="D761" s="3">
        <f>VLOOKUP(B761,Sheet2!$A:$O,5,0)</f>
        <v>0</v>
      </c>
    </row>
    <row r="762" spans="1:4">
      <c r="A762" s="7" t="s">
        <v>398</v>
      </c>
      <c r="B762" s="2">
        <v>1800007</v>
      </c>
      <c r="C762" s="2" t="s">
        <v>372</v>
      </c>
      <c r="D762" s="3">
        <f>VLOOKUP(B762,Sheet2!$A:$O,5,0)</f>
        <v>10000</v>
      </c>
    </row>
    <row r="763" spans="1:4">
      <c r="A763" s="7" t="s">
        <v>398</v>
      </c>
      <c r="B763" s="2">
        <v>1800008</v>
      </c>
      <c r="C763" s="2" t="s">
        <v>373</v>
      </c>
      <c r="D763" s="3">
        <f>VLOOKUP(B763,Sheet2!$A:$O,5,0)</f>
        <v>10110</v>
      </c>
    </row>
    <row r="764" spans="1:4">
      <c r="A764" s="7" t="s">
        <v>398</v>
      </c>
      <c r="B764" s="2">
        <v>1800009</v>
      </c>
      <c r="C764" s="2" t="s">
        <v>374</v>
      </c>
      <c r="D764" s="3">
        <f>VLOOKUP(B764,Sheet2!$A:$O,5,0)</f>
        <v>11800</v>
      </c>
    </row>
    <row r="765" spans="1:4">
      <c r="A765" s="7" t="s">
        <v>398</v>
      </c>
      <c r="B765" s="2">
        <v>1800010</v>
      </c>
      <c r="C765" s="2" t="s">
        <v>375</v>
      </c>
      <c r="D765" s="3">
        <f>VLOOKUP(B765,Sheet2!$A:$O,5,0)</f>
        <v>5784</v>
      </c>
    </row>
    <row r="766" spans="1:4">
      <c r="A766" s="7" t="s">
        <v>398</v>
      </c>
      <c r="B766" s="2">
        <v>1800011</v>
      </c>
      <c r="C766" s="2" t="s">
        <v>376</v>
      </c>
      <c r="D766" s="3">
        <f>VLOOKUP(B766,Sheet2!$A:$O,5,0)</f>
        <v>9363</v>
      </c>
    </row>
    <row r="767" spans="1:4">
      <c r="A767" s="7" t="s">
        <v>398</v>
      </c>
      <c r="B767" s="2">
        <v>1800012</v>
      </c>
      <c r="C767" s="2" t="s">
        <v>377</v>
      </c>
      <c r="D767" s="3">
        <f>VLOOKUP(B767,Sheet2!$A:$O,5,0)</f>
        <v>5725</v>
      </c>
    </row>
    <row r="768" spans="1:4">
      <c r="A768" s="7" t="s">
        <v>398</v>
      </c>
      <c r="B768" s="2">
        <v>1800013</v>
      </c>
      <c r="C768" s="2" t="s">
        <v>378</v>
      </c>
      <c r="D768" s="3">
        <f>VLOOKUP(B768,Sheet2!$A:$O,5,0)</f>
        <v>49100</v>
      </c>
    </row>
    <row r="769" spans="1:4">
      <c r="A769" s="7" t="s">
        <v>398</v>
      </c>
      <c r="B769" s="2">
        <v>1800014</v>
      </c>
      <c r="C769" s="2" t="s">
        <v>379</v>
      </c>
      <c r="D769" s="3">
        <f>VLOOKUP(B769,Sheet2!$A:$O,5,0)</f>
        <v>70000</v>
      </c>
    </row>
    <row r="770" spans="1:4">
      <c r="A770" s="7" t="s">
        <v>398</v>
      </c>
      <c r="B770" s="2">
        <v>1800015</v>
      </c>
      <c r="C770" s="2" t="s">
        <v>380</v>
      </c>
      <c r="D770" s="3">
        <f>VLOOKUP(B770,Sheet2!$A:$O,5,0)</f>
        <v>66700</v>
      </c>
    </row>
    <row r="771" spans="1:4">
      <c r="A771" s="7" t="s">
        <v>398</v>
      </c>
      <c r="B771" s="2">
        <v>1900013</v>
      </c>
      <c r="C771" s="2" t="s">
        <v>381</v>
      </c>
      <c r="D771" s="3">
        <f>VLOOKUP(B771,Sheet2!$A:$O,5,0)</f>
        <v>0</v>
      </c>
    </row>
    <row r="772" spans="1:4">
      <c r="A772" s="7" t="s">
        <v>398</v>
      </c>
      <c r="B772" s="2">
        <v>1900018</v>
      </c>
      <c r="C772" s="2" t="s">
        <v>382</v>
      </c>
      <c r="D772" s="3">
        <f>VLOOKUP(B772,Sheet2!$A:$O,5,0)</f>
        <v>0</v>
      </c>
    </row>
    <row r="773" spans="1:4">
      <c r="A773" s="7" t="s">
        <v>399</v>
      </c>
      <c r="B773" s="2">
        <v>1010101</v>
      </c>
      <c r="C773" s="2" t="s">
        <v>5</v>
      </c>
      <c r="D773" s="3">
        <f>VLOOKUP(B773,Sheet2!$A:$O,6,0)</f>
        <v>697</v>
      </c>
    </row>
    <row r="774" spans="1:4">
      <c r="A774" s="7" t="s">
        <v>399</v>
      </c>
      <c r="B774" s="2">
        <v>1010111</v>
      </c>
      <c r="C774" s="2" t="s">
        <v>9</v>
      </c>
      <c r="D774" s="3">
        <f>VLOOKUP(B774,Sheet2!$A:$O,6,0)</f>
        <v>18300</v>
      </c>
    </row>
    <row r="775" spans="1:4">
      <c r="A775" s="7" t="s">
        <v>399</v>
      </c>
      <c r="B775" s="2">
        <v>1010201</v>
      </c>
      <c r="C775" s="2" t="s">
        <v>11</v>
      </c>
      <c r="D775" s="3">
        <f>VLOOKUP(B775,Sheet2!$A:$O,6,0)</f>
        <v>882</v>
      </c>
    </row>
    <row r="776" spans="1:4">
      <c r="A776" s="7" t="s">
        <v>399</v>
      </c>
      <c r="B776" s="2">
        <v>1010300</v>
      </c>
      <c r="C776" s="2" t="s">
        <v>213</v>
      </c>
      <c r="D776" s="3">
        <f>VLOOKUP(B776,Sheet2!$A:$O,6,0)</f>
        <v>5490</v>
      </c>
    </row>
    <row r="777" spans="1:4">
      <c r="A777" s="7" t="s">
        <v>399</v>
      </c>
      <c r="B777" s="2">
        <v>1010301</v>
      </c>
      <c r="C777" s="2" t="s">
        <v>214</v>
      </c>
      <c r="D777" s="3">
        <f>VLOOKUP(B777,Sheet2!$A:$O,6,0)</f>
        <v>5882</v>
      </c>
    </row>
    <row r="778" spans="1:4">
      <c r="A778" s="7" t="s">
        <v>399</v>
      </c>
      <c r="B778" s="2">
        <v>1010302</v>
      </c>
      <c r="C778" s="2" t="s">
        <v>16</v>
      </c>
      <c r="D778" s="3">
        <f>VLOOKUP(B778,Sheet2!$A:$O,6,0)</f>
        <v>4216</v>
      </c>
    </row>
    <row r="779" spans="1:4">
      <c r="A779" s="7" t="s">
        <v>399</v>
      </c>
      <c r="B779" s="2">
        <v>1010303</v>
      </c>
      <c r="C779" s="2" t="s">
        <v>18</v>
      </c>
      <c r="D779" s="3">
        <f>VLOOKUP(B779,Sheet2!$A:$O,6,0)</f>
        <v>882</v>
      </c>
    </row>
    <row r="780" spans="1:4">
      <c r="A780" s="7" t="s">
        <v>399</v>
      </c>
      <c r="B780" s="2">
        <v>1010304</v>
      </c>
      <c r="C780" s="2" t="s">
        <v>215</v>
      </c>
      <c r="D780" s="3">
        <f>VLOOKUP(B780,Sheet2!$A:$O,6,0)</f>
        <v>1225</v>
      </c>
    </row>
    <row r="781" spans="1:4">
      <c r="A781" s="7" t="s">
        <v>399</v>
      </c>
      <c r="B781" s="2">
        <v>1010401</v>
      </c>
      <c r="C781" s="2" t="s">
        <v>20</v>
      </c>
      <c r="D781" s="3">
        <f>VLOOKUP(B781,Sheet2!$A:$O,6,0)</f>
        <v>3627</v>
      </c>
    </row>
    <row r="782" spans="1:4">
      <c r="A782" s="7" t="s">
        <v>399</v>
      </c>
      <c r="B782" s="2">
        <v>1010405</v>
      </c>
      <c r="C782" s="2" t="s">
        <v>22</v>
      </c>
      <c r="D782" s="3">
        <f>VLOOKUP(B782,Sheet2!$A:$O,6,0)</f>
        <v>9975</v>
      </c>
    </row>
    <row r="783" spans="1:4">
      <c r="A783" s="7" t="s">
        <v>399</v>
      </c>
      <c r="B783" s="2">
        <v>1010501</v>
      </c>
      <c r="C783" s="2" t="s">
        <v>24</v>
      </c>
      <c r="D783" s="3">
        <f>VLOOKUP(B783,Sheet2!$A:$O,6,0)</f>
        <v>980</v>
      </c>
    </row>
    <row r="784" spans="1:4">
      <c r="A784" s="7" t="s">
        <v>399</v>
      </c>
      <c r="B784" s="2">
        <v>1010502</v>
      </c>
      <c r="C784" s="2" t="s">
        <v>216</v>
      </c>
      <c r="D784" s="3">
        <f>VLOOKUP(B784,Sheet2!$A:$O,6,0)</f>
        <v>0</v>
      </c>
    </row>
    <row r="785" spans="1:4">
      <c r="A785" s="7" t="s">
        <v>399</v>
      </c>
      <c r="B785" s="2">
        <v>1010601</v>
      </c>
      <c r="C785" s="2" t="s">
        <v>26</v>
      </c>
      <c r="D785" s="3">
        <f>VLOOKUP(B785,Sheet2!$A:$O,6,0)</f>
        <v>0</v>
      </c>
    </row>
    <row r="786" spans="1:4">
      <c r="A786" s="7" t="s">
        <v>399</v>
      </c>
      <c r="B786" s="2">
        <v>1010701</v>
      </c>
      <c r="C786" s="2" t="s">
        <v>28</v>
      </c>
      <c r="D786" s="3">
        <f>VLOOKUP(B786,Sheet2!$A:$O,6,0)</f>
        <v>686</v>
      </c>
    </row>
    <row r="787" spans="1:4">
      <c r="A787" s="7" t="s">
        <v>399</v>
      </c>
      <c r="B787" s="2">
        <v>1010801</v>
      </c>
      <c r="C787" s="2" t="s">
        <v>30</v>
      </c>
      <c r="D787" s="3">
        <f>VLOOKUP(B787,Sheet2!$A:$O,6,0)</f>
        <v>7157</v>
      </c>
    </row>
    <row r="788" spans="1:4">
      <c r="A788" s="7" t="s">
        <v>399</v>
      </c>
      <c r="B788" s="2">
        <v>1010901</v>
      </c>
      <c r="C788" s="2" t="s">
        <v>32</v>
      </c>
      <c r="D788" s="3">
        <f>VLOOKUP(B788,Sheet2!$A:$O,6,0)</f>
        <v>4804</v>
      </c>
    </row>
    <row r="789" spans="1:4">
      <c r="A789" s="7" t="s">
        <v>399</v>
      </c>
      <c r="B789" s="2">
        <v>1020101</v>
      </c>
      <c r="C789" s="2" t="s">
        <v>34</v>
      </c>
      <c r="D789" s="3">
        <f>VLOOKUP(B789,Sheet2!$A:$O,6,0)</f>
        <v>15196</v>
      </c>
    </row>
    <row r="790" spans="1:4">
      <c r="A790" s="7" t="s">
        <v>399</v>
      </c>
      <c r="B790" s="2">
        <v>1020201</v>
      </c>
      <c r="C790" s="2" t="s">
        <v>217</v>
      </c>
      <c r="D790" s="3">
        <f>VLOOKUP(B790,Sheet2!$A:$O,6,0)</f>
        <v>5600</v>
      </c>
    </row>
    <row r="791" spans="1:4">
      <c r="A791" s="7" t="s">
        <v>399</v>
      </c>
      <c r="B791" s="2">
        <v>1020301</v>
      </c>
      <c r="C791" s="2" t="s">
        <v>38</v>
      </c>
      <c r="D791" s="3">
        <f>VLOOKUP(B791,Sheet2!$A:$O,6,0)</f>
        <v>2100</v>
      </c>
    </row>
    <row r="792" spans="1:4">
      <c r="A792" s="7" t="s">
        <v>399</v>
      </c>
      <c r="B792" s="2">
        <v>1020401</v>
      </c>
      <c r="C792" s="2" t="s">
        <v>40</v>
      </c>
      <c r="D792" s="3">
        <f>VLOOKUP(B792,Sheet2!$A:$O,6,0)</f>
        <v>3500</v>
      </c>
    </row>
    <row r="793" spans="1:4">
      <c r="A793" s="7" t="s">
        <v>399</v>
      </c>
      <c r="B793" s="2">
        <v>1030102</v>
      </c>
      <c r="C793" s="2" t="s">
        <v>218</v>
      </c>
      <c r="D793" s="3">
        <f>VLOOKUP(B793,Sheet2!$A:$O,6,0)</f>
        <v>0</v>
      </c>
    </row>
    <row r="794" spans="1:4">
      <c r="A794" s="7" t="s">
        <v>399</v>
      </c>
      <c r="B794" s="2">
        <v>1030201</v>
      </c>
      <c r="C794" s="2" t="s">
        <v>42</v>
      </c>
      <c r="D794" s="3">
        <f>VLOOKUP(B794,Sheet2!$A:$O,6,0)</f>
        <v>2304</v>
      </c>
    </row>
    <row r="795" spans="1:4">
      <c r="A795" s="7" t="s">
        <v>399</v>
      </c>
      <c r="B795" s="2">
        <v>1030203</v>
      </c>
      <c r="C795" s="2" t="s">
        <v>219</v>
      </c>
      <c r="D795" s="3">
        <f>VLOOKUP(B795,Sheet2!$A:$O,6,0)</f>
        <v>0</v>
      </c>
    </row>
    <row r="796" spans="1:4">
      <c r="A796" s="7" t="s">
        <v>399</v>
      </c>
      <c r="B796" s="2">
        <v>1030204</v>
      </c>
      <c r="C796" s="2" t="s">
        <v>220</v>
      </c>
      <c r="D796" s="3">
        <f>VLOOKUP(B796,Sheet2!$A:$O,6,0)</f>
        <v>0</v>
      </c>
    </row>
    <row r="797" spans="1:4">
      <c r="A797" s="7" t="s">
        <v>399</v>
      </c>
      <c r="B797" s="2">
        <v>1030205</v>
      </c>
      <c r="C797" s="2" t="s">
        <v>44</v>
      </c>
      <c r="D797" s="3">
        <f>VLOOKUP(B797,Sheet2!$A:$O,6,0)</f>
        <v>5000</v>
      </c>
    </row>
    <row r="798" spans="1:4">
      <c r="A798" s="7" t="s">
        <v>399</v>
      </c>
      <c r="B798" s="2">
        <v>1030206</v>
      </c>
      <c r="C798" s="2" t="s">
        <v>46</v>
      </c>
      <c r="D798" s="3">
        <f>VLOOKUP(B798,Sheet2!$A:$O,6,0)</f>
        <v>5400</v>
      </c>
    </row>
    <row r="799" spans="1:4">
      <c r="A799" s="7" t="s">
        <v>399</v>
      </c>
      <c r="B799" s="2">
        <v>1030207</v>
      </c>
      <c r="C799" s="2" t="s">
        <v>48</v>
      </c>
      <c r="D799" s="3">
        <f>VLOOKUP(B799,Sheet2!$A:$O,6,0)</f>
        <v>4400</v>
      </c>
    </row>
    <row r="800" spans="1:4">
      <c r="A800" s="7" t="s">
        <v>399</v>
      </c>
      <c r="B800" s="2">
        <v>1030501</v>
      </c>
      <c r="C800" s="2" t="s">
        <v>50</v>
      </c>
      <c r="D800" s="3">
        <f>VLOOKUP(B800,Sheet2!$A:$O,6,0)</f>
        <v>1107</v>
      </c>
    </row>
    <row r="801" spans="1:4">
      <c r="A801" s="7" t="s">
        <v>399</v>
      </c>
      <c r="B801" s="2">
        <v>1030601</v>
      </c>
      <c r="C801" s="2" t="s">
        <v>52</v>
      </c>
      <c r="D801" s="3">
        <f>VLOOKUP(B801,Sheet2!$A:$O,6,0)</f>
        <v>3000</v>
      </c>
    </row>
    <row r="802" spans="1:4">
      <c r="A802" s="7" t="s">
        <v>399</v>
      </c>
      <c r="B802" s="2">
        <v>1030701</v>
      </c>
      <c r="C802" s="2" t="s">
        <v>221</v>
      </c>
      <c r="D802" s="3">
        <f>VLOOKUP(B802,Sheet2!$A:$O,6,0)</f>
        <v>3000</v>
      </c>
    </row>
    <row r="803" spans="1:4">
      <c r="A803" s="7" t="s">
        <v>399</v>
      </c>
      <c r="B803" s="2">
        <v>1030705</v>
      </c>
      <c r="C803" s="2" t="s">
        <v>222</v>
      </c>
      <c r="D803" s="3">
        <f>VLOOKUP(B803,Sheet2!$A:$O,6,0)</f>
        <v>0</v>
      </c>
    </row>
    <row r="804" spans="1:4">
      <c r="A804" s="7" t="s">
        <v>399</v>
      </c>
      <c r="B804" s="2">
        <v>1030801</v>
      </c>
      <c r="C804" s="2" t="s">
        <v>54</v>
      </c>
      <c r="D804" s="3">
        <f>VLOOKUP(B804,Sheet2!$A:$O,6,0)</f>
        <v>1422</v>
      </c>
    </row>
    <row r="805" spans="1:4">
      <c r="A805" s="7" t="s">
        <v>399</v>
      </c>
      <c r="B805" s="2">
        <v>1030901</v>
      </c>
      <c r="C805" s="2" t="s">
        <v>223</v>
      </c>
      <c r="D805" s="3">
        <f>VLOOKUP(B805,Sheet2!$A:$O,6,0)</f>
        <v>0</v>
      </c>
    </row>
    <row r="806" spans="1:4">
      <c r="A806" s="7" t="s">
        <v>399</v>
      </c>
      <c r="B806" s="2">
        <v>1040201</v>
      </c>
      <c r="C806" s="2" t="s">
        <v>56</v>
      </c>
      <c r="D806" s="3">
        <f>VLOOKUP(B806,Sheet2!$A:$O,6,0)</f>
        <v>1450</v>
      </c>
    </row>
    <row r="807" spans="1:4">
      <c r="A807" s="7" t="s">
        <v>399</v>
      </c>
      <c r="B807" s="2">
        <v>1040202</v>
      </c>
      <c r="C807" s="2" t="s">
        <v>224</v>
      </c>
      <c r="D807" s="3">
        <f>VLOOKUP(B807,Sheet2!$A:$O,6,0)</f>
        <v>0</v>
      </c>
    </row>
    <row r="808" spans="1:4">
      <c r="A808" s="7" t="s">
        <v>399</v>
      </c>
      <c r="B808" s="2">
        <v>1040203</v>
      </c>
      <c r="C808" s="2" t="s">
        <v>225</v>
      </c>
      <c r="D808" s="3">
        <f>VLOOKUP(B808,Sheet2!$A:$O,6,0)</f>
        <v>0</v>
      </c>
    </row>
    <row r="809" spans="1:4">
      <c r="A809" s="7" t="s">
        <v>399</v>
      </c>
      <c r="B809" s="2">
        <v>1040204</v>
      </c>
      <c r="C809" s="2" t="s">
        <v>226</v>
      </c>
      <c r="D809" s="3">
        <f>VLOOKUP(B809,Sheet2!$A:$O,6,0)</f>
        <v>7917</v>
      </c>
    </row>
    <row r="810" spans="1:4">
      <c r="A810" s="7" t="s">
        <v>399</v>
      </c>
      <c r="B810" s="2">
        <v>1040301</v>
      </c>
      <c r="C810" s="2" t="s">
        <v>58</v>
      </c>
      <c r="D810" s="3">
        <f>VLOOKUP(B810,Sheet2!$A:$O,6,0)</f>
        <v>1700</v>
      </c>
    </row>
    <row r="811" spans="1:4">
      <c r="A811" s="7" t="s">
        <v>399</v>
      </c>
      <c r="B811" s="2">
        <v>1040401</v>
      </c>
      <c r="C811" s="2" t="s">
        <v>227</v>
      </c>
      <c r="D811" s="3">
        <f>VLOOKUP(B811,Sheet2!$A:$O,6,0)</f>
        <v>0</v>
      </c>
    </row>
    <row r="812" spans="1:4">
      <c r="A812" s="7" t="s">
        <v>399</v>
      </c>
      <c r="B812" s="2">
        <v>1050102</v>
      </c>
      <c r="C812" s="2" t="s">
        <v>60</v>
      </c>
      <c r="D812" s="3">
        <f>VLOOKUP(B812,Sheet2!$A:$O,6,0)</f>
        <v>29500</v>
      </c>
    </row>
    <row r="813" spans="1:4">
      <c r="A813" s="7" t="s">
        <v>399</v>
      </c>
      <c r="B813" s="2">
        <v>1050103</v>
      </c>
      <c r="C813" s="2" t="s">
        <v>228</v>
      </c>
      <c r="D813" s="3">
        <f>VLOOKUP(B813,Sheet2!$A:$O,6,0)</f>
        <v>11275</v>
      </c>
    </row>
    <row r="814" spans="1:4">
      <c r="A814" s="7" t="s">
        <v>399</v>
      </c>
      <c r="B814" s="2">
        <v>1050301</v>
      </c>
      <c r="C814" s="2" t="s">
        <v>62</v>
      </c>
      <c r="D814" s="3">
        <f>VLOOKUP(B814,Sheet2!$A:$O,6,0)</f>
        <v>9804</v>
      </c>
    </row>
    <row r="815" spans="1:4">
      <c r="A815" s="7" t="s">
        <v>399</v>
      </c>
      <c r="B815" s="2">
        <v>1050401</v>
      </c>
      <c r="C815" s="2" t="s">
        <v>64</v>
      </c>
      <c r="D815" s="3">
        <f>VLOOKUP(B815,Sheet2!$A:$O,6,0)</f>
        <v>8824</v>
      </c>
    </row>
    <row r="816" spans="1:4">
      <c r="A816" s="7" t="s">
        <v>399</v>
      </c>
      <c r="B816" s="2">
        <v>1050501</v>
      </c>
      <c r="C816" s="2" t="s">
        <v>66</v>
      </c>
      <c r="D816" s="3">
        <f>VLOOKUP(B816,Sheet2!$A:$O,6,0)</f>
        <v>10785</v>
      </c>
    </row>
    <row r="817" spans="1:4">
      <c r="A817" s="7" t="s">
        <v>399</v>
      </c>
      <c r="B817" s="2">
        <v>1050511</v>
      </c>
      <c r="C817" s="2" t="s">
        <v>68</v>
      </c>
      <c r="D817" s="3">
        <f>VLOOKUP(B817,Sheet2!$A:$O,6,0)</f>
        <v>18000</v>
      </c>
    </row>
    <row r="818" spans="1:4">
      <c r="A818" s="7" t="s">
        <v>399</v>
      </c>
      <c r="B818" s="2">
        <v>1050512</v>
      </c>
      <c r="C818" s="2" t="s">
        <v>229</v>
      </c>
      <c r="D818" s="3">
        <f>VLOOKUP(B818,Sheet2!$A:$O,6,0)</f>
        <v>0</v>
      </c>
    </row>
    <row r="819" spans="1:4">
      <c r="A819" s="7" t="s">
        <v>399</v>
      </c>
      <c r="B819" s="2">
        <v>1050521</v>
      </c>
      <c r="C819" s="2" t="s">
        <v>70</v>
      </c>
      <c r="D819" s="3">
        <f>VLOOKUP(B819,Sheet2!$A:$O,6,0)</f>
        <v>14706</v>
      </c>
    </row>
    <row r="820" spans="1:4">
      <c r="A820" s="7" t="s">
        <v>399</v>
      </c>
      <c r="B820" s="2">
        <v>1050531</v>
      </c>
      <c r="C820" s="2" t="s">
        <v>72</v>
      </c>
      <c r="D820" s="3">
        <f>VLOOKUP(B820,Sheet2!$A:$O,6,0)</f>
        <v>21000</v>
      </c>
    </row>
    <row r="821" spans="1:4">
      <c r="A821" s="7" t="s">
        <v>399</v>
      </c>
      <c r="B821" s="2">
        <v>1050541</v>
      </c>
      <c r="C821" s="2" t="s">
        <v>74</v>
      </c>
      <c r="D821" s="3">
        <f>VLOOKUP(B821,Sheet2!$A:$O,6,0)</f>
        <v>11000</v>
      </c>
    </row>
    <row r="822" spans="1:4">
      <c r="A822" s="7" t="s">
        <v>399</v>
      </c>
      <c r="B822" s="2">
        <v>1050551</v>
      </c>
      <c r="C822" s="2" t="s">
        <v>76</v>
      </c>
      <c r="D822" s="3">
        <f>VLOOKUP(B822,Sheet2!$A:$O,6,0)</f>
        <v>54000</v>
      </c>
    </row>
    <row r="823" spans="1:4">
      <c r="A823" s="7" t="s">
        <v>399</v>
      </c>
      <c r="B823" s="2">
        <v>1050561</v>
      </c>
      <c r="C823" s="2" t="s">
        <v>78</v>
      </c>
      <c r="D823" s="3">
        <f>VLOOKUP(B823,Sheet2!$A:$O,6,0)</f>
        <v>98000</v>
      </c>
    </row>
    <row r="824" spans="1:4">
      <c r="A824" s="7" t="s">
        <v>399</v>
      </c>
      <c r="B824" s="2">
        <v>1050571</v>
      </c>
      <c r="C824" s="2" t="s">
        <v>80</v>
      </c>
      <c r="D824" s="3">
        <f>VLOOKUP(B824,Sheet2!$A:$O,6,0)</f>
        <v>58000</v>
      </c>
    </row>
    <row r="825" spans="1:4">
      <c r="A825" s="7" t="s">
        <v>399</v>
      </c>
      <c r="B825" s="2">
        <v>1050581</v>
      </c>
      <c r="C825" s="2" t="s">
        <v>82</v>
      </c>
      <c r="D825" s="3">
        <f>VLOOKUP(B825,Sheet2!$A:$O,6,0)</f>
        <v>57000</v>
      </c>
    </row>
    <row r="826" spans="1:4">
      <c r="A826" s="7" t="s">
        <v>399</v>
      </c>
      <c r="B826" s="2">
        <v>1050591</v>
      </c>
      <c r="C826" s="2" t="s">
        <v>84</v>
      </c>
      <c r="D826" s="3">
        <f>VLOOKUP(B826,Sheet2!$A:$O,6,0)</f>
        <v>97750</v>
      </c>
    </row>
    <row r="827" spans="1:4">
      <c r="A827" s="7" t="s">
        <v>399</v>
      </c>
      <c r="B827" s="2">
        <v>1050601</v>
      </c>
      <c r="C827" s="2" t="s">
        <v>86</v>
      </c>
      <c r="D827" s="3">
        <f>VLOOKUP(B827,Sheet2!$A:$O,6,0)</f>
        <v>5900</v>
      </c>
    </row>
    <row r="828" spans="1:4">
      <c r="A828" s="7" t="s">
        <v>399</v>
      </c>
      <c r="B828" s="2">
        <v>1050701</v>
      </c>
      <c r="C828" s="2" t="s">
        <v>88</v>
      </c>
      <c r="D828" s="3">
        <f>VLOOKUP(B828,Sheet2!$A:$O,6,0)</f>
        <v>5700</v>
      </c>
    </row>
    <row r="829" spans="1:4">
      <c r="A829" s="7" t="s">
        <v>399</v>
      </c>
      <c r="B829" s="2">
        <v>1050702</v>
      </c>
      <c r="C829" s="2" t="s">
        <v>90</v>
      </c>
      <c r="D829" s="3">
        <f>VLOOKUP(B829,Sheet2!$A:$O,6,0)</f>
        <v>5700</v>
      </c>
    </row>
    <row r="830" spans="1:4">
      <c r="A830" s="7" t="s">
        <v>399</v>
      </c>
      <c r="B830" s="2">
        <v>1050711</v>
      </c>
      <c r="C830" s="2" t="s">
        <v>92</v>
      </c>
      <c r="D830" s="3">
        <f>VLOOKUP(B830,Sheet2!$A:$O,6,0)</f>
        <v>2900</v>
      </c>
    </row>
    <row r="831" spans="1:4">
      <c r="A831" s="7" t="s">
        <v>399</v>
      </c>
      <c r="B831" s="2">
        <v>1050721</v>
      </c>
      <c r="C831" s="2" t="s">
        <v>94</v>
      </c>
      <c r="D831" s="3">
        <f>VLOOKUP(B831,Sheet2!$A:$O,6,0)</f>
        <v>14300</v>
      </c>
    </row>
    <row r="832" spans="1:4">
      <c r="A832" s="7" t="s">
        <v>399</v>
      </c>
      <c r="B832" s="2">
        <v>1050801</v>
      </c>
      <c r="C832" s="2" t="s">
        <v>7</v>
      </c>
      <c r="D832" s="3">
        <f>VLOOKUP(B832,Sheet2!$A:$O,6,0)</f>
        <v>1022</v>
      </c>
    </row>
    <row r="833" spans="1:4">
      <c r="A833" s="7" t="s">
        <v>399</v>
      </c>
      <c r="B833" s="2">
        <v>1050901</v>
      </c>
      <c r="C833" s="2" t="s">
        <v>96</v>
      </c>
      <c r="D833" s="3">
        <f>VLOOKUP(B833,Sheet2!$A:$O,6,0)</f>
        <v>1539</v>
      </c>
    </row>
    <row r="834" spans="1:4">
      <c r="A834" s="7" t="s">
        <v>399</v>
      </c>
      <c r="B834" s="2">
        <v>1060101</v>
      </c>
      <c r="C834" s="2" t="s">
        <v>98</v>
      </c>
      <c r="D834" s="3">
        <f>VLOOKUP(B834,Sheet2!$A:$O,6,0)</f>
        <v>2126</v>
      </c>
    </row>
    <row r="835" spans="1:4">
      <c r="A835" s="7" t="s">
        <v>399</v>
      </c>
      <c r="B835" s="2">
        <v>1060401</v>
      </c>
      <c r="C835" s="2" t="s">
        <v>100</v>
      </c>
      <c r="D835" s="3">
        <f>VLOOKUP(B835,Sheet2!$A:$O,6,0)</f>
        <v>71000</v>
      </c>
    </row>
    <row r="836" spans="1:4">
      <c r="A836" s="7" t="s">
        <v>399</v>
      </c>
      <c r="B836" s="2">
        <v>1060412</v>
      </c>
      <c r="C836" s="2" t="s">
        <v>230</v>
      </c>
      <c r="D836" s="3">
        <f>VLOOKUP(B836,Sheet2!$A:$O,6,0)</f>
        <v>33000</v>
      </c>
    </row>
    <row r="837" spans="1:4">
      <c r="A837" s="7" t="s">
        <v>399</v>
      </c>
      <c r="B837" s="2">
        <v>1060421</v>
      </c>
      <c r="C837" s="2" t="s">
        <v>104</v>
      </c>
      <c r="D837" s="3">
        <f>VLOOKUP(B837,Sheet2!$A:$O,6,0)</f>
        <v>76000</v>
      </c>
    </row>
    <row r="838" spans="1:4">
      <c r="A838" s="7" t="s">
        <v>399</v>
      </c>
      <c r="B838" s="2">
        <v>1060441</v>
      </c>
      <c r="C838" s="2" t="s">
        <v>106</v>
      </c>
      <c r="D838" s="3">
        <f>VLOOKUP(B838,Sheet2!$A:$O,6,0)</f>
        <v>5200</v>
      </c>
    </row>
    <row r="839" spans="1:4">
      <c r="A839" s="7" t="s">
        <v>399</v>
      </c>
      <c r="B839" s="2">
        <v>1060451</v>
      </c>
      <c r="C839" s="2" t="s">
        <v>108</v>
      </c>
      <c r="D839" s="3">
        <f>VLOOKUP(B839,Sheet2!$A:$O,6,0)</f>
        <v>0</v>
      </c>
    </row>
    <row r="840" spans="1:4">
      <c r="A840" s="7" t="s">
        <v>399</v>
      </c>
      <c r="B840" s="2">
        <v>1070101</v>
      </c>
      <c r="C840" s="2" t="s">
        <v>110</v>
      </c>
      <c r="D840" s="3">
        <f>VLOOKUP(B840,Sheet2!$A:$O,6,0)</f>
        <v>4000</v>
      </c>
    </row>
    <row r="841" spans="1:4">
      <c r="A841" s="7" t="s">
        <v>399</v>
      </c>
      <c r="B841" s="2">
        <v>1070301</v>
      </c>
      <c r="C841" s="2" t="s">
        <v>112</v>
      </c>
      <c r="D841" s="3">
        <f>VLOOKUP(B841,Sheet2!$A:$O,6,0)</f>
        <v>35000</v>
      </c>
    </row>
    <row r="842" spans="1:4">
      <c r="A842" s="7" t="s">
        <v>399</v>
      </c>
      <c r="B842" s="2">
        <v>1070401</v>
      </c>
      <c r="C842" s="2" t="s">
        <v>114</v>
      </c>
      <c r="D842" s="3">
        <f>VLOOKUP(B842,Sheet2!$A:$O,6,0)</f>
        <v>12000</v>
      </c>
    </row>
    <row r="843" spans="1:4">
      <c r="A843" s="7" t="s">
        <v>399</v>
      </c>
      <c r="B843" s="2">
        <v>1070501</v>
      </c>
      <c r="C843" s="2" t="s">
        <v>231</v>
      </c>
      <c r="D843" s="3">
        <f>VLOOKUP(B843,Sheet2!$A:$O,6,0)</f>
        <v>5500</v>
      </c>
    </row>
    <row r="844" spans="1:4">
      <c r="A844" s="7" t="s">
        <v>399</v>
      </c>
      <c r="B844" s="2">
        <v>1070701</v>
      </c>
      <c r="C844" s="2" t="s">
        <v>118</v>
      </c>
      <c r="D844" s="3">
        <f>VLOOKUP(B844,Sheet2!$A:$O,6,0)</f>
        <v>36000</v>
      </c>
    </row>
    <row r="845" spans="1:4">
      <c r="A845" s="7" t="s">
        <v>399</v>
      </c>
      <c r="B845" s="2">
        <v>1070801</v>
      </c>
      <c r="C845" s="2" t="s">
        <v>232</v>
      </c>
      <c r="D845" s="3">
        <f>VLOOKUP(B845,Sheet2!$A:$O,6,0)</f>
        <v>35000</v>
      </c>
    </row>
    <row r="846" spans="1:4">
      <c r="A846" s="7" t="s">
        <v>399</v>
      </c>
      <c r="B846" s="2">
        <v>1080101</v>
      </c>
      <c r="C846" s="2" t="s">
        <v>120</v>
      </c>
      <c r="D846" s="3">
        <f>VLOOKUP(B846,Sheet2!$A:$O,6,0)</f>
        <v>11000</v>
      </c>
    </row>
    <row r="847" spans="1:4">
      <c r="A847" s="7" t="s">
        <v>399</v>
      </c>
      <c r="B847" s="2">
        <v>1080201</v>
      </c>
      <c r="C847" s="2" t="s">
        <v>122</v>
      </c>
      <c r="D847" s="3">
        <f>VLOOKUP(B847,Sheet2!$A:$O,6,0)</f>
        <v>540</v>
      </c>
    </row>
    <row r="848" spans="1:4">
      <c r="A848" s="7" t="s">
        <v>399</v>
      </c>
      <c r="B848" s="2">
        <v>1080301</v>
      </c>
      <c r="C848" s="2" t="s">
        <v>124</v>
      </c>
      <c r="D848" s="3">
        <f>VLOOKUP(B848,Sheet2!$A:$O,6,0)</f>
        <v>1550</v>
      </c>
    </row>
    <row r="849" spans="1:4">
      <c r="A849" s="7" t="s">
        <v>399</v>
      </c>
      <c r="B849" s="2">
        <v>1080401</v>
      </c>
      <c r="C849" s="2" t="s">
        <v>233</v>
      </c>
      <c r="D849" s="3">
        <f>VLOOKUP(B849,Sheet2!$A:$O,6,0)</f>
        <v>3300</v>
      </c>
    </row>
    <row r="850" spans="1:4">
      <c r="A850" s="7" t="s">
        <v>399</v>
      </c>
      <c r="B850" s="2">
        <v>1080411</v>
      </c>
      <c r="C850" s="2" t="s">
        <v>128</v>
      </c>
      <c r="D850" s="3">
        <f>VLOOKUP(B850,Sheet2!$A:$O,6,0)</f>
        <v>3300</v>
      </c>
    </row>
    <row r="851" spans="1:4">
      <c r="A851" s="7" t="s">
        <v>399</v>
      </c>
      <c r="B851" s="2">
        <v>1080501</v>
      </c>
      <c r="C851" s="2" t="s">
        <v>130</v>
      </c>
      <c r="D851" s="3">
        <f>VLOOKUP(B851,Sheet2!$A:$O,6,0)</f>
        <v>3800</v>
      </c>
    </row>
    <row r="852" spans="1:4">
      <c r="A852" s="7" t="s">
        <v>399</v>
      </c>
      <c r="B852" s="2">
        <v>1080602</v>
      </c>
      <c r="C852" s="2" t="s">
        <v>234</v>
      </c>
      <c r="D852" s="3">
        <f>VLOOKUP(B852,Sheet2!$A:$O,6,0)</f>
        <v>37600</v>
      </c>
    </row>
    <row r="853" spans="1:4">
      <c r="A853" s="7" t="s">
        <v>399</v>
      </c>
      <c r="B853" s="2">
        <v>1080604</v>
      </c>
      <c r="C853" s="2" t="s">
        <v>235</v>
      </c>
      <c r="D853" s="3">
        <f>VLOOKUP(B853,Sheet2!$A:$O,6,0)</f>
        <v>0</v>
      </c>
    </row>
    <row r="854" spans="1:4">
      <c r="A854" s="7" t="s">
        <v>399</v>
      </c>
      <c r="B854" s="2">
        <v>1080702</v>
      </c>
      <c r="C854" s="2" t="s">
        <v>236</v>
      </c>
      <c r="D854" s="3">
        <f>VLOOKUP(B854,Sheet2!$A:$O,6,0)</f>
        <v>42500</v>
      </c>
    </row>
    <row r="855" spans="1:4">
      <c r="A855" s="7" t="s">
        <v>399</v>
      </c>
      <c r="B855" s="2">
        <v>1080704</v>
      </c>
      <c r="C855" s="2" t="s">
        <v>237</v>
      </c>
      <c r="D855" s="3">
        <f>VLOOKUP(B855,Sheet2!$A:$O,6,0)</f>
        <v>0</v>
      </c>
    </row>
    <row r="856" spans="1:4">
      <c r="A856" s="7" t="s">
        <v>399</v>
      </c>
      <c r="B856" s="2">
        <v>1090104</v>
      </c>
      <c r="C856" s="2" t="s">
        <v>136</v>
      </c>
      <c r="D856" s="3">
        <f>VLOOKUP(B856,Sheet2!$A:$O,6,0)</f>
        <v>40000</v>
      </c>
    </row>
    <row r="857" spans="1:4">
      <c r="A857" s="7" t="s">
        <v>399</v>
      </c>
      <c r="B857" s="2">
        <v>1090112</v>
      </c>
      <c r="C857" s="2" t="s">
        <v>138</v>
      </c>
      <c r="D857" s="3">
        <f>VLOOKUP(B857,Sheet2!$A:$O,6,0)</f>
        <v>35000</v>
      </c>
    </row>
    <row r="858" spans="1:4">
      <c r="A858" s="7" t="s">
        <v>399</v>
      </c>
      <c r="B858" s="2">
        <v>1090201</v>
      </c>
      <c r="C858" s="2" t="s">
        <v>140</v>
      </c>
      <c r="D858" s="3">
        <f>VLOOKUP(B858,Sheet2!$A:$O,6,0)</f>
        <v>15800</v>
      </c>
    </row>
    <row r="859" spans="1:4">
      <c r="A859" s="7" t="s">
        <v>399</v>
      </c>
      <c r="B859" s="2">
        <v>1090202</v>
      </c>
      <c r="C859" s="2" t="s">
        <v>142</v>
      </c>
      <c r="D859" s="3">
        <f>VLOOKUP(B859,Sheet2!$A:$O,6,0)</f>
        <v>98000</v>
      </c>
    </row>
    <row r="860" spans="1:4">
      <c r="A860" s="7" t="s">
        <v>399</v>
      </c>
      <c r="B860" s="2">
        <v>1090203</v>
      </c>
      <c r="C860" s="2" t="s">
        <v>144</v>
      </c>
      <c r="D860" s="3">
        <f>VLOOKUP(B860,Sheet2!$A:$O,6,0)</f>
        <v>23000</v>
      </c>
    </row>
    <row r="861" spans="1:4">
      <c r="A861" s="7" t="s">
        <v>399</v>
      </c>
      <c r="B861" s="2">
        <v>1090211</v>
      </c>
      <c r="C861" s="2" t="s">
        <v>146</v>
      </c>
      <c r="D861" s="3">
        <f>VLOOKUP(B861,Sheet2!$A:$O,6,0)</f>
        <v>69000</v>
      </c>
    </row>
    <row r="862" spans="1:4">
      <c r="A862" s="7" t="s">
        <v>399</v>
      </c>
      <c r="B862" s="2">
        <v>1090301</v>
      </c>
      <c r="C862" s="2" t="s">
        <v>238</v>
      </c>
      <c r="D862" s="3">
        <f>VLOOKUP(B862,Sheet2!$A:$O,6,0)</f>
        <v>32000</v>
      </c>
    </row>
    <row r="863" spans="1:4">
      <c r="A863" s="7" t="s">
        <v>399</v>
      </c>
      <c r="B863" s="2">
        <v>1090311</v>
      </c>
      <c r="C863" s="2" t="s">
        <v>150</v>
      </c>
      <c r="D863" s="3">
        <f>VLOOKUP(B863,Sheet2!$A:$O,6,0)</f>
        <v>37000</v>
      </c>
    </row>
    <row r="864" spans="1:4">
      <c r="A864" s="7" t="s">
        <v>399</v>
      </c>
      <c r="B864" s="2">
        <v>1090321</v>
      </c>
      <c r="C864" s="2" t="s">
        <v>152</v>
      </c>
      <c r="D864" s="3">
        <f>VLOOKUP(B864,Sheet2!$A:$O,6,0)</f>
        <v>75000</v>
      </c>
    </row>
    <row r="865" spans="1:4">
      <c r="A865" s="7" t="s">
        <v>399</v>
      </c>
      <c r="B865" s="2">
        <v>1090401</v>
      </c>
      <c r="C865" s="2" t="s">
        <v>154</v>
      </c>
      <c r="D865" s="3">
        <f>VLOOKUP(B865,Sheet2!$A:$O,6,0)</f>
        <v>8300</v>
      </c>
    </row>
    <row r="866" spans="1:4">
      <c r="A866" s="7" t="s">
        <v>399</v>
      </c>
      <c r="B866" s="2">
        <v>1090411</v>
      </c>
      <c r="C866" s="2" t="s">
        <v>156</v>
      </c>
      <c r="D866" s="3">
        <f>VLOOKUP(B866,Sheet2!$A:$O,6,0)</f>
        <v>45000</v>
      </c>
    </row>
    <row r="867" spans="1:4">
      <c r="A867" s="7" t="s">
        <v>399</v>
      </c>
      <c r="B867" s="2">
        <v>1090421</v>
      </c>
      <c r="C867" s="2" t="s">
        <v>158</v>
      </c>
      <c r="D867" s="3">
        <f>VLOOKUP(B867,Sheet2!$A:$O,6,0)</f>
        <v>36000</v>
      </c>
    </row>
    <row r="868" spans="1:4">
      <c r="A868" s="7" t="s">
        <v>399</v>
      </c>
      <c r="B868" s="2">
        <v>1090551</v>
      </c>
      <c r="C868" s="2" t="s">
        <v>239</v>
      </c>
      <c r="D868" s="3">
        <f>VLOOKUP(B868,Sheet2!$A:$O,6,0)</f>
        <v>4900</v>
      </c>
    </row>
    <row r="869" spans="1:4">
      <c r="A869" s="7" t="s">
        <v>399</v>
      </c>
      <c r="B869" s="2">
        <v>1090602</v>
      </c>
      <c r="C869" s="2" t="s">
        <v>162</v>
      </c>
      <c r="D869" s="3">
        <f>VLOOKUP(B869,Sheet2!$A:$O,6,0)</f>
        <v>5130</v>
      </c>
    </row>
    <row r="870" spans="1:4">
      <c r="A870" s="7" t="s">
        <v>399</v>
      </c>
      <c r="B870" s="2">
        <v>1090611</v>
      </c>
      <c r="C870" s="2" t="s">
        <v>164</v>
      </c>
      <c r="D870" s="3">
        <f>VLOOKUP(B870,Sheet2!$A:$O,6,0)</f>
        <v>4203</v>
      </c>
    </row>
    <row r="871" spans="1:4">
      <c r="A871" s="7" t="s">
        <v>399</v>
      </c>
      <c r="B871" s="2">
        <v>1090701</v>
      </c>
      <c r="C871" s="2" t="s">
        <v>166</v>
      </c>
      <c r="D871" s="3">
        <f>VLOOKUP(B871,Sheet2!$A:$O,6,0)</f>
        <v>21000</v>
      </c>
    </row>
    <row r="872" spans="1:4">
      <c r="A872" s="7" t="s">
        <v>399</v>
      </c>
      <c r="B872" s="2">
        <v>1090901</v>
      </c>
      <c r="C872" s="2" t="s">
        <v>168</v>
      </c>
      <c r="D872" s="3">
        <f>VLOOKUP(B872,Sheet2!$A:$O,6,0)</f>
        <v>4300</v>
      </c>
    </row>
    <row r="873" spans="1:4">
      <c r="A873" s="7" t="s">
        <v>399</v>
      </c>
      <c r="B873" s="2">
        <v>1091001</v>
      </c>
      <c r="C873" s="2" t="s">
        <v>170</v>
      </c>
      <c r="D873" s="3">
        <f>VLOOKUP(B873,Sheet2!$A:$O,6,0)</f>
        <v>6500</v>
      </c>
    </row>
    <row r="874" spans="1:4">
      <c r="A874" s="7" t="s">
        <v>399</v>
      </c>
      <c r="B874" s="2">
        <v>1091002</v>
      </c>
      <c r="C874" s="2" t="s">
        <v>172</v>
      </c>
      <c r="D874" s="3">
        <f>VLOOKUP(B874,Sheet2!$A:$O,6,0)</f>
        <v>6373</v>
      </c>
    </row>
    <row r="875" spans="1:4">
      <c r="A875" s="7" t="s">
        <v>399</v>
      </c>
      <c r="B875" s="2">
        <v>1091003</v>
      </c>
      <c r="C875" s="2" t="s">
        <v>174</v>
      </c>
      <c r="D875" s="3">
        <f>VLOOKUP(B875,Sheet2!$A:$O,6,0)</f>
        <v>8687</v>
      </c>
    </row>
    <row r="876" spans="1:4">
      <c r="A876" s="7" t="s">
        <v>399</v>
      </c>
      <c r="B876" s="2">
        <v>1091004</v>
      </c>
      <c r="C876" s="2" t="s">
        <v>240</v>
      </c>
      <c r="D876" s="3">
        <f>VLOOKUP(B876,Sheet2!$A:$O,6,0)</f>
        <v>0</v>
      </c>
    </row>
    <row r="877" spans="1:4">
      <c r="A877" s="7" t="s">
        <v>399</v>
      </c>
      <c r="B877" s="2">
        <v>1091005</v>
      </c>
      <c r="C877" s="2" t="s">
        <v>241</v>
      </c>
      <c r="D877" s="3">
        <f>VLOOKUP(B877,Sheet2!$A:$O,6,0)</f>
        <v>0</v>
      </c>
    </row>
    <row r="878" spans="1:4">
      <c r="A878" s="7" t="s">
        <v>399</v>
      </c>
      <c r="B878" s="2">
        <v>1091006</v>
      </c>
      <c r="C878" s="2" t="s">
        <v>242</v>
      </c>
      <c r="D878" s="3">
        <f>VLOOKUP(B878,Sheet2!$A:$O,6,0)</f>
        <v>0</v>
      </c>
    </row>
    <row r="879" spans="1:4">
      <c r="A879" s="7" t="s">
        <v>399</v>
      </c>
      <c r="B879" s="2">
        <v>1091007</v>
      </c>
      <c r="C879" s="2" t="s">
        <v>243</v>
      </c>
      <c r="D879" s="3">
        <f>VLOOKUP(B879,Sheet2!$A:$O,6,0)</f>
        <v>2640</v>
      </c>
    </row>
    <row r="880" spans="1:4">
      <c r="A880" s="7" t="s">
        <v>399</v>
      </c>
      <c r="B880" s="2">
        <v>1091008</v>
      </c>
      <c r="C880" s="2" t="s">
        <v>176</v>
      </c>
      <c r="D880" s="3">
        <f>VLOOKUP(B880,Sheet2!$A:$O,6,0)</f>
        <v>0</v>
      </c>
    </row>
    <row r="881" spans="1:4">
      <c r="A881" s="7" t="s">
        <v>399</v>
      </c>
      <c r="B881" s="2">
        <v>1091009</v>
      </c>
      <c r="C881" s="2" t="s">
        <v>178</v>
      </c>
      <c r="D881" s="3">
        <f>VLOOKUP(B881,Sheet2!$A:$O,6,0)</f>
        <v>0</v>
      </c>
    </row>
    <row r="882" spans="1:4">
      <c r="A882" s="7" t="s">
        <v>399</v>
      </c>
      <c r="B882" s="2">
        <v>1091010</v>
      </c>
      <c r="C882" s="2" t="s">
        <v>180</v>
      </c>
      <c r="D882" s="3">
        <f>VLOOKUP(B882,Sheet2!$A:$O,6,0)</f>
        <v>27000</v>
      </c>
    </row>
    <row r="883" spans="1:4">
      <c r="A883" s="7" t="s">
        <v>399</v>
      </c>
      <c r="B883" s="2">
        <v>1091011</v>
      </c>
      <c r="C883" s="2" t="s">
        <v>182</v>
      </c>
      <c r="D883" s="3">
        <f>VLOOKUP(B883,Sheet2!$A:$O,6,0)</f>
        <v>33000</v>
      </c>
    </row>
    <row r="884" spans="1:4">
      <c r="A884" s="7" t="s">
        <v>399</v>
      </c>
      <c r="B884" s="2">
        <v>1091012</v>
      </c>
      <c r="C884" s="2" t="s">
        <v>184</v>
      </c>
      <c r="D884" s="3">
        <f>VLOOKUP(B884,Sheet2!$A:$O,6,0)</f>
        <v>47000</v>
      </c>
    </row>
    <row r="885" spans="1:4">
      <c r="A885" s="7" t="s">
        <v>399</v>
      </c>
      <c r="B885" s="2">
        <v>1091013</v>
      </c>
      <c r="C885" s="2" t="s">
        <v>186</v>
      </c>
      <c r="D885" s="3">
        <f>VLOOKUP(B885,Sheet2!$A:$O,6,0)</f>
        <v>33000</v>
      </c>
    </row>
    <row r="886" spans="1:4">
      <c r="A886" s="7" t="s">
        <v>399</v>
      </c>
      <c r="B886" s="2">
        <v>1091014</v>
      </c>
      <c r="C886" s="2" t="s">
        <v>244</v>
      </c>
      <c r="D886" s="3">
        <f>VLOOKUP(B886,Sheet2!$A:$O,6,0)</f>
        <v>6961</v>
      </c>
    </row>
    <row r="887" spans="1:4">
      <c r="A887" s="7" t="s">
        <v>399</v>
      </c>
      <c r="B887" s="2">
        <v>1091015</v>
      </c>
      <c r="C887" s="2" t="s">
        <v>245</v>
      </c>
      <c r="D887" s="3">
        <f>VLOOKUP(B887,Sheet2!$A:$O,6,0)</f>
        <v>25490</v>
      </c>
    </row>
    <row r="888" spans="1:4">
      <c r="A888" s="7" t="s">
        <v>399</v>
      </c>
      <c r="B888" s="2">
        <v>1091016</v>
      </c>
      <c r="C888" s="2" t="s">
        <v>246</v>
      </c>
      <c r="D888" s="3">
        <f>VLOOKUP(B888,Sheet2!$A:$O,6,0)</f>
        <v>59000</v>
      </c>
    </row>
    <row r="889" spans="1:4">
      <c r="A889" s="7" t="s">
        <v>399</v>
      </c>
      <c r="B889" s="2">
        <v>1091017</v>
      </c>
      <c r="C889" s="2" t="s">
        <v>247</v>
      </c>
      <c r="D889" s="3">
        <f>VLOOKUP(B889,Sheet2!$A:$O,6,0)</f>
        <v>0</v>
      </c>
    </row>
    <row r="890" spans="1:4">
      <c r="A890" s="7" t="s">
        <v>399</v>
      </c>
      <c r="B890" s="2">
        <v>1091018</v>
      </c>
      <c r="C890" s="2" t="s">
        <v>248</v>
      </c>
      <c r="D890" s="3">
        <f>VLOOKUP(B890,Sheet2!$A:$O,6,0)</f>
        <v>0</v>
      </c>
    </row>
    <row r="891" spans="1:4">
      <c r="A891" s="7" t="s">
        <v>399</v>
      </c>
      <c r="B891" s="2">
        <v>1091019</v>
      </c>
      <c r="C891" s="2" t="s">
        <v>249</v>
      </c>
      <c r="D891" s="3">
        <f>VLOOKUP(B891,Sheet2!$A:$O,6,0)</f>
        <v>53387</v>
      </c>
    </row>
    <row r="892" spans="1:4">
      <c r="A892" s="7" t="s">
        <v>399</v>
      </c>
      <c r="B892" s="2">
        <v>1091020</v>
      </c>
      <c r="C892" s="2" t="s">
        <v>250</v>
      </c>
      <c r="D892" s="3">
        <f>VLOOKUP(B892,Sheet2!$A:$O,6,0)</f>
        <v>62745</v>
      </c>
    </row>
    <row r="893" spans="1:4">
      <c r="A893" s="7" t="s">
        <v>399</v>
      </c>
      <c r="B893" s="2">
        <v>1091021</v>
      </c>
      <c r="C893" s="2" t="s">
        <v>251</v>
      </c>
      <c r="D893" s="3">
        <f>VLOOKUP(B893,Sheet2!$A:$O,6,0)</f>
        <v>53922</v>
      </c>
    </row>
    <row r="894" spans="1:4">
      <c r="A894" s="7" t="s">
        <v>399</v>
      </c>
      <c r="B894" s="2">
        <v>1091022</v>
      </c>
      <c r="C894" s="2" t="s">
        <v>252</v>
      </c>
      <c r="D894" s="3">
        <f>VLOOKUP(B894,Sheet2!$A:$O,6,0)</f>
        <v>3235</v>
      </c>
    </row>
    <row r="895" spans="1:4">
      <c r="A895" s="7" t="s">
        <v>399</v>
      </c>
      <c r="B895" s="2">
        <v>1091023</v>
      </c>
      <c r="C895" s="2" t="s">
        <v>253</v>
      </c>
      <c r="D895" s="3">
        <f>VLOOKUP(B895,Sheet2!$A:$O,6,0)</f>
        <v>4412</v>
      </c>
    </row>
    <row r="896" spans="1:4">
      <c r="A896" s="7" t="s">
        <v>399</v>
      </c>
      <c r="B896" s="2">
        <v>1091024</v>
      </c>
      <c r="C896" s="2" t="s">
        <v>254</v>
      </c>
      <c r="D896" s="3">
        <f>VLOOKUP(B896,Sheet2!$A:$O,6,0)</f>
        <v>3922</v>
      </c>
    </row>
    <row r="897" spans="1:4">
      <c r="A897" s="7" t="s">
        <v>399</v>
      </c>
      <c r="B897" s="2">
        <v>1091025</v>
      </c>
      <c r="C897" s="2" t="s">
        <v>255</v>
      </c>
      <c r="D897" s="3">
        <f>VLOOKUP(B897,Sheet2!$A:$O,6,0)</f>
        <v>7843</v>
      </c>
    </row>
    <row r="898" spans="1:4">
      <c r="A898" s="7" t="s">
        <v>399</v>
      </c>
      <c r="B898" s="2">
        <v>1091026</v>
      </c>
      <c r="C898" s="2" t="s">
        <v>256</v>
      </c>
      <c r="D898" s="3">
        <f>VLOOKUP(B898,Sheet2!$A:$O,6,0)</f>
        <v>30196</v>
      </c>
    </row>
    <row r="899" spans="1:4">
      <c r="A899" s="7" t="s">
        <v>399</v>
      </c>
      <c r="B899" s="2">
        <v>1600101</v>
      </c>
      <c r="C899" s="2" t="s">
        <v>188</v>
      </c>
      <c r="D899" s="3">
        <f>VLOOKUP(B899,Sheet2!$A:$O,6,0)</f>
        <v>2324</v>
      </c>
    </row>
    <row r="900" spans="1:4">
      <c r="A900" s="7" t="s">
        <v>399</v>
      </c>
      <c r="B900" s="2">
        <v>1600102</v>
      </c>
      <c r="C900" s="2" t="s">
        <v>257</v>
      </c>
      <c r="D900" s="3">
        <f>VLOOKUP(B900,Sheet2!$A:$O,6,0)</f>
        <v>34314</v>
      </c>
    </row>
    <row r="901" spans="1:4">
      <c r="A901" s="7" t="s">
        <v>399</v>
      </c>
      <c r="B901" s="2">
        <v>1600103</v>
      </c>
      <c r="C901" s="2" t="s">
        <v>258</v>
      </c>
      <c r="D901" s="3">
        <f>VLOOKUP(B901,Sheet2!$A:$O,6,0)</f>
        <v>19800</v>
      </c>
    </row>
    <row r="902" spans="1:4">
      <c r="A902" s="7" t="s">
        <v>399</v>
      </c>
      <c r="B902" s="2">
        <v>1600104</v>
      </c>
      <c r="C902" s="2" t="s">
        <v>259</v>
      </c>
      <c r="D902" s="3">
        <f>VLOOKUP(B902,Sheet2!$A:$O,6,0)</f>
        <v>65000</v>
      </c>
    </row>
    <row r="903" spans="1:4">
      <c r="A903" s="7" t="s">
        <v>399</v>
      </c>
      <c r="B903" s="2">
        <v>1600105</v>
      </c>
      <c r="C903" s="2" t="s">
        <v>260</v>
      </c>
      <c r="D903" s="3">
        <f>VLOOKUP(B903,Sheet2!$A:$O,6,0)</f>
        <v>73000</v>
      </c>
    </row>
    <row r="904" spans="1:4">
      <c r="A904" s="7" t="s">
        <v>399</v>
      </c>
      <c r="B904" s="2">
        <v>1600106</v>
      </c>
      <c r="C904" s="2" t="s">
        <v>261</v>
      </c>
      <c r="D904" s="3">
        <f>VLOOKUP(B904,Sheet2!$A:$O,6,0)</f>
        <v>66667</v>
      </c>
    </row>
    <row r="905" spans="1:4">
      <c r="A905" s="7" t="s">
        <v>399</v>
      </c>
      <c r="B905" s="2">
        <v>1600107</v>
      </c>
      <c r="C905" s="2" t="s">
        <v>262</v>
      </c>
      <c r="D905" s="3">
        <f>VLOOKUP(B905,Sheet2!$A:$O,6,0)</f>
        <v>67647</v>
      </c>
    </row>
    <row r="906" spans="1:4">
      <c r="A906" s="7" t="s">
        <v>399</v>
      </c>
      <c r="B906" s="2">
        <v>1600108</v>
      </c>
      <c r="C906" s="2" t="s">
        <v>263</v>
      </c>
      <c r="D906" s="3">
        <f>VLOOKUP(B906,Sheet2!$A:$O,6,0)</f>
        <v>67647</v>
      </c>
    </row>
    <row r="907" spans="1:4">
      <c r="A907" s="7" t="s">
        <v>399</v>
      </c>
      <c r="B907" s="2">
        <v>1600109</v>
      </c>
      <c r="C907" s="2" t="s">
        <v>264</v>
      </c>
      <c r="D907" s="3">
        <f>VLOOKUP(B907,Sheet2!$A:$O,6,0)</f>
        <v>4657</v>
      </c>
    </row>
    <row r="908" spans="1:4">
      <c r="A908" s="7" t="s">
        <v>399</v>
      </c>
      <c r="B908" s="2">
        <v>1600110</v>
      </c>
      <c r="C908" s="2" t="s">
        <v>265</v>
      </c>
      <c r="D908" s="3">
        <f>VLOOKUP(B908,Sheet2!$A:$O,6,0)</f>
        <v>7917</v>
      </c>
    </row>
    <row r="909" spans="1:4">
      <c r="A909" s="7" t="s">
        <v>399</v>
      </c>
      <c r="B909" s="2">
        <v>1600111</v>
      </c>
      <c r="C909" s="2" t="s">
        <v>266</v>
      </c>
      <c r="D909" s="3">
        <f>VLOOKUP(B909,Sheet2!$A:$O,6,0)</f>
        <v>2266</v>
      </c>
    </row>
    <row r="910" spans="1:4">
      <c r="A910" s="7" t="s">
        <v>399</v>
      </c>
      <c r="B910" s="2">
        <v>1600112</v>
      </c>
      <c r="C910" s="2" t="s">
        <v>190</v>
      </c>
      <c r="D910" s="3">
        <f>VLOOKUP(B910,Sheet2!$A:$O,6,0)</f>
        <v>4800</v>
      </c>
    </row>
    <row r="911" spans="1:4">
      <c r="A911" s="7" t="s">
        <v>399</v>
      </c>
      <c r="B911" s="2">
        <v>1600113</v>
      </c>
      <c r="C911" s="2" t="s">
        <v>267</v>
      </c>
      <c r="D911" s="3">
        <f>VLOOKUP(B911,Sheet2!$A:$O,6,0)</f>
        <v>0</v>
      </c>
    </row>
    <row r="912" spans="1:4">
      <c r="A912" s="7" t="s">
        <v>399</v>
      </c>
      <c r="B912" s="2">
        <v>1600114</v>
      </c>
      <c r="C912" s="2" t="s">
        <v>268</v>
      </c>
      <c r="D912" s="3">
        <f>VLOOKUP(B912,Sheet2!$A:$O,6,0)</f>
        <v>14490</v>
      </c>
    </row>
    <row r="913" spans="1:4">
      <c r="A913" s="7" t="s">
        <v>399</v>
      </c>
      <c r="B913" s="2">
        <v>1700001</v>
      </c>
      <c r="C913" s="2" t="s">
        <v>269</v>
      </c>
      <c r="D913" s="3">
        <f>VLOOKUP(B913,Sheet2!$A:$O,6,0)</f>
        <v>3340</v>
      </c>
    </row>
    <row r="914" spans="1:4">
      <c r="A914" s="7" t="s">
        <v>399</v>
      </c>
      <c r="B914" s="2">
        <v>1700002</v>
      </c>
      <c r="C914" s="2" t="s">
        <v>270</v>
      </c>
      <c r="D914" s="3">
        <f>VLOOKUP(B914,Sheet2!$A:$O,6,0)</f>
        <v>3726</v>
      </c>
    </row>
    <row r="915" spans="1:4">
      <c r="A915" s="7" t="s">
        <v>399</v>
      </c>
      <c r="B915" s="2">
        <v>1700003</v>
      </c>
      <c r="C915" s="2" t="s">
        <v>271</v>
      </c>
      <c r="D915" s="3">
        <f>VLOOKUP(B915,Sheet2!$A:$O,6,0)</f>
        <v>4902</v>
      </c>
    </row>
    <row r="916" spans="1:4">
      <c r="A916" s="7" t="s">
        <v>399</v>
      </c>
      <c r="B916" s="2">
        <v>1700004</v>
      </c>
      <c r="C916" s="2" t="s">
        <v>272</v>
      </c>
      <c r="D916" s="3">
        <f>VLOOKUP(B916,Sheet2!$A:$O,6,0)</f>
        <v>13137</v>
      </c>
    </row>
    <row r="917" spans="1:4">
      <c r="A917" s="7" t="s">
        <v>399</v>
      </c>
      <c r="B917" s="2">
        <v>1700005</v>
      </c>
      <c r="C917" s="2" t="s">
        <v>192</v>
      </c>
      <c r="D917" s="3">
        <f>VLOOKUP(B917,Sheet2!$A:$O,6,0)</f>
        <v>1710</v>
      </c>
    </row>
    <row r="918" spans="1:4">
      <c r="A918" s="7" t="s">
        <v>399</v>
      </c>
      <c r="B918" s="2">
        <v>1700006</v>
      </c>
      <c r="C918" s="2" t="s">
        <v>273</v>
      </c>
      <c r="D918" s="3">
        <f>VLOOKUP(B918,Sheet2!$A:$O,6,0)</f>
        <v>6373</v>
      </c>
    </row>
    <row r="919" spans="1:4">
      <c r="A919" s="7" t="s">
        <v>399</v>
      </c>
      <c r="B919" s="2">
        <v>1700007</v>
      </c>
      <c r="C919" s="2" t="s">
        <v>274</v>
      </c>
      <c r="D919" s="3">
        <f>VLOOKUP(B919,Sheet2!$A:$O,6,0)</f>
        <v>0</v>
      </c>
    </row>
    <row r="920" spans="1:4">
      <c r="A920" s="7" t="s">
        <v>399</v>
      </c>
      <c r="B920" s="2">
        <v>1700008</v>
      </c>
      <c r="C920" s="2" t="s">
        <v>275</v>
      </c>
      <c r="D920" s="3">
        <f>VLOOKUP(B920,Sheet2!$A:$O,6,0)</f>
        <v>0</v>
      </c>
    </row>
    <row r="921" spans="1:4">
      <c r="A921" s="7" t="s">
        <v>399</v>
      </c>
      <c r="B921" s="2">
        <v>1700009</v>
      </c>
      <c r="C921" s="2" t="s">
        <v>276</v>
      </c>
      <c r="D921" s="3">
        <f>VLOOKUP(B921,Sheet2!$A:$O,6,0)</f>
        <v>0</v>
      </c>
    </row>
    <row r="922" spans="1:4">
      <c r="A922" s="7" t="s">
        <v>399</v>
      </c>
      <c r="B922" s="2">
        <v>1700010</v>
      </c>
      <c r="C922" s="2" t="s">
        <v>277</v>
      </c>
      <c r="D922" s="3">
        <f>VLOOKUP(B922,Sheet2!$A:$O,6,0)</f>
        <v>3620</v>
      </c>
    </row>
    <row r="923" spans="1:4">
      <c r="A923" s="7" t="s">
        <v>399</v>
      </c>
      <c r="B923" s="2">
        <v>1700011</v>
      </c>
      <c r="C923" s="2" t="s">
        <v>278</v>
      </c>
      <c r="D923" s="3">
        <f>VLOOKUP(B923,Sheet2!$A:$O,6,0)</f>
        <v>0</v>
      </c>
    </row>
    <row r="924" spans="1:4">
      <c r="A924" s="7" t="s">
        <v>399</v>
      </c>
      <c r="B924" s="2">
        <v>1700012</v>
      </c>
      <c r="C924" s="2" t="s">
        <v>279</v>
      </c>
      <c r="D924" s="3">
        <f>VLOOKUP(B924,Sheet2!$A:$O,6,0)</f>
        <v>12255</v>
      </c>
    </row>
    <row r="925" spans="1:4">
      <c r="A925" s="7" t="s">
        <v>399</v>
      </c>
      <c r="B925" s="2">
        <v>1700013</v>
      </c>
      <c r="C925" s="2" t="s">
        <v>280</v>
      </c>
      <c r="D925" s="3">
        <f>VLOOKUP(B925,Sheet2!$A:$O,6,0)</f>
        <v>657</v>
      </c>
    </row>
    <row r="926" spans="1:4">
      <c r="A926" s="7" t="s">
        <v>399</v>
      </c>
      <c r="B926" s="2">
        <v>1700014</v>
      </c>
      <c r="C926" s="2" t="s">
        <v>194</v>
      </c>
      <c r="D926" s="3">
        <f>VLOOKUP(B926,Sheet2!$A:$O,6,0)</f>
        <v>2255</v>
      </c>
    </row>
    <row r="927" spans="1:4">
      <c r="A927" s="7" t="s">
        <v>399</v>
      </c>
      <c r="B927" s="2">
        <v>1700015</v>
      </c>
      <c r="C927" s="2" t="s">
        <v>281</v>
      </c>
      <c r="D927" s="3">
        <f>VLOOKUP(B927,Sheet2!$A:$O,6,0)</f>
        <v>2552</v>
      </c>
    </row>
    <row r="928" spans="1:4">
      <c r="A928" s="7" t="s">
        <v>399</v>
      </c>
      <c r="B928" s="2">
        <v>1700016</v>
      </c>
      <c r="C928" s="2" t="s">
        <v>282</v>
      </c>
      <c r="D928" s="3">
        <f>VLOOKUP(B928,Sheet2!$A:$O,6,0)</f>
        <v>3073</v>
      </c>
    </row>
    <row r="929" spans="1:4">
      <c r="A929" s="7" t="s">
        <v>399</v>
      </c>
      <c r="B929" s="2">
        <v>1700017</v>
      </c>
      <c r="C929" s="2" t="s">
        <v>283</v>
      </c>
      <c r="D929" s="3">
        <f>VLOOKUP(B929,Sheet2!$A:$O,6,0)</f>
        <v>8922</v>
      </c>
    </row>
    <row r="930" spans="1:4">
      <c r="A930" s="7" t="s">
        <v>399</v>
      </c>
      <c r="B930" s="2">
        <v>1700018</v>
      </c>
      <c r="C930" s="2" t="s">
        <v>284</v>
      </c>
      <c r="D930" s="3">
        <f>VLOOKUP(B930,Sheet2!$A:$O,6,0)</f>
        <v>3737</v>
      </c>
    </row>
    <row r="931" spans="1:4">
      <c r="A931" s="7" t="s">
        <v>399</v>
      </c>
      <c r="B931" s="2">
        <v>1700019</v>
      </c>
      <c r="C931" s="2" t="s">
        <v>285</v>
      </c>
      <c r="D931" s="3">
        <f>VLOOKUP(B931,Sheet2!$A:$O,6,0)</f>
        <v>0</v>
      </c>
    </row>
    <row r="932" spans="1:4">
      <c r="A932" s="7" t="s">
        <v>399</v>
      </c>
      <c r="B932" s="2">
        <v>1700020</v>
      </c>
      <c r="C932" s="2" t="s">
        <v>286</v>
      </c>
      <c r="D932" s="3">
        <f>VLOOKUP(B932,Sheet2!$A:$O,6,0)</f>
        <v>49412</v>
      </c>
    </row>
    <row r="933" spans="1:4">
      <c r="A933" s="7" t="s">
        <v>399</v>
      </c>
      <c r="B933" s="2">
        <v>1700021</v>
      </c>
      <c r="C933" s="2" t="s">
        <v>287</v>
      </c>
      <c r="D933" s="3">
        <f>VLOOKUP(B933,Sheet2!$A:$O,6,0)</f>
        <v>73608</v>
      </c>
    </row>
    <row r="934" spans="1:4">
      <c r="A934" s="7" t="s">
        <v>399</v>
      </c>
      <c r="B934" s="2">
        <v>1700022</v>
      </c>
      <c r="C934" s="2" t="s">
        <v>288</v>
      </c>
      <c r="D934" s="3">
        <f>VLOOKUP(B934,Sheet2!$A:$O,6,0)</f>
        <v>26628</v>
      </c>
    </row>
    <row r="935" spans="1:4">
      <c r="A935" s="7" t="s">
        <v>399</v>
      </c>
      <c r="B935" s="2">
        <v>1700023</v>
      </c>
      <c r="C935" s="2" t="s">
        <v>289</v>
      </c>
      <c r="D935" s="3">
        <f>VLOOKUP(B935,Sheet2!$A:$O,6,0)</f>
        <v>5294</v>
      </c>
    </row>
    <row r="936" spans="1:4">
      <c r="A936" s="7" t="s">
        <v>399</v>
      </c>
      <c r="B936" s="2">
        <v>1700024</v>
      </c>
      <c r="C936" s="2" t="s">
        <v>290</v>
      </c>
      <c r="D936" s="3">
        <f>VLOOKUP(B936,Sheet2!$A:$O,6,0)</f>
        <v>0</v>
      </c>
    </row>
    <row r="937" spans="1:4">
      <c r="A937" s="7" t="s">
        <v>399</v>
      </c>
      <c r="B937" s="2">
        <v>1700025</v>
      </c>
      <c r="C937" s="2" t="s">
        <v>291</v>
      </c>
      <c r="D937" s="3">
        <f>VLOOKUP(B937,Sheet2!$A:$O,6,0)</f>
        <v>0</v>
      </c>
    </row>
    <row r="938" spans="1:4">
      <c r="A938" s="7" t="s">
        <v>399</v>
      </c>
      <c r="B938" s="2">
        <v>1700026</v>
      </c>
      <c r="C938" s="2" t="s">
        <v>292</v>
      </c>
      <c r="D938" s="3">
        <f>VLOOKUP(B938,Sheet2!$A:$O,6,0)</f>
        <v>3843</v>
      </c>
    </row>
    <row r="939" spans="1:4">
      <c r="A939" s="7" t="s">
        <v>399</v>
      </c>
      <c r="B939" s="2">
        <v>1700027</v>
      </c>
      <c r="C939" s="2" t="s">
        <v>293</v>
      </c>
      <c r="D939" s="3">
        <f>VLOOKUP(B939,Sheet2!$A:$O,6,0)</f>
        <v>4412</v>
      </c>
    </row>
    <row r="940" spans="1:4">
      <c r="A940" s="7" t="s">
        <v>399</v>
      </c>
      <c r="B940" s="2">
        <v>1700028</v>
      </c>
      <c r="C940" s="2" t="s">
        <v>294</v>
      </c>
      <c r="D940" s="3">
        <f>VLOOKUP(B940,Sheet2!$A:$O,6,0)</f>
        <v>9500</v>
      </c>
    </row>
    <row r="941" spans="1:4">
      <c r="A941" s="7" t="s">
        <v>399</v>
      </c>
      <c r="B941" s="2">
        <v>1700029</v>
      </c>
      <c r="C941" s="2" t="s">
        <v>295</v>
      </c>
      <c r="D941" s="3">
        <f>VLOOKUP(B941,Sheet2!$A:$O,6,0)</f>
        <v>10670</v>
      </c>
    </row>
    <row r="942" spans="1:4">
      <c r="A942" s="7" t="s">
        <v>399</v>
      </c>
      <c r="B942" s="2">
        <v>1700030</v>
      </c>
      <c r="C942" s="2" t="s">
        <v>296</v>
      </c>
      <c r="D942" s="3">
        <f>VLOOKUP(B942,Sheet2!$A:$O,6,0)</f>
        <v>12720</v>
      </c>
    </row>
    <row r="943" spans="1:4">
      <c r="A943" s="7" t="s">
        <v>399</v>
      </c>
      <c r="B943" s="2">
        <v>1700031</v>
      </c>
      <c r="C943" s="2" t="s">
        <v>196</v>
      </c>
      <c r="D943" s="3">
        <f>VLOOKUP(B943,Sheet2!$A:$O,6,0)</f>
        <v>1961</v>
      </c>
    </row>
    <row r="944" spans="1:4">
      <c r="A944" s="7" t="s">
        <v>399</v>
      </c>
      <c r="B944" s="2">
        <v>1700032</v>
      </c>
      <c r="C944" s="2" t="s">
        <v>297</v>
      </c>
      <c r="D944" s="3">
        <f>VLOOKUP(B944,Sheet2!$A:$O,6,0)</f>
        <v>0</v>
      </c>
    </row>
    <row r="945" spans="1:4">
      <c r="A945" s="7" t="s">
        <v>399</v>
      </c>
      <c r="B945" s="2">
        <v>1700033</v>
      </c>
      <c r="C945" s="2" t="s">
        <v>298</v>
      </c>
      <c r="D945" s="3">
        <f>VLOOKUP(B945,Sheet2!$A:$O,6,0)</f>
        <v>0</v>
      </c>
    </row>
    <row r="946" spans="1:4">
      <c r="A946" s="7" t="s">
        <v>399</v>
      </c>
      <c r="B946" s="2">
        <v>1700034</v>
      </c>
      <c r="C946" s="2" t="s">
        <v>299</v>
      </c>
      <c r="D946" s="3">
        <f>VLOOKUP(B946,Sheet2!$A:$O,6,0)</f>
        <v>15125</v>
      </c>
    </row>
    <row r="947" spans="1:4">
      <c r="A947" s="7" t="s">
        <v>399</v>
      </c>
      <c r="B947" s="2">
        <v>1700035</v>
      </c>
      <c r="C947" s="2" t="s">
        <v>300</v>
      </c>
      <c r="D947" s="3">
        <f>VLOOKUP(B947,Sheet2!$A:$O,6,0)</f>
        <v>34000</v>
      </c>
    </row>
    <row r="948" spans="1:4">
      <c r="A948" s="7" t="s">
        <v>399</v>
      </c>
      <c r="B948" s="2">
        <v>1700036</v>
      </c>
      <c r="C948" s="2" t="s">
        <v>301</v>
      </c>
      <c r="D948" s="3">
        <f>VLOOKUP(B948,Sheet2!$A:$O,6,0)</f>
        <v>5200</v>
      </c>
    </row>
    <row r="949" spans="1:4">
      <c r="A949" s="7" t="s">
        <v>399</v>
      </c>
      <c r="B949" s="2">
        <v>1700037</v>
      </c>
      <c r="C949" s="2" t="s">
        <v>302</v>
      </c>
      <c r="D949" s="3">
        <f>VLOOKUP(B949,Sheet2!$A:$O,6,0)</f>
        <v>7533</v>
      </c>
    </row>
    <row r="950" spans="1:4">
      <c r="A950" s="7" t="s">
        <v>399</v>
      </c>
      <c r="B950" s="2">
        <v>1700038</v>
      </c>
      <c r="C950" s="2" t="s">
        <v>303</v>
      </c>
      <c r="D950" s="3">
        <f>VLOOKUP(B950,Sheet2!$A:$O,6,0)</f>
        <v>2559</v>
      </c>
    </row>
    <row r="951" spans="1:4">
      <c r="A951" s="7" t="s">
        <v>399</v>
      </c>
      <c r="B951" s="2">
        <v>1700039</v>
      </c>
      <c r="C951" s="2" t="s">
        <v>304</v>
      </c>
      <c r="D951" s="3">
        <f>VLOOKUP(B951,Sheet2!$A:$O,6,0)</f>
        <v>2000</v>
      </c>
    </row>
    <row r="952" spans="1:4">
      <c r="A952" s="7" t="s">
        <v>399</v>
      </c>
      <c r="B952" s="2">
        <v>1700040</v>
      </c>
      <c r="C952" s="2" t="s">
        <v>305</v>
      </c>
      <c r="D952" s="3">
        <f>VLOOKUP(B952,Sheet2!$A:$O,6,0)</f>
        <v>1967</v>
      </c>
    </row>
    <row r="953" spans="1:4">
      <c r="A953" s="7" t="s">
        <v>399</v>
      </c>
      <c r="B953" s="2">
        <v>1700041</v>
      </c>
      <c r="C953" s="2" t="s">
        <v>306</v>
      </c>
      <c r="D953" s="3">
        <f>VLOOKUP(B953,Sheet2!$A:$O,6,0)</f>
        <v>3000</v>
      </c>
    </row>
    <row r="954" spans="1:4">
      <c r="A954" s="7" t="s">
        <v>399</v>
      </c>
      <c r="B954" s="2">
        <v>1700042</v>
      </c>
      <c r="C954" s="2" t="s">
        <v>307</v>
      </c>
      <c r="D954" s="3">
        <f>VLOOKUP(B954,Sheet2!$A:$O,6,0)</f>
        <v>3220</v>
      </c>
    </row>
    <row r="955" spans="1:4">
      <c r="A955" s="7" t="s">
        <v>399</v>
      </c>
      <c r="B955" s="2">
        <v>1700043</v>
      </c>
      <c r="C955" s="2" t="s">
        <v>308</v>
      </c>
      <c r="D955" s="3">
        <f>VLOOKUP(B955,Sheet2!$A:$O,6,0)</f>
        <v>2931</v>
      </c>
    </row>
    <row r="956" spans="1:4">
      <c r="A956" s="7" t="s">
        <v>399</v>
      </c>
      <c r="B956" s="2">
        <v>1700044</v>
      </c>
      <c r="C956" s="2" t="s">
        <v>309</v>
      </c>
      <c r="D956" s="3">
        <f>VLOOKUP(B956,Sheet2!$A:$O,6,0)</f>
        <v>7000</v>
      </c>
    </row>
    <row r="957" spans="1:4">
      <c r="A957" s="7" t="s">
        <v>399</v>
      </c>
      <c r="B957" s="2">
        <v>1700045</v>
      </c>
      <c r="C957" s="2" t="s">
        <v>310</v>
      </c>
      <c r="D957" s="3">
        <f>VLOOKUP(B957,Sheet2!$A:$O,6,0)</f>
        <v>3549</v>
      </c>
    </row>
    <row r="958" spans="1:4">
      <c r="A958" s="7" t="s">
        <v>399</v>
      </c>
      <c r="B958" s="2">
        <v>1700046</v>
      </c>
      <c r="C958" s="2" t="s">
        <v>311</v>
      </c>
      <c r="D958" s="3">
        <f>VLOOKUP(B958,Sheet2!$A:$O,6,0)</f>
        <v>6176</v>
      </c>
    </row>
    <row r="959" spans="1:4">
      <c r="A959" s="7" t="s">
        <v>399</v>
      </c>
      <c r="B959" s="2">
        <v>1700047</v>
      </c>
      <c r="C959" s="2" t="s">
        <v>312</v>
      </c>
      <c r="D959" s="3">
        <f>VLOOKUP(B959,Sheet2!$A:$O,6,0)</f>
        <v>22150</v>
      </c>
    </row>
    <row r="960" spans="1:4">
      <c r="A960" s="7" t="s">
        <v>399</v>
      </c>
      <c r="B960" s="2">
        <v>1700048</v>
      </c>
      <c r="C960" s="2" t="s">
        <v>313</v>
      </c>
      <c r="D960" s="3">
        <f>VLOOKUP(B960,Sheet2!$A:$O,6,0)</f>
        <v>13330</v>
      </c>
    </row>
    <row r="961" spans="1:4">
      <c r="A961" s="7" t="s">
        <v>399</v>
      </c>
      <c r="B961" s="2">
        <v>1700049</v>
      </c>
      <c r="C961" s="2" t="s">
        <v>314</v>
      </c>
      <c r="D961" s="3">
        <f>VLOOKUP(B961,Sheet2!$A:$O,6,0)</f>
        <v>5785</v>
      </c>
    </row>
    <row r="962" spans="1:4">
      <c r="A962" s="7" t="s">
        <v>399</v>
      </c>
      <c r="B962" s="2">
        <v>1700050</v>
      </c>
      <c r="C962" s="2" t="s">
        <v>315</v>
      </c>
      <c r="D962" s="3">
        <f>VLOOKUP(B962,Sheet2!$A:$O,6,0)</f>
        <v>39000</v>
      </c>
    </row>
    <row r="963" spans="1:4">
      <c r="A963" s="7" t="s">
        <v>399</v>
      </c>
      <c r="B963" s="2">
        <v>1700051</v>
      </c>
      <c r="C963" s="2" t="s">
        <v>316</v>
      </c>
      <c r="D963" s="3">
        <f>VLOOKUP(B963,Sheet2!$A:$O,6,0)</f>
        <v>11500</v>
      </c>
    </row>
    <row r="964" spans="1:4">
      <c r="A964" s="7" t="s">
        <v>399</v>
      </c>
      <c r="B964" s="2">
        <v>1700052</v>
      </c>
      <c r="C964" s="2" t="s">
        <v>317</v>
      </c>
      <c r="D964" s="3">
        <f>VLOOKUP(B964,Sheet2!$A:$O,6,0)</f>
        <v>3444</v>
      </c>
    </row>
    <row r="965" spans="1:4">
      <c r="A965" s="7" t="s">
        <v>399</v>
      </c>
      <c r="B965" s="2">
        <v>1700053</v>
      </c>
      <c r="C965" s="2" t="s">
        <v>318</v>
      </c>
      <c r="D965" s="3">
        <f>VLOOKUP(B965,Sheet2!$A:$O,6,0)</f>
        <v>15530</v>
      </c>
    </row>
    <row r="966" spans="1:4">
      <c r="A966" s="7" t="s">
        <v>399</v>
      </c>
      <c r="B966" s="2">
        <v>1700054</v>
      </c>
      <c r="C966" s="2" t="s">
        <v>319</v>
      </c>
      <c r="D966" s="3">
        <f>VLOOKUP(B966,Sheet2!$A:$O,6,0)</f>
        <v>11670</v>
      </c>
    </row>
    <row r="967" spans="1:4">
      <c r="A967" s="7" t="s">
        <v>399</v>
      </c>
      <c r="B967" s="2">
        <v>1700055</v>
      </c>
      <c r="C967" s="2" t="s">
        <v>320</v>
      </c>
      <c r="D967" s="3">
        <f>VLOOKUP(B967,Sheet2!$A:$O,6,0)</f>
        <v>11940</v>
      </c>
    </row>
    <row r="968" spans="1:4">
      <c r="A968" s="7" t="s">
        <v>399</v>
      </c>
      <c r="B968" s="2">
        <v>1700056</v>
      </c>
      <c r="C968" s="2" t="s">
        <v>321</v>
      </c>
      <c r="D968" s="3">
        <f>VLOOKUP(B968,Sheet2!$A:$O,6,0)</f>
        <v>6226</v>
      </c>
    </row>
    <row r="969" spans="1:4">
      <c r="A969" s="7" t="s">
        <v>399</v>
      </c>
      <c r="B969" s="2">
        <v>1700057</v>
      </c>
      <c r="C969" s="2" t="s">
        <v>322</v>
      </c>
      <c r="D969" s="3">
        <f>VLOOKUP(B969,Sheet2!$A:$O,6,0)</f>
        <v>2098</v>
      </c>
    </row>
    <row r="970" spans="1:4">
      <c r="A970" s="7" t="s">
        <v>399</v>
      </c>
      <c r="B970" s="2">
        <v>1700058</v>
      </c>
      <c r="C970" s="2" t="s">
        <v>323</v>
      </c>
      <c r="D970" s="3">
        <f>VLOOKUP(B970,Sheet2!$A:$O,6,0)</f>
        <v>5800</v>
      </c>
    </row>
    <row r="971" spans="1:4">
      <c r="A971" s="7" t="s">
        <v>399</v>
      </c>
      <c r="B971" s="2">
        <v>1700059</v>
      </c>
      <c r="C971" s="2" t="s">
        <v>324</v>
      </c>
      <c r="D971" s="3">
        <f>VLOOKUP(B971,Sheet2!$A:$O,6,0)</f>
        <v>27667</v>
      </c>
    </row>
    <row r="972" spans="1:4">
      <c r="A972" s="7" t="s">
        <v>399</v>
      </c>
      <c r="B972" s="2">
        <v>1700060</v>
      </c>
      <c r="C972" s="2" t="s">
        <v>325</v>
      </c>
      <c r="D972" s="3">
        <f>VLOOKUP(B972,Sheet2!$A:$O,6,0)</f>
        <v>5314</v>
      </c>
    </row>
    <row r="973" spans="1:4">
      <c r="A973" s="7" t="s">
        <v>399</v>
      </c>
      <c r="B973" s="2">
        <v>1700061</v>
      </c>
      <c r="C973" s="2" t="s">
        <v>326</v>
      </c>
      <c r="D973" s="3">
        <f>VLOOKUP(B973,Sheet2!$A:$O,6,0)</f>
        <v>8920</v>
      </c>
    </row>
    <row r="974" spans="1:4">
      <c r="A974" s="7" t="s">
        <v>399</v>
      </c>
      <c r="B974" s="2">
        <v>1700062</v>
      </c>
      <c r="C974" s="2" t="s">
        <v>327</v>
      </c>
      <c r="D974" s="3">
        <f>VLOOKUP(B974,Sheet2!$A:$O,6,0)</f>
        <v>10520</v>
      </c>
    </row>
    <row r="975" spans="1:4">
      <c r="A975" s="7" t="s">
        <v>399</v>
      </c>
      <c r="B975" s="2">
        <v>1700063</v>
      </c>
      <c r="C975" s="2" t="s">
        <v>328</v>
      </c>
      <c r="D975" s="3">
        <f>VLOOKUP(B975,Sheet2!$A:$O,6,0)</f>
        <v>10550</v>
      </c>
    </row>
    <row r="976" spans="1:4">
      <c r="A976" s="7" t="s">
        <v>399</v>
      </c>
      <c r="B976" s="2">
        <v>1700064</v>
      </c>
      <c r="C976" s="2" t="s">
        <v>329</v>
      </c>
      <c r="D976" s="3">
        <f>VLOOKUP(B976,Sheet2!$A:$O,6,0)</f>
        <v>11060</v>
      </c>
    </row>
    <row r="977" spans="1:4">
      <c r="A977" s="7" t="s">
        <v>399</v>
      </c>
      <c r="B977" s="2">
        <v>1700065</v>
      </c>
      <c r="C977" s="2" t="s">
        <v>330</v>
      </c>
      <c r="D977" s="3">
        <f>VLOOKUP(B977,Sheet2!$A:$O,6,0)</f>
        <v>12760</v>
      </c>
    </row>
    <row r="978" spans="1:4">
      <c r="A978" s="7" t="s">
        <v>399</v>
      </c>
      <c r="B978" s="2">
        <v>1700066</v>
      </c>
      <c r="C978" s="2" t="s">
        <v>331</v>
      </c>
      <c r="D978" s="3">
        <f>VLOOKUP(B978,Sheet2!$A:$O,6,0)</f>
        <v>13200</v>
      </c>
    </row>
    <row r="979" spans="1:4">
      <c r="A979" s="7" t="s">
        <v>399</v>
      </c>
      <c r="B979" s="2">
        <v>1700067</v>
      </c>
      <c r="C979" s="2" t="s">
        <v>332</v>
      </c>
      <c r="D979" s="3">
        <f>VLOOKUP(B979,Sheet2!$A:$O,6,0)</f>
        <v>10720</v>
      </c>
    </row>
    <row r="980" spans="1:4">
      <c r="A980" s="7" t="s">
        <v>399</v>
      </c>
      <c r="B980" s="2">
        <v>1700068</v>
      </c>
      <c r="C980" s="2" t="s">
        <v>333</v>
      </c>
      <c r="D980" s="3">
        <f>VLOOKUP(B980,Sheet2!$A:$O,6,0)</f>
        <v>12720</v>
      </c>
    </row>
    <row r="981" spans="1:4">
      <c r="A981" s="7" t="s">
        <v>399</v>
      </c>
      <c r="B981" s="2">
        <v>1700069</v>
      </c>
      <c r="C981" s="2" t="s">
        <v>334</v>
      </c>
      <c r="D981" s="3">
        <f>VLOOKUP(B981,Sheet2!$A:$O,6,0)</f>
        <v>14000</v>
      </c>
    </row>
    <row r="982" spans="1:4">
      <c r="A982" s="7" t="s">
        <v>399</v>
      </c>
      <c r="B982" s="2">
        <v>1700070</v>
      </c>
      <c r="C982" s="2" t="s">
        <v>335</v>
      </c>
      <c r="D982" s="3">
        <f>VLOOKUP(B982,Sheet2!$A:$O,6,0)</f>
        <v>1618</v>
      </c>
    </row>
    <row r="983" spans="1:4">
      <c r="A983" s="7" t="s">
        <v>399</v>
      </c>
      <c r="B983" s="2">
        <v>1700071</v>
      </c>
      <c r="C983" s="2" t="s">
        <v>336</v>
      </c>
      <c r="D983" s="3">
        <f>VLOOKUP(B983,Sheet2!$A:$O,6,0)</f>
        <v>12190</v>
      </c>
    </row>
    <row r="984" spans="1:4">
      <c r="A984" s="7" t="s">
        <v>399</v>
      </c>
      <c r="B984" s="2">
        <v>1700072</v>
      </c>
      <c r="C984" s="2" t="s">
        <v>337</v>
      </c>
      <c r="D984" s="3">
        <f>VLOOKUP(B984,Sheet2!$A:$O,6,0)</f>
        <v>10180</v>
      </c>
    </row>
    <row r="985" spans="1:4">
      <c r="A985" s="7" t="s">
        <v>399</v>
      </c>
      <c r="B985" s="2">
        <v>1700073</v>
      </c>
      <c r="C985" s="2" t="s">
        <v>338</v>
      </c>
      <c r="D985" s="3">
        <f>VLOOKUP(B985,Sheet2!$A:$O,6,0)</f>
        <v>9020</v>
      </c>
    </row>
    <row r="986" spans="1:4">
      <c r="A986" s="7" t="s">
        <v>399</v>
      </c>
      <c r="B986" s="2">
        <v>1700076</v>
      </c>
      <c r="C986" s="2" t="s">
        <v>339</v>
      </c>
      <c r="D986" s="3">
        <f>VLOOKUP(B986,Sheet2!$A:$O,6,0)</f>
        <v>2451</v>
      </c>
    </row>
    <row r="987" spans="1:4">
      <c r="A987" s="7" t="s">
        <v>399</v>
      </c>
      <c r="B987" s="2">
        <v>1700077</v>
      </c>
      <c r="C987" s="2" t="s">
        <v>340</v>
      </c>
      <c r="D987" s="3">
        <f>VLOOKUP(B987,Sheet2!$A:$O,6,0)</f>
        <v>2353</v>
      </c>
    </row>
    <row r="988" spans="1:4">
      <c r="A988" s="7" t="s">
        <v>399</v>
      </c>
      <c r="B988" s="2">
        <v>1700078</v>
      </c>
      <c r="C988" s="2" t="s">
        <v>341</v>
      </c>
      <c r="D988" s="3">
        <f>VLOOKUP(B988,Sheet2!$A:$O,6,0)</f>
        <v>4284</v>
      </c>
    </row>
    <row r="989" spans="1:4">
      <c r="A989" s="7" t="s">
        <v>399</v>
      </c>
      <c r="B989" s="2">
        <v>1700080</v>
      </c>
      <c r="C989" s="2" t="s">
        <v>342</v>
      </c>
      <c r="D989" s="3">
        <f>VLOOKUP(B989,Sheet2!$A:$O,6,0)</f>
        <v>3529</v>
      </c>
    </row>
    <row r="990" spans="1:4">
      <c r="A990" s="7" t="s">
        <v>399</v>
      </c>
      <c r="B990" s="2">
        <v>1700083</v>
      </c>
      <c r="C990" s="2" t="s">
        <v>343</v>
      </c>
      <c r="D990" s="3">
        <f>VLOOKUP(B990,Sheet2!$A:$O,6,0)</f>
        <v>5738</v>
      </c>
    </row>
    <row r="991" spans="1:4">
      <c r="A991" s="7" t="s">
        <v>399</v>
      </c>
      <c r="B991" s="2">
        <v>1700084</v>
      </c>
      <c r="C991" s="2" t="s">
        <v>344</v>
      </c>
      <c r="D991" s="3">
        <f>VLOOKUP(B991,Sheet2!$A:$O,6,0)</f>
        <v>10882</v>
      </c>
    </row>
    <row r="992" spans="1:4">
      <c r="A992" s="7" t="s">
        <v>399</v>
      </c>
      <c r="B992" s="2">
        <v>1700085</v>
      </c>
      <c r="C992" s="2" t="s">
        <v>345</v>
      </c>
      <c r="D992" s="3">
        <f>VLOOKUP(B992,Sheet2!$A:$O,6,0)</f>
        <v>7720</v>
      </c>
    </row>
    <row r="993" spans="1:4">
      <c r="A993" s="7" t="s">
        <v>399</v>
      </c>
      <c r="B993" s="2">
        <v>1700086</v>
      </c>
      <c r="C993" s="2" t="s">
        <v>346</v>
      </c>
      <c r="D993" s="3">
        <f>VLOOKUP(B993,Sheet2!$A:$O,6,0)</f>
        <v>2657</v>
      </c>
    </row>
    <row r="994" spans="1:4">
      <c r="A994" s="7" t="s">
        <v>399</v>
      </c>
      <c r="B994" s="2">
        <v>1700087</v>
      </c>
      <c r="C994" s="2" t="s">
        <v>347</v>
      </c>
      <c r="D994" s="3">
        <f>VLOOKUP(B994,Sheet2!$A:$O,6,0)</f>
        <v>4660</v>
      </c>
    </row>
    <row r="995" spans="1:4">
      <c r="A995" s="7" t="s">
        <v>399</v>
      </c>
      <c r="B995" s="2">
        <v>1700088</v>
      </c>
      <c r="C995" s="2" t="s">
        <v>348</v>
      </c>
      <c r="D995" s="3">
        <f>VLOOKUP(B995,Sheet2!$A:$O,6,0)</f>
        <v>15500</v>
      </c>
    </row>
    <row r="996" spans="1:4">
      <c r="A996" s="7" t="s">
        <v>399</v>
      </c>
      <c r="B996" s="2">
        <v>1700089</v>
      </c>
      <c r="C996" s="2" t="s">
        <v>349</v>
      </c>
      <c r="D996" s="3">
        <f>VLOOKUP(B996,Sheet2!$A:$O,6,0)</f>
        <v>18500</v>
      </c>
    </row>
    <row r="997" spans="1:4">
      <c r="A997" s="7" t="s">
        <v>399</v>
      </c>
      <c r="B997" s="2">
        <v>1700090</v>
      </c>
      <c r="C997" s="2" t="s">
        <v>350</v>
      </c>
      <c r="D997" s="3">
        <f>VLOOKUP(B997,Sheet2!$A:$O,6,0)</f>
        <v>25686</v>
      </c>
    </row>
    <row r="998" spans="1:4">
      <c r="A998" s="7" t="s">
        <v>399</v>
      </c>
      <c r="B998" s="2">
        <v>1700091</v>
      </c>
      <c r="C998" s="2" t="s">
        <v>351</v>
      </c>
      <c r="D998" s="3">
        <f>VLOOKUP(B998,Sheet2!$A:$O,6,0)</f>
        <v>15716</v>
      </c>
    </row>
    <row r="999" spans="1:4">
      <c r="A999" s="7" t="s">
        <v>399</v>
      </c>
      <c r="B999" s="2">
        <v>1700092</v>
      </c>
      <c r="C999" s="2" t="s">
        <v>352</v>
      </c>
      <c r="D999" s="3">
        <f>VLOOKUP(B999,Sheet2!$A:$O,6,0)</f>
        <v>2814</v>
      </c>
    </row>
    <row r="1000" spans="1:4">
      <c r="A1000" s="7" t="s">
        <v>399</v>
      </c>
      <c r="B1000" s="2">
        <v>1700093</v>
      </c>
      <c r="C1000" s="2" t="s">
        <v>353</v>
      </c>
      <c r="D1000" s="3">
        <f>VLOOKUP(B1000,Sheet2!$A:$O,6,0)</f>
        <v>23760</v>
      </c>
    </row>
    <row r="1001" spans="1:4">
      <c r="A1001" s="7" t="s">
        <v>399</v>
      </c>
      <c r="B1001" s="2">
        <v>1700094</v>
      </c>
      <c r="C1001" s="2" t="s">
        <v>354</v>
      </c>
      <c r="D1001" s="3">
        <f>VLOOKUP(B1001,Sheet2!$A:$O,6,0)</f>
        <v>13529</v>
      </c>
    </row>
    <row r="1002" spans="1:4">
      <c r="A1002" s="7" t="s">
        <v>399</v>
      </c>
      <c r="B1002" s="2">
        <v>1700095</v>
      </c>
      <c r="C1002" s="2" t="s">
        <v>355</v>
      </c>
      <c r="D1002" s="3">
        <f>VLOOKUP(B1002,Sheet2!$A:$O,6,0)</f>
        <v>4500</v>
      </c>
    </row>
    <row r="1003" spans="1:4">
      <c r="A1003" s="7" t="s">
        <v>399</v>
      </c>
      <c r="B1003" s="2">
        <v>1700096</v>
      </c>
      <c r="C1003" s="2" t="s">
        <v>356</v>
      </c>
      <c r="D1003" s="3">
        <f>VLOOKUP(B1003,Sheet2!$A:$O,6,0)</f>
        <v>24510</v>
      </c>
    </row>
    <row r="1004" spans="1:4">
      <c r="A1004" s="7" t="s">
        <v>399</v>
      </c>
      <c r="B1004" s="2">
        <v>1700097</v>
      </c>
      <c r="C1004" s="2" t="s">
        <v>357</v>
      </c>
      <c r="D1004" s="3">
        <f>VLOOKUP(B1004,Sheet2!$A:$O,6,0)</f>
        <v>19608</v>
      </c>
    </row>
    <row r="1005" spans="1:4">
      <c r="A1005" s="7" t="s">
        <v>399</v>
      </c>
      <c r="B1005" s="2">
        <v>1700098</v>
      </c>
      <c r="C1005" s="2" t="s">
        <v>358</v>
      </c>
      <c r="D1005" s="3">
        <f>VLOOKUP(B1005,Sheet2!$A:$O,6,0)</f>
        <v>19608</v>
      </c>
    </row>
    <row r="1006" spans="1:4">
      <c r="A1006" s="7" t="s">
        <v>399</v>
      </c>
      <c r="B1006" s="2">
        <v>1700099</v>
      </c>
      <c r="C1006" s="2" t="s">
        <v>359</v>
      </c>
      <c r="D1006" s="3">
        <f>VLOOKUP(B1006,Sheet2!$A:$O,6,0)</f>
        <v>9000</v>
      </c>
    </row>
    <row r="1007" spans="1:4">
      <c r="A1007" s="7" t="s">
        <v>399</v>
      </c>
      <c r="B1007" s="2">
        <v>1700100</v>
      </c>
      <c r="C1007" s="2" t="s">
        <v>360</v>
      </c>
      <c r="D1007" s="3">
        <f>VLOOKUP(B1007,Sheet2!$A:$O,6,0)</f>
        <v>3029</v>
      </c>
    </row>
    <row r="1008" spans="1:4">
      <c r="A1008" s="7" t="s">
        <v>399</v>
      </c>
      <c r="B1008" s="2">
        <v>1700101</v>
      </c>
      <c r="C1008" s="2" t="s">
        <v>361</v>
      </c>
      <c r="D1008" s="3">
        <f>VLOOKUP(B1008,Sheet2!$A:$O,6,0)</f>
        <v>7451</v>
      </c>
    </row>
    <row r="1009" spans="1:4">
      <c r="A1009" s="7" t="s">
        <v>399</v>
      </c>
      <c r="B1009" s="2">
        <v>1700102</v>
      </c>
      <c r="C1009" s="2" t="s">
        <v>362</v>
      </c>
      <c r="D1009" s="3">
        <f>VLOOKUP(B1009,Sheet2!$A:$O,6,0)</f>
        <v>40197</v>
      </c>
    </row>
    <row r="1010" spans="1:4">
      <c r="A1010" s="7" t="s">
        <v>399</v>
      </c>
      <c r="B1010" s="2">
        <v>1700103</v>
      </c>
      <c r="C1010" s="2" t="s">
        <v>363</v>
      </c>
      <c r="D1010" s="3">
        <f>VLOOKUP(B1010,Sheet2!$A:$O,6,0)</f>
        <v>9000</v>
      </c>
    </row>
    <row r="1011" spans="1:4">
      <c r="A1011" s="7" t="s">
        <v>399</v>
      </c>
      <c r="B1011" s="2">
        <v>1700104</v>
      </c>
      <c r="C1011" s="2" t="s">
        <v>364</v>
      </c>
      <c r="D1011" s="3">
        <f>VLOOKUP(B1011,Sheet2!$A:$O,6,0)</f>
        <v>36380</v>
      </c>
    </row>
    <row r="1012" spans="1:4">
      <c r="A1012" s="7" t="s">
        <v>399</v>
      </c>
      <c r="B1012" s="2">
        <v>1700105</v>
      </c>
      <c r="C1012" s="2" t="s">
        <v>365</v>
      </c>
      <c r="D1012" s="3">
        <f>VLOOKUP(B1012,Sheet2!$A:$O,6,0)</f>
        <v>10588</v>
      </c>
    </row>
    <row r="1013" spans="1:4">
      <c r="A1013" s="7" t="s">
        <v>399</v>
      </c>
      <c r="B1013" s="2">
        <v>1700106</v>
      </c>
      <c r="C1013" s="2" t="s">
        <v>366</v>
      </c>
      <c r="D1013" s="3">
        <f>VLOOKUP(B1013,Sheet2!$A:$O,6,0)</f>
        <v>14020</v>
      </c>
    </row>
    <row r="1014" spans="1:4">
      <c r="A1014" s="7" t="s">
        <v>399</v>
      </c>
      <c r="B1014" s="2">
        <v>1700107</v>
      </c>
      <c r="C1014" s="2" t="s">
        <v>367</v>
      </c>
      <c r="D1014" s="3">
        <f>VLOOKUP(B1014,Sheet2!$A:$O,6,0)</f>
        <v>9020</v>
      </c>
    </row>
    <row r="1015" spans="1:4">
      <c r="A1015" s="7" t="s">
        <v>399</v>
      </c>
      <c r="B1015" s="2">
        <v>1800002</v>
      </c>
      <c r="C1015" s="2" t="s">
        <v>368</v>
      </c>
      <c r="D1015" s="3">
        <f>VLOOKUP(B1015,Sheet2!$A:$O,6,0)</f>
        <v>9520</v>
      </c>
    </row>
    <row r="1016" spans="1:4">
      <c r="A1016" s="7" t="s">
        <v>399</v>
      </c>
      <c r="B1016" s="2">
        <v>1800004</v>
      </c>
      <c r="C1016" s="2" t="s">
        <v>369</v>
      </c>
      <c r="D1016" s="3">
        <f>VLOOKUP(B1016,Sheet2!$A:$O,6,0)</f>
        <v>0</v>
      </c>
    </row>
    <row r="1017" spans="1:4">
      <c r="A1017" s="7" t="s">
        <v>399</v>
      </c>
      <c r="B1017" s="2">
        <v>1800005</v>
      </c>
      <c r="C1017" s="2" t="s">
        <v>370</v>
      </c>
      <c r="D1017" s="3">
        <f>VLOOKUP(B1017,Sheet2!$A:$O,6,0)</f>
        <v>0</v>
      </c>
    </row>
    <row r="1018" spans="1:4">
      <c r="A1018" s="7" t="s">
        <v>399</v>
      </c>
      <c r="B1018" s="2">
        <v>1800006</v>
      </c>
      <c r="C1018" s="2" t="s">
        <v>371</v>
      </c>
      <c r="D1018" s="3">
        <f>VLOOKUP(B1018,Sheet2!$A:$O,6,0)</f>
        <v>0</v>
      </c>
    </row>
    <row r="1019" spans="1:4">
      <c r="A1019" s="7" t="s">
        <v>399</v>
      </c>
      <c r="B1019" s="2">
        <v>1800007</v>
      </c>
      <c r="C1019" s="2" t="s">
        <v>372</v>
      </c>
      <c r="D1019" s="3">
        <f>VLOOKUP(B1019,Sheet2!$A:$O,6,0)</f>
        <v>10000</v>
      </c>
    </row>
    <row r="1020" spans="1:4">
      <c r="A1020" s="7" t="s">
        <v>399</v>
      </c>
      <c r="B1020" s="2">
        <v>1800008</v>
      </c>
      <c r="C1020" s="2" t="s">
        <v>373</v>
      </c>
      <c r="D1020" s="3">
        <f>VLOOKUP(B1020,Sheet2!$A:$O,6,0)</f>
        <v>10110</v>
      </c>
    </row>
    <row r="1021" spans="1:4">
      <c r="A1021" s="7" t="s">
        <v>399</v>
      </c>
      <c r="B1021" s="2">
        <v>1800009</v>
      </c>
      <c r="C1021" s="2" t="s">
        <v>374</v>
      </c>
      <c r="D1021" s="3">
        <f>VLOOKUP(B1021,Sheet2!$A:$O,6,0)</f>
        <v>11800</v>
      </c>
    </row>
    <row r="1022" spans="1:4">
      <c r="A1022" s="7" t="s">
        <v>399</v>
      </c>
      <c r="B1022" s="2">
        <v>1800010</v>
      </c>
      <c r="C1022" s="2" t="s">
        <v>375</v>
      </c>
      <c r="D1022" s="3">
        <f>VLOOKUP(B1022,Sheet2!$A:$O,6,0)</f>
        <v>5784</v>
      </c>
    </row>
    <row r="1023" spans="1:4">
      <c r="A1023" s="7" t="s">
        <v>399</v>
      </c>
      <c r="B1023" s="2">
        <v>1800011</v>
      </c>
      <c r="C1023" s="2" t="s">
        <v>376</v>
      </c>
      <c r="D1023" s="3">
        <f>VLOOKUP(B1023,Sheet2!$A:$O,6,0)</f>
        <v>9363</v>
      </c>
    </row>
    <row r="1024" spans="1:4">
      <c r="A1024" s="7" t="s">
        <v>399</v>
      </c>
      <c r="B1024" s="2">
        <v>1800012</v>
      </c>
      <c r="C1024" s="2" t="s">
        <v>377</v>
      </c>
      <c r="D1024" s="3">
        <f>VLOOKUP(B1024,Sheet2!$A:$O,6,0)</f>
        <v>5725</v>
      </c>
    </row>
    <row r="1025" spans="1:4">
      <c r="A1025" s="7" t="s">
        <v>399</v>
      </c>
      <c r="B1025" s="2">
        <v>1800013</v>
      </c>
      <c r="C1025" s="2" t="s">
        <v>378</v>
      </c>
      <c r="D1025" s="3">
        <f>VLOOKUP(B1025,Sheet2!$A:$O,6,0)</f>
        <v>49100</v>
      </c>
    </row>
    <row r="1026" spans="1:4">
      <c r="A1026" s="7" t="s">
        <v>399</v>
      </c>
      <c r="B1026" s="2">
        <v>1800014</v>
      </c>
      <c r="C1026" s="2" t="s">
        <v>379</v>
      </c>
      <c r="D1026" s="3">
        <f>VLOOKUP(B1026,Sheet2!$A:$O,6,0)</f>
        <v>70000</v>
      </c>
    </row>
    <row r="1027" spans="1:4">
      <c r="A1027" s="7" t="s">
        <v>399</v>
      </c>
      <c r="B1027" s="2">
        <v>1800015</v>
      </c>
      <c r="C1027" s="2" t="s">
        <v>380</v>
      </c>
      <c r="D1027" s="3">
        <f>VLOOKUP(B1027,Sheet2!$A:$O,6,0)</f>
        <v>66700</v>
      </c>
    </row>
    <row r="1028" spans="1:4">
      <c r="A1028" s="7" t="s">
        <v>399</v>
      </c>
      <c r="B1028" s="2">
        <v>1900013</v>
      </c>
      <c r="C1028" s="2" t="s">
        <v>381</v>
      </c>
      <c r="D1028" s="3">
        <f>VLOOKUP(B1028,Sheet2!$A:$O,6,0)</f>
        <v>0</v>
      </c>
    </row>
    <row r="1029" spans="1:4">
      <c r="A1029" s="7" t="s">
        <v>399</v>
      </c>
      <c r="B1029" s="2">
        <v>1900018</v>
      </c>
      <c r="C1029" s="2" t="s">
        <v>382</v>
      </c>
      <c r="D1029" s="3">
        <f>VLOOKUP(B1029,Sheet2!$A:$O,6,0)</f>
        <v>0</v>
      </c>
    </row>
    <row r="1030" spans="1:4">
      <c r="A1030" s="8" t="s">
        <v>400</v>
      </c>
      <c r="B1030" s="2">
        <v>1010101</v>
      </c>
      <c r="C1030" s="2" t="s">
        <v>5</v>
      </c>
      <c r="D1030" s="3">
        <f>VLOOKUP(B1030,Sheet2!$A:$O,7,0)</f>
        <v>689</v>
      </c>
    </row>
    <row r="1031" spans="1:4">
      <c r="A1031" s="8" t="s">
        <v>400</v>
      </c>
      <c r="B1031" s="2">
        <v>1010111</v>
      </c>
      <c r="C1031" s="2" t="s">
        <v>9</v>
      </c>
      <c r="D1031" s="3">
        <f>VLOOKUP(B1031,Sheet2!$A:$O,7,0)</f>
        <v>18300</v>
      </c>
    </row>
    <row r="1032" spans="1:4">
      <c r="A1032" s="8" t="s">
        <v>400</v>
      </c>
      <c r="B1032" s="2">
        <v>1010201</v>
      </c>
      <c r="C1032" s="2" t="s">
        <v>11</v>
      </c>
      <c r="D1032" s="3">
        <f>VLOOKUP(B1032,Sheet2!$A:$O,7,0)</f>
        <v>882</v>
      </c>
    </row>
    <row r="1033" spans="1:4">
      <c r="A1033" s="8" t="s">
        <v>400</v>
      </c>
      <c r="B1033" s="2">
        <v>1010300</v>
      </c>
      <c r="C1033" s="2" t="s">
        <v>213</v>
      </c>
      <c r="D1033" s="3">
        <f>VLOOKUP(B1033,Sheet2!$A:$O,7,0)</f>
        <v>5490</v>
      </c>
    </row>
    <row r="1034" spans="1:4">
      <c r="A1034" s="8" t="s">
        <v>400</v>
      </c>
      <c r="B1034" s="2">
        <v>1010301</v>
      </c>
      <c r="C1034" s="2" t="s">
        <v>214</v>
      </c>
      <c r="D1034" s="3">
        <f>VLOOKUP(B1034,Sheet2!$A:$O,7,0)</f>
        <v>5882</v>
      </c>
    </row>
    <row r="1035" spans="1:4">
      <c r="A1035" s="8" t="s">
        <v>400</v>
      </c>
      <c r="B1035" s="2">
        <v>1010302</v>
      </c>
      <c r="C1035" s="2" t="s">
        <v>16</v>
      </c>
      <c r="D1035" s="3">
        <f>VLOOKUP(B1035,Sheet2!$A:$O,7,0)</f>
        <v>4216</v>
      </c>
    </row>
    <row r="1036" spans="1:4">
      <c r="A1036" s="8" t="s">
        <v>400</v>
      </c>
      <c r="B1036" s="2">
        <v>1010303</v>
      </c>
      <c r="C1036" s="2" t="s">
        <v>18</v>
      </c>
      <c r="D1036" s="3">
        <f>VLOOKUP(B1036,Sheet2!$A:$O,7,0)</f>
        <v>882</v>
      </c>
    </row>
    <row r="1037" spans="1:4">
      <c r="A1037" s="8" t="s">
        <v>400</v>
      </c>
      <c r="B1037" s="2">
        <v>1010304</v>
      </c>
      <c r="C1037" s="2" t="s">
        <v>215</v>
      </c>
      <c r="D1037" s="3">
        <f>VLOOKUP(B1037,Sheet2!$A:$O,7,0)</f>
        <v>1225</v>
      </c>
    </row>
    <row r="1038" spans="1:4">
      <c r="A1038" s="8" t="s">
        <v>400</v>
      </c>
      <c r="B1038" s="2">
        <v>1010401</v>
      </c>
      <c r="C1038" s="2" t="s">
        <v>20</v>
      </c>
      <c r="D1038" s="3">
        <f>VLOOKUP(B1038,Sheet2!$A:$O,7,0)</f>
        <v>3627</v>
      </c>
    </row>
    <row r="1039" spans="1:4">
      <c r="A1039" s="8" t="s">
        <v>400</v>
      </c>
      <c r="B1039" s="2">
        <v>1010405</v>
      </c>
      <c r="C1039" s="2" t="s">
        <v>22</v>
      </c>
      <c r="D1039" s="3">
        <f>VLOOKUP(B1039,Sheet2!$A:$O,7,0)</f>
        <v>9975</v>
      </c>
    </row>
    <row r="1040" spans="1:4">
      <c r="A1040" s="8" t="s">
        <v>400</v>
      </c>
      <c r="B1040" s="2">
        <v>1010501</v>
      </c>
      <c r="C1040" s="2" t="s">
        <v>24</v>
      </c>
      <c r="D1040" s="3">
        <f>VLOOKUP(B1040,Sheet2!$A:$O,7,0)</f>
        <v>980</v>
      </c>
    </row>
    <row r="1041" spans="1:4">
      <c r="A1041" s="8" t="s">
        <v>400</v>
      </c>
      <c r="B1041" s="2">
        <v>1010502</v>
      </c>
      <c r="C1041" s="2" t="s">
        <v>216</v>
      </c>
      <c r="D1041" s="3">
        <f>VLOOKUP(B1041,Sheet2!$A:$O,7,0)</f>
        <v>0</v>
      </c>
    </row>
    <row r="1042" spans="1:4">
      <c r="A1042" s="8" t="s">
        <v>400</v>
      </c>
      <c r="B1042" s="2">
        <v>1010601</v>
      </c>
      <c r="C1042" s="2" t="s">
        <v>26</v>
      </c>
      <c r="D1042" s="3">
        <f>VLOOKUP(B1042,Sheet2!$A:$O,7,0)</f>
        <v>0</v>
      </c>
    </row>
    <row r="1043" spans="1:4">
      <c r="A1043" s="8" t="s">
        <v>400</v>
      </c>
      <c r="B1043" s="2">
        <v>1010701</v>
      </c>
      <c r="C1043" s="2" t="s">
        <v>28</v>
      </c>
      <c r="D1043" s="3">
        <f>VLOOKUP(B1043,Sheet2!$A:$O,7,0)</f>
        <v>686</v>
      </c>
    </row>
    <row r="1044" spans="1:4">
      <c r="A1044" s="8" t="s">
        <v>400</v>
      </c>
      <c r="B1044" s="2">
        <v>1010801</v>
      </c>
      <c r="C1044" s="2" t="s">
        <v>30</v>
      </c>
      <c r="D1044" s="3">
        <f>VLOOKUP(B1044,Sheet2!$A:$O,7,0)</f>
        <v>7157</v>
      </c>
    </row>
    <row r="1045" spans="1:4">
      <c r="A1045" s="8" t="s">
        <v>400</v>
      </c>
      <c r="B1045" s="2">
        <v>1010901</v>
      </c>
      <c r="C1045" s="2" t="s">
        <v>32</v>
      </c>
      <c r="D1045" s="3">
        <f>VLOOKUP(B1045,Sheet2!$A:$O,7,0)</f>
        <v>4902</v>
      </c>
    </row>
    <row r="1046" spans="1:4">
      <c r="A1046" s="8" t="s">
        <v>400</v>
      </c>
      <c r="B1046" s="2">
        <v>1020101</v>
      </c>
      <c r="C1046" s="2" t="s">
        <v>34</v>
      </c>
      <c r="D1046" s="3">
        <f>VLOOKUP(B1046,Sheet2!$A:$O,7,0)</f>
        <v>17451</v>
      </c>
    </row>
    <row r="1047" spans="1:4">
      <c r="A1047" s="8" t="s">
        <v>400</v>
      </c>
      <c r="B1047" s="2">
        <v>1020201</v>
      </c>
      <c r="C1047" s="2" t="s">
        <v>217</v>
      </c>
      <c r="D1047" s="3">
        <f>VLOOKUP(B1047,Sheet2!$A:$O,7,0)</f>
        <v>5600</v>
      </c>
    </row>
    <row r="1048" spans="1:4">
      <c r="A1048" s="8" t="s">
        <v>400</v>
      </c>
      <c r="B1048" s="2">
        <v>1020301</v>
      </c>
      <c r="C1048" s="2" t="s">
        <v>38</v>
      </c>
      <c r="D1048" s="3">
        <f>VLOOKUP(B1048,Sheet2!$A:$O,7,0)</f>
        <v>2100</v>
      </c>
    </row>
    <row r="1049" spans="1:4">
      <c r="A1049" s="8" t="s">
        <v>400</v>
      </c>
      <c r="B1049" s="2">
        <v>1020401</v>
      </c>
      <c r="C1049" s="2" t="s">
        <v>40</v>
      </c>
      <c r="D1049" s="3">
        <f>VLOOKUP(B1049,Sheet2!$A:$O,7,0)</f>
        <v>3600</v>
      </c>
    </row>
    <row r="1050" spans="1:4">
      <c r="A1050" s="8" t="s">
        <v>400</v>
      </c>
      <c r="B1050" s="2">
        <v>1030102</v>
      </c>
      <c r="C1050" s="2" t="s">
        <v>218</v>
      </c>
      <c r="D1050" s="3">
        <f>VLOOKUP(B1050,Sheet2!$A:$O,7,0)</f>
        <v>0</v>
      </c>
    </row>
    <row r="1051" spans="1:4">
      <c r="A1051" s="8" t="s">
        <v>400</v>
      </c>
      <c r="B1051" s="2">
        <v>1030201</v>
      </c>
      <c r="C1051" s="2" t="s">
        <v>42</v>
      </c>
      <c r="D1051" s="3">
        <f>VLOOKUP(B1051,Sheet2!$A:$O,7,0)</f>
        <v>2304</v>
      </c>
    </row>
    <row r="1052" spans="1:4">
      <c r="A1052" s="8" t="s">
        <v>400</v>
      </c>
      <c r="B1052" s="2">
        <v>1030203</v>
      </c>
      <c r="C1052" s="2" t="s">
        <v>219</v>
      </c>
      <c r="D1052" s="3">
        <f>VLOOKUP(B1052,Sheet2!$A:$O,7,0)</f>
        <v>0</v>
      </c>
    </row>
    <row r="1053" spans="1:4">
      <c r="A1053" s="8" t="s">
        <v>400</v>
      </c>
      <c r="B1053" s="2">
        <v>1030204</v>
      </c>
      <c r="C1053" s="2" t="s">
        <v>220</v>
      </c>
      <c r="D1053" s="3">
        <f>VLOOKUP(B1053,Sheet2!$A:$O,7,0)</f>
        <v>0</v>
      </c>
    </row>
    <row r="1054" spans="1:4">
      <c r="A1054" s="8" t="s">
        <v>400</v>
      </c>
      <c r="B1054" s="2">
        <v>1030205</v>
      </c>
      <c r="C1054" s="2" t="s">
        <v>44</v>
      </c>
      <c r="D1054" s="3">
        <f>VLOOKUP(B1054,Sheet2!$A:$O,7,0)</f>
        <v>5000</v>
      </c>
    </row>
    <row r="1055" spans="1:4">
      <c r="A1055" s="8" t="s">
        <v>400</v>
      </c>
      <c r="B1055" s="2">
        <v>1030206</v>
      </c>
      <c r="C1055" s="2" t="s">
        <v>46</v>
      </c>
      <c r="D1055" s="3">
        <f>VLOOKUP(B1055,Sheet2!$A:$O,7,0)</f>
        <v>5400</v>
      </c>
    </row>
    <row r="1056" spans="1:4">
      <c r="A1056" s="8" t="s">
        <v>400</v>
      </c>
      <c r="B1056" s="2">
        <v>1030207</v>
      </c>
      <c r="C1056" s="2" t="s">
        <v>48</v>
      </c>
      <c r="D1056" s="3">
        <f>VLOOKUP(B1056,Sheet2!$A:$O,7,0)</f>
        <v>4400</v>
      </c>
    </row>
    <row r="1057" spans="1:4">
      <c r="A1057" s="8" t="s">
        <v>400</v>
      </c>
      <c r="B1057" s="2">
        <v>1030501</v>
      </c>
      <c r="C1057" s="2" t="s">
        <v>50</v>
      </c>
      <c r="D1057" s="3">
        <f>VLOOKUP(B1057,Sheet2!$A:$O,7,0)</f>
        <v>1137</v>
      </c>
    </row>
    <row r="1058" spans="1:4">
      <c r="A1058" s="8" t="s">
        <v>400</v>
      </c>
      <c r="B1058" s="2">
        <v>1030601</v>
      </c>
      <c r="C1058" s="2" t="s">
        <v>52</v>
      </c>
      <c r="D1058" s="3">
        <f>VLOOKUP(B1058,Sheet2!$A:$O,7,0)</f>
        <v>3000</v>
      </c>
    </row>
    <row r="1059" spans="1:4">
      <c r="A1059" s="8" t="s">
        <v>400</v>
      </c>
      <c r="B1059" s="2">
        <v>1030701</v>
      </c>
      <c r="C1059" s="2" t="s">
        <v>221</v>
      </c>
      <c r="D1059" s="3">
        <f>VLOOKUP(B1059,Sheet2!$A:$O,7,0)</f>
        <v>3000</v>
      </c>
    </row>
    <row r="1060" spans="1:4">
      <c r="A1060" s="8" t="s">
        <v>400</v>
      </c>
      <c r="B1060" s="2">
        <v>1030705</v>
      </c>
      <c r="C1060" s="2" t="s">
        <v>222</v>
      </c>
      <c r="D1060" s="3">
        <f>VLOOKUP(B1060,Sheet2!$A:$O,7,0)</f>
        <v>0</v>
      </c>
    </row>
    <row r="1061" spans="1:4">
      <c r="A1061" s="8" t="s">
        <v>400</v>
      </c>
      <c r="B1061" s="2">
        <v>1030801</v>
      </c>
      <c r="C1061" s="2" t="s">
        <v>54</v>
      </c>
      <c r="D1061" s="3">
        <f>VLOOKUP(B1061,Sheet2!$A:$O,7,0)</f>
        <v>1376</v>
      </c>
    </row>
    <row r="1062" spans="1:4">
      <c r="A1062" s="8" t="s">
        <v>400</v>
      </c>
      <c r="B1062" s="2">
        <v>1030901</v>
      </c>
      <c r="C1062" s="2" t="s">
        <v>223</v>
      </c>
      <c r="D1062" s="3">
        <f>VLOOKUP(B1062,Sheet2!$A:$O,7,0)</f>
        <v>0</v>
      </c>
    </row>
    <row r="1063" spans="1:4">
      <c r="A1063" s="8" t="s">
        <v>400</v>
      </c>
      <c r="B1063" s="2">
        <v>1040201</v>
      </c>
      <c r="C1063" s="2" t="s">
        <v>56</v>
      </c>
      <c r="D1063" s="3">
        <f>VLOOKUP(B1063,Sheet2!$A:$O,7,0)</f>
        <v>1486</v>
      </c>
    </row>
    <row r="1064" spans="1:4">
      <c r="A1064" s="8" t="s">
        <v>400</v>
      </c>
      <c r="B1064" s="2">
        <v>1040202</v>
      </c>
      <c r="C1064" s="2" t="s">
        <v>224</v>
      </c>
      <c r="D1064" s="3">
        <f>VLOOKUP(B1064,Sheet2!$A:$O,7,0)</f>
        <v>0</v>
      </c>
    </row>
    <row r="1065" spans="1:4">
      <c r="A1065" s="8" t="s">
        <v>400</v>
      </c>
      <c r="B1065" s="2">
        <v>1040203</v>
      </c>
      <c r="C1065" s="2" t="s">
        <v>225</v>
      </c>
      <c r="D1065" s="3">
        <f>VLOOKUP(B1065,Sheet2!$A:$O,7,0)</f>
        <v>0</v>
      </c>
    </row>
    <row r="1066" spans="1:4">
      <c r="A1066" s="8" t="s">
        <v>400</v>
      </c>
      <c r="B1066" s="2">
        <v>1040204</v>
      </c>
      <c r="C1066" s="2" t="s">
        <v>226</v>
      </c>
      <c r="D1066" s="3">
        <f>VLOOKUP(B1066,Sheet2!$A:$O,7,0)</f>
        <v>7917</v>
      </c>
    </row>
    <row r="1067" spans="1:4">
      <c r="A1067" s="8" t="s">
        <v>400</v>
      </c>
      <c r="B1067" s="2">
        <v>1040301</v>
      </c>
      <c r="C1067" s="2" t="s">
        <v>58</v>
      </c>
      <c r="D1067" s="3">
        <f>VLOOKUP(B1067,Sheet2!$A:$O,7,0)</f>
        <v>1673</v>
      </c>
    </row>
    <row r="1068" spans="1:4">
      <c r="A1068" s="8" t="s">
        <v>400</v>
      </c>
      <c r="B1068" s="2">
        <v>1040401</v>
      </c>
      <c r="C1068" s="2" t="s">
        <v>227</v>
      </c>
      <c r="D1068" s="3">
        <f>VLOOKUP(B1068,Sheet2!$A:$O,7,0)</f>
        <v>0</v>
      </c>
    </row>
    <row r="1069" spans="1:4">
      <c r="A1069" s="8" t="s">
        <v>400</v>
      </c>
      <c r="B1069" s="2">
        <v>1050102</v>
      </c>
      <c r="C1069" s="2" t="s">
        <v>60</v>
      </c>
      <c r="D1069" s="3">
        <f>VLOOKUP(B1069,Sheet2!$A:$O,7,0)</f>
        <v>29500</v>
      </c>
    </row>
    <row r="1070" spans="1:4">
      <c r="A1070" s="8" t="s">
        <v>400</v>
      </c>
      <c r="B1070" s="2">
        <v>1050103</v>
      </c>
      <c r="C1070" s="2" t="s">
        <v>228</v>
      </c>
      <c r="D1070" s="3">
        <f>VLOOKUP(B1070,Sheet2!$A:$O,7,0)</f>
        <v>11275</v>
      </c>
    </row>
    <row r="1071" spans="1:4">
      <c r="A1071" s="8" t="s">
        <v>400</v>
      </c>
      <c r="B1071" s="2">
        <v>1050301</v>
      </c>
      <c r="C1071" s="2" t="s">
        <v>62</v>
      </c>
      <c r="D1071" s="3">
        <f>VLOOKUP(B1071,Sheet2!$A:$O,7,0)</f>
        <v>9804</v>
      </c>
    </row>
    <row r="1072" spans="1:4">
      <c r="A1072" s="8" t="s">
        <v>400</v>
      </c>
      <c r="B1072" s="2">
        <v>1050401</v>
      </c>
      <c r="C1072" s="2" t="s">
        <v>64</v>
      </c>
      <c r="D1072" s="3">
        <f>VLOOKUP(B1072,Sheet2!$A:$O,7,0)</f>
        <v>8824</v>
      </c>
    </row>
    <row r="1073" spans="1:4">
      <c r="A1073" s="8" t="s">
        <v>400</v>
      </c>
      <c r="B1073" s="2">
        <v>1050501</v>
      </c>
      <c r="C1073" s="2" t="s">
        <v>66</v>
      </c>
      <c r="D1073" s="3">
        <f>VLOOKUP(B1073,Sheet2!$A:$O,7,0)</f>
        <v>10784</v>
      </c>
    </row>
    <row r="1074" spans="1:4">
      <c r="A1074" s="8" t="s">
        <v>400</v>
      </c>
      <c r="B1074" s="2">
        <v>1050511</v>
      </c>
      <c r="C1074" s="2" t="s">
        <v>68</v>
      </c>
      <c r="D1074" s="3">
        <f>VLOOKUP(B1074,Sheet2!$A:$O,7,0)</f>
        <v>18000</v>
      </c>
    </row>
    <row r="1075" spans="1:4">
      <c r="A1075" s="8" t="s">
        <v>400</v>
      </c>
      <c r="B1075" s="2">
        <v>1050512</v>
      </c>
      <c r="C1075" s="2" t="s">
        <v>229</v>
      </c>
      <c r="D1075" s="3">
        <f>VLOOKUP(B1075,Sheet2!$A:$O,7,0)</f>
        <v>0</v>
      </c>
    </row>
    <row r="1076" spans="1:4">
      <c r="A1076" s="8" t="s">
        <v>400</v>
      </c>
      <c r="B1076" s="2">
        <v>1050521</v>
      </c>
      <c r="C1076" s="2" t="s">
        <v>70</v>
      </c>
      <c r="D1076" s="3">
        <f>VLOOKUP(B1076,Sheet2!$A:$O,7,0)</f>
        <v>14706</v>
      </c>
    </row>
    <row r="1077" spans="1:4">
      <c r="A1077" s="8" t="s">
        <v>400</v>
      </c>
      <c r="B1077" s="2">
        <v>1050531</v>
      </c>
      <c r="C1077" s="2" t="s">
        <v>72</v>
      </c>
      <c r="D1077" s="3">
        <f>VLOOKUP(B1077,Sheet2!$A:$O,7,0)</f>
        <v>21000</v>
      </c>
    </row>
    <row r="1078" spans="1:4">
      <c r="A1078" s="8" t="s">
        <v>400</v>
      </c>
      <c r="B1078" s="2">
        <v>1050541</v>
      </c>
      <c r="C1078" s="2" t="s">
        <v>74</v>
      </c>
      <c r="D1078" s="3">
        <f>VLOOKUP(B1078,Sheet2!$A:$O,7,0)</f>
        <v>11000</v>
      </c>
    </row>
    <row r="1079" spans="1:4">
      <c r="A1079" s="8" t="s">
        <v>400</v>
      </c>
      <c r="B1079" s="2">
        <v>1050551</v>
      </c>
      <c r="C1079" s="2" t="s">
        <v>76</v>
      </c>
      <c r="D1079" s="3">
        <f>VLOOKUP(B1079,Sheet2!$A:$O,7,0)</f>
        <v>54000</v>
      </c>
    </row>
    <row r="1080" spans="1:4">
      <c r="A1080" s="8" t="s">
        <v>400</v>
      </c>
      <c r="B1080" s="2">
        <v>1050561</v>
      </c>
      <c r="C1080" s="2" t="s">
        <v>78</v>
      </c>
      <c r="D1080" s="3">
        <f>VLOOKUP(B1080,Sheet2!$A:$O,7,0)</f>
        <v>98000</v>
      </c>
    </row>
    <row r="1081" spans="1:4">
      <c r="A1081" s="8" t="s">
        <v>400</v>
      </c>
      <c r="B1081" s="2">
        <v>1050571</v>
      </c>
      <c r="C1081" s="2" t="s">
        <v>80</v>
      </c>
      <c r="D1081" s="3">
        <f>VLOOKUP(B1081,Sheet2!$A:$O,7,0)</f>
        <v>58000</v>
      </c>
    </row>
    <row r="1082" spans="1:4">
      <c r="A1082" s="8" t="s">
        <v>400</v>
      </c>
      <c r="B1082" s="2">
        <v>1050581</v>
      </c>
      <c r="C1082" s="2" t="s">
        <v>82</v>
      </c>
      <c r="D1082" s="3">
        <f>VLOOKUP(B1082,Sheet2!$A:$O,7,0)</f>
        <v>57000</v>
      </c>
    </row>
    <row r="1083" spans="1:4">
      <c r="A1083" s="8" t="s">
        <v>400</v>
      </c>
      <c r="B1083" s="2">
        <v>1050591</v>
      </c>
      <c r="C1083" s="2" t="s">
        <v>84</v>
      </c>
      <c r="D1083" s="3">
        <f>VLOOKUP(B1083,Sheet2!$A:$O,7,0)</f>
        <v>97750</v>
      </c>
    </row>
    <row r="1084" spans="1:4">
      <c r="A1084" s="8" t="s">
        <v>400</v>
      </c>
      <c r="B1084" s="2">
        <v>1050601</v>
      </c>
      <c r="C1084" s="2" t="s">
        <v>86</v>
      </c>
      <c r="D1084" s="3">
        <f>VLOOKUP(B1084,Sheet2!$A:$O,7,0)</f>
        <v>5900</v>
      </c>
    </row>
    <row r="1085" spans="1:4">
      <c r="A1085" s="8" t="s">
        <v>400</v>
      </c>
      <c r="B1085" s="2">
        <v>1050701</v>
      </c>
      <c r="C1085" s="2" t="s">
        <v>88</v>
      </c>
      <c r="D1085" s="3">
        <f>VLOOKUP(B1085,Sheet2!$A:$O,7,0)</f>
        <v>5700</v>
      </c>
    </row>
    <row r="1086" spans="1:4">
      <c r="A1086" s="8" t="s">
        <v>400</v>
      </c>
      <c r="B1086" s="2">
        <v>1050702</v>
      </c>
      <c r="C1086" s="2" t="s">
        <v>90</v>
      </c>
      <c r="D1086" s="3">
        <f>VLOOKUP(B1086,Sheet2!$A:$O,7,0)</f>
        <v>5700</v>
      </c>
    </row>
    <row r="1087" spans="1:4">
      <c r="A1087" s="8" t="s">
        <v>400</v>
      </c>
      <c r="B1087" s="2">
        <v>1050711</v>
      </c>
      <c r="C1087" s="2" t="s">
        <v>92</v>
      </c>
      <c r="D1087" s="3">
        <f>VLOOKUP(B1087,Sheet2!$A:$O,7,0)</f>
        <v>2900</v>
      </c>
    </row>
    <row r="1088" spans="1:4">
      <c r="A1088" s="8" t="s">
        <v>400</v>
      </c>
      <c r="B1088" s="2">
        <v>1050721</v>
      </c>
      <c r="C1088" s="2" t="s">
        <v>94</v>
      </c>
      <c r="D1088" s="3">
        <f>VLOOKUP(B1088,Sheet2!$A:$O,7,0)</f>
        <v>14300</v>
      </c>
    </row>
    <row r="1089" spans="1:4">
      <c r="A1089" s="8" t="s">
        <v>400</v>
      </c>
      <c r="B1089" s="2">
        <v>1050801</v>
      </c>
      <c r="C1089" s="2" t="s">
        <v>7</v>
      </c>
      <c r="D1089" s="3">
        <f>VLOOKUP(B1089,Sheet2!$A:$O,7,0)</f>
        <v>1048</v>
      </c>
    </row>
    <row r="1090" spans="1:4">
      <c r="A1090" s="8" t="s">
        <v>400</v>
      </c>
      <c r="B1090" s="2">
        <v>1050901</v>
      </c>
      <c r="C1090" s="2" t="s">
        <v>96</v>
      </c>
      <c r="D1090" s="3">
        <f>VLOOKUP(B1090,Sheet2!$A:$O,7,0)</f>
        <v>1510</v>
      </c>
    </row>
    <row r="1091" spans="1:4">
      <c r="A1091" s="8" t="s">
        <v>400</v>
      </c>
      <c r="B1091" s="2">
        <v>1060101</v>
      </c>
      <c r="C1091" s="2" t="s">
        <v>98</v>
      </c>
      <c r="D1091" s="3">
        <f>VLOOKUP(B1091,Sheet2!$A:$O,7,0)</f>
        <v>2200</v>
      </c>
    </row>
    <row r="1092" spans="1:4">
      <c r="A1092" s="8" t="s">
        <v>400</v>
      </c>
      <c r="B1092" s="2">
        <v>1060401</v>
      </c>
      <c r="C1092" s="2" t="s">
        <v>100</v>
      </c>
      <c r="D1092" s="3">
        <f>VLOOKUP(B1092,Sheet2!$A:$O,7,0)</f>
        <v>71000</v>
      </c>
    </row>
    <row r="1093" spans="1:4">
      <c r="A1093" s="8" t="s">
        <v>400</v>
      </c>
      <c r="B1093" s="2">
        <v>1060412</v>
      </c>
      <c r="C1093" s="2" t="s">
        <v>230</v>
      </c>
      <c r="D1093" s="3">
        <f>VLOOKUP(B1093,Sheet2!$A:$O,7,0)</f>
        <v>33000</v>
      </c>
    </row>
    <row r="1094" spans="1:4">
      <c r="A1094" s="8" t="s">
        <v>400</v>
      </c>
      <c r="B1094" s="2">
        <v>1060421</v>
      </c>
      <c r="C1094" s="2" t="s">
        <v>104</v>
      </c>
      <c r="D1094" s="3">
        <f>VLOOKUP(B1094,Sheet2!$A:$O,7,0)</f>
        <v>76000</v>
      </c>
    </row>
    <row r="1095" spans="1:4">
      <c r="A1095" s="8" t="s">
        <v>400</v>
      </c>
      <c r="B1095" s="2">
        <v>1060441</v>
      </c>
      <c r="C1095" s="2" t="s">
        <v>106</v>
      </c>
      <c r="D1095" s="3">
        <f>VLOOKUP(B1095,Sheet2!$A:$O,7,0)</f>
        <v>5200</v>
      </c>
    </row>
    <row r="1096" spans="1:4">
      <c r="A1096" s="8" t="s">
        <v>400</v>
      </c>
      <c r="B1096" s="2">
        <v>1060451</v>
      </c>
      <c r="C1096" s="2" t="s">
        <v>108</v>
      </c>
      <c r="D1096" s="3">
        <f>VLOOKUP(B1096,Sheet2!$A:$O,7,0)</f>
        <v>38235</v>
      </c>
    </row>
    <row r="1097" spans="1:4">
      <c r="A1097" s="8" t="s">
        <v>400</v>
      </c>
      <c r="B1097" s="2">
        <v>1070101</v>
      </c>
      <c r="C1097" s="2" t="s">
        <v>110</v>
      </c>
      <c r="D1097" s="3">
        <f>VLOOKUP(B1097,Sheet2!$A:$O,7,0)</f>
        <v>3650</v>
      </c>
    </row>
    <row r="1098" spans="1:4">
      <c r="A1098" s="8" t="s">
        <v>400</v>
      </c>
      <c r="B1098" s="2">
        <v>1070301</v>
      </c>
      <c r="C1098" s="2" t="s">
        <v>112</v>
      </c>
      <c r="D1098" s="3">
        <f>VLOOKUP(B1098,Sheet2!$A:$O,7,0)</f>
        <v>37000</v>
      </c>
    </row>
    <row r="1099" spans="1:4">
      <c r="A1099" s="8" t="s">
        <v>400</v>
      </c>
      <c r="B1099" s="2">
        <v>1070401</v>
      </c>
      <c r="C1099" s="2" t="s">
        <v>114</v>
      </c>
      <c r="D1099" s="3">
        <f>VLOOKUP(B1099,Sheet2!$A:$O,7,0)</f>
        <v>12000</v>
      </c>
    </row>
    <row r="1100" spans="1:4">
      <c r="A1100" s="8" t="s">
        <v>400</v>
      </c>
      <c r="B1100" s="2">
        <v>1070501</v>
      </c>
      <c r="C1100" s="2" t="s">
        <v>231</v>
      </c>
      <c r="D1100" s="3">
        <f>VLOOKUP(B1100,Sheet2!$A:$O,7,0)</f>
        <v>5500</v>
      </c>
    </row>
    <row r="1101" spans="1:4">
      <c r="A1101" s="8" t="s">
        <v>400</v>
      </c>
      <c r="B1101" s="2">
        <v>1070701</v>
      </c>
      <c r="C1101" s="2" t="s">
        <v>118</v>
      </c>
      <c r="D1101" s="3">
        <f>VLOOKUP(B1101,Sheet2!$A:$O,7,0)</f>
        <v>36000</v>
      </c>
    </row>
    <row r="1102" spans="1:4">
      <c r="A1102" s="8" t="s">
        <v>400</v>
      </c>
      <c r="B1102" s="2">
        <v>1070801</v>
      </c>
      <c r="C1102" s="2" t="s">
        <v>232</v>
      </c>
      <c r="D1102" s="3">
        <f>VLOOKUP(B1102,Sheet2!$A:$O,7,0)</f>
        <v>35000</v>
      </c>
    </row>
    <row r="1103" spans="1:4">
      <c r="A1103" s="8" t="s">
        <v>400</v>
      </c>
      <c r="B1103" s="2">
        <v>1080101</v>
      </c>
      <c r="C1103" s="2" t="s">
        <v>120</v>
      </c>
      <c r="D1103" s="3">
        <f>VLOOKUP(B1103,Sheet2!$A:$O,7,0)</f>
        <v>11000</v>
      </c>
    </row>
    <row r="1104" spans="1:4">
      <c r="A1104" s="8" t="s">
        <v>400</v>
      </c>
      <c r="B1104" s="2">
        <v>1080201</v>
      </c>
      <c r="C1104" s="2" t="s">
        <v>122</v>
      </c>
      <c r="D1104" s="3">
        <f>VLOOKUP(B1104,Sheet2!$A:$O,7,0)</f>
        <v>540</v>
      </c>
    </row>
    <row r="1105" spans="1:4">
      <c r="A1105" s="8" t="s">
        <v>400</v>
      </c>
      <c r="B1105" s="2">
        <v>1080301</v>
      </c>
      <c r="C1105" s="2" t="s">
        <v>124</v>
      </c>
      <c r="D1105" s="3">
        <f>VLOOKUP(B1105,Sheet2!$A:$O,7,0)</f>
        <v>1550</v>
      </c>
    </row>
    <row r="1106" spans="1:4">
      <c r="A1106" s="8" t="s">
        <v>400</v>
      </c>
      <c r="B1106" s="2">
        <v>1080401</v>
      </c>
      <c r="C1106" s="2" t="s">
        <v>233</v>
      </c>
      <c r="D1106" s="3">
        <f>VLOOKUP(B1106,Sheet2!$A:$O,7,0)</f>
        <v>3300</v>
      </c>
    </row>
    <row r="1107" spans="1:4">
      <c r="A1107" s="8" t="s">
        <v>400</v>
      </c>
      <c r="B1107" s="2">
        <v>1080411</v>
      </c>
      <c r="C1107" s="2" t="s">
        <v>128</v>
      </c>
      <c r="D1107" s="3">
        <f>VLOOKUP(B1107,Sheet2!$A:$O,7,0)</f>
        <v>3300</v>
      </c>
    </row>
    <row r="1108" spans="1:4">
      <c r="A1108" s="8" t="s">
        <v>400</v>
      </c>
      <c r="B1108" s="2">
        <v>1080501</v>
      </c>
      <c r="C1108" s="2" t="s">
        <v>130</v>
      </c>
      <c r="D1108" s="3">
        <f>VLOOKUP(B1108,Sheet2!$A:$O,7,0)</f>
        <v>3800</v>
      </c>
    </row>
    <row r="1109" spans="1:4">
      <c r="A1109" s="8" t="s">
        <v>400</v>
      </c>
      <c r="B1109" s="2">
        <v>1080602</v>
      </c>
      <c r="C1109" s="2" t="s">
        <v>234</v>
      </c>
      <c r="D1109" s="3">
        <f>VLOOKUP(B1109,Sheet2!$A:$O,7,0)</f>
        <v>37600</v>
      </c>
    </row>
    <row r="1110" spans="1:4">
      <c r="A1110" s="8" t="s">
        <v>400</v>
      </c>
      <c r="B1110" s="2">
        <v>1080604</v>
      </c>
      <c r="C1110" s="2" t="s">
        <v>235</v>
      </c>
      <c r="D1110" s="3">
        <f>VLOOKUP(B1110,Sheet2!$A:$O,7,0)</f>
        <v>0</v>
      </c>
    </row>
    <row r="1111" spans="1:4">
      <c r="A1111" s="8" t="s">
        <v>400</v>
      </c>
      <c r="B1111" s="2">
        <v>1080702</v>
      </c>
      <c r="C1111" s="2" t="s">
        <v>236</v>
      </c>
      <c r="D1111" s="3">
        <f>VLOOKUP(B1111,Sheet2!$A:$O,7,0)</f>
        <v>42500</v>
      </c>
    </row>
    <row r="1112" spans="1:4">
      <c r="A1112" s="8" t="s">
        <v>400</v>
      </c>
      <c r="B1112" s="2">
        <v>1080704</v>
      </c>
      <c r="C1112" s="2" t="s">
        <v>237</v>
      </c>
      <c r="D1112" s="3">
        <f>VLOOKUP(B1112,Sheet2!$A:$O,7,0)</f>
        <v>0</v>
      </c>
    </row>
    <row r="1113" spans="1:4">
      <c r="A1113" s="8" t="s">
        <v>400</v>
      </c>
      <c r="B1113" s="2">
        <v>1090104</v>
      </c>
      <c r="C1113" s="2" t="s">
        <v>136</v>
      </c>
      <c r="D1113" s="3">
        <f>VLOOKUP(B1113,Sheet2!$A:$O,7,0)</f>
        <v>40000</v>
      </c>
    </row>
    <row r="1114" spans="1:4">
      <c r="A1114" s="8" t="s">
        <v>400</v>
      </c>
      <c r="B1114" s="2">
        <v>1090112</v>
      </c>
      <c r="C1114" s="2" t="s">
        <v>138</v>
      </c>
      <c r="D1114" s="3">
        <f>VLOOKUP(B1114,Sheet2!$A:$O,7,0)</f>
        <v>35000</v>
      </c>
    </row>
    <row r="1115" spans="1:4">
      <c r="A1115" s="8" t="s">
        <v>400</v>
      </c>
      <c r="B1115" s="2">
        <v>1090201</v>
      </c>
      <c r="C1115" s="2" t="s">
        <v>140</v>
      </c>
      <c r="D1115" s="3">
        <f>VLOOKUP(B1115,Sheet2!$A:$O,7,0)</f>
        <v>15800</v>
      </c>
    </row>
    <row r="1116" spans="1:4">
      <c r="A1116" s="8" t="s">
        <v>400</v>
      </c>
      <c r="B1116" s="2">
        <v>1090202</v>
      </c>
      <c r="C1116" s="2" t="s">
        <v>142</v>
      </c>
      <c r="D1116" s="3">
        <f>VLOOKUP(B1116,Sheet2!$A:$O,7,0)</f>
        <v>98000</v>
      </c>
    </row>
    <row r="1117" spans="1:4">
      <c r="A1117" s="8" t="s">
        <v>400</v>
      </c>
      <c r="B1117" s="2">
        <v>1090203</v>
      </c>
      <c r="C1117" s="2" t="s">
        <v>144</v>
      </c>
      <c r="D1117" s="3">
        <f>VLOOKUP(B1117,Sheet2!$A:$O,7,0)</f>
        <v>23000</v>
      </c>
    </row>
    <row r="1118" spans="1:4">
      <c r="A1118" s="8" t="s">
        <v>400</v>
      </c>
      <c r="B1118" s="2">
        <v>1090211</v>
      </c>
      <c r="C1118" s="2" t="s">
        <v>146</v>
      </c>
      <c r="D1118" s="3">
        <f>VLOOKUP(B1118,Sheet2!$A:$O,7,0)</f>
        <v>67647</v>
      </c>
    </row>
    <row r="1119" spans="1:4">
      <c r="A1119" s="8" t="s">
        <v>400</v>
      </c>
      <c r="B1119" s="2">
        <v>1090301</v>
      </c>
      <c r="C1119" s="2" t="s">
        <v>238</v>
      </c>
      <c r="D1119" s="3">
        <f>VLOOKUP(B1119,Sheet2!$A:$O,7,0)</f>
        <v>32000</v>
      </c>
    </row>
    <row r="1120" spans="1:4">
      <c r="A1120" s="8" t="s">
        <v>400</v>
      </c>
      <c r="B1120" s="2">
        <v>1090311</v>
      </c>
      <c r="C1120" s="2" t="s">
        <v>150</v>
      </c>
      <c r="D1120" s="3">
        <f>VLOOKUP(B1120,Sheet2!$A:$O,7,0)</f>
        <v>37000</v>
      </c>
    </row>
    <row r="1121" spans="1:4">
      <c r="A1121" s="8" t="s">
        <v>400</v>
      </c>
      <c r="B1121" s="2">
        <v>1090321</v>
      </c>
      <c r="C1121" s="2" t="s">
        <v>152</v>
      </c>
      <c r="D1121" s="3">
        <f>VLOOKUP(B1121,Sheet2!$A:$O,7,0)</f>
        <v>75000</v>
      </c>
    </row>
    <row r="1122" spans="1:4">
      <c r="A1122" s="8" t="s">
        <v>400</v>
      </c>
      <c r="B1122" s="2">
        <v>1090401</v>
      </c>
      <c r="C1122" s="2" t="s">
        <v>154</v>
      </c>
      <c r="D1122" s="3">
        <f>VLOOKUP(B1122,Sheet2!$A:$O,7,0)</f>
        <v>8300</v>
      </c>
    </row>
    <row r="1123" spans="1:4">
      <c r="A1123" s="8" t="s">
        <v>400</v>
      </c>
      <c r="B1123" s="2">
        <v>1090411</v>
      </c>
      <c r="C1123" s="2" t="s">
        <v>156</v>
      </c>
      <c r="D1123" s="3">
        <f>VLOOKUP(B1123,Sheet2!$A:$O,7,0)</f>
        <v>45000</v>
      </c>
    </row>
    <row r="1124" spans="1:4">
      <c r="A1124" s="8" t="s">
        <v>400</v>
      </c>
      <c r="B1124" s="2">
        <v>1090421</v>
      </c>
      <c r="C1124" s="2" t="s">
        <v>158</v>
      </c>
      <c r="D1124" s="3">
        <f>VLOOKUP(B1124,Sheet2!$A:$O,7,0)</f>
        <v>36000</v>
      </c>
    </row>
    <row r="1125" spans="1:4">
      <c r="A1125" s="8" t="s">
        <v>400</v>
      </c>
      <c r="B1125" s="2">
        <v>1090551</v>
      </c>
      <c r="C1125" s="2" t="s">
        <v>239</v>
      </c>
      <c r="D1125" s="3">
        <f>VLOOKUP(B1125,Sheet2!$A:$O,7,0)</f>
        <v>4900</v>
      </c>
    </row>
    <row r="1126" spans="1:4">
      <c r="A1126" s="8" t="s">
        <v>400</v>
      </c>
      <c r="B1126" s="2">
        <v>1090602</v>
      </c>
      <c r="C1126" s="2" t="s">
        <v>162</v>
      </c>
      <c r="D1126" s="3">
        <f>VLOOKUP(B1126,Sheet2!$A:$O,7,0)</f>
        <v>5130</v>
      </c>
    </row>
    <row r="1127" spans="1:4">
      <c r="A1127" s="8" t="s">
        <v>400</v>
      </c>
      <c r="B1127" s="2">
        <v>1090611</v>
      </c>
      <c r="C1127" s="2" t="s">
        <v>164</v>
      </c>
      <c r="D1127" s="3">
        <f>VLOOKUP(B1127,Sheet2!$A:$O,7,0)</f>
        <v>4212</v>
      </c>
    </row>
    <row r="1128" spans="1:4">
      <c r="A1128" s="8" t="s">
        <v>400</v>
      </c>
      <c r="B1128" s="2">
        <v>1090701</v>
      </c>
      <c r="C1128" s="2" t="s">
        <v>166</v>
      </c>
      <c r="D1128" s="3">
        <f>VLOOKUP(B1128,Sheet2!$A:$O,7,0)</f>
        <v>21000</v>
      </c>
    </row>
    <row r="1129" spans="1:4">
      <c r="A1129" s="8" t="s">
        <v>400</v>
      </c>
      <c r="B1129" s="2">
        <v>1090901</v>
      </c>
      <c r="C1129" s="2" t="s">
        <v>168</v>
      </c>
      <c r="D1129" s="3">
        <f>VLOOKUP(B1129,Sheet2!$A:$O,7,0)</f>
        <v>4300</v>
      </c>
    </row>
    <row r="1130" spans="1:4">
      <c r="A1130" s="8" t="s">
        <v>400</v>
      </c>
      <c r="B1130" s="2">
        <v>1091001</v>
      </c>
      <c r="C1130" s="2" t="s">
        <v>170</v>
      </c>
      <c r="D1130" s="3">
        <f>VLOOKUP(B1130,Sheet2!$A:$O,7,0)</f>
        <v>7000</v>
      </c>
    </row>
    <row r="1131" spans="1:4">
      <c r="A1131" s="8" t="s">
        <v>400</v>
      </c>
      <c r="B1131" s="2">
        <v>1091002</v>
      </c>
      <c r="C1131" s="2" t="s">
        <v>172</v>
      </c>
      <c r="D1131" s="3">
        <f>VLOOKUP(B1131,Sheet2!$A:$O,7,0)</f>
        <v>6373</v>
      </c>
    </row>
    <row r="1132" spans="1:4">
      <c r="A1132" s="8" t="s">
        <v>400</v>
      </c>
      <c r="B1132" s="2">
        <v>1091003</v>
      </c>
      <c r="C1132" s="2" t="s">
        <v>174</v>
      </c>
      <c r="D1132" s="3">
        <f>VLOOKUP(B1132,Sheet2!$A:$O,7,0)</f>
        <v>8983</v>
      </c>
    </row>
    <row r="1133" spans="1:4">
      <c r="A1133" s="8" t="s">
        <v>400</v>
      </c>
      <c r="B1133" s="2">
        <v>1091004</v>
      </c>
      <c r="C1133" s="2" t="s">
        <v>240</v>
      </c>
      <c r="D1133" s="3">
        <f>VLOOKUP(B1133,Sheet2!$A:$O,7,0)</f>
        <v>0</v>
      </c>
    </row>
    <row r="1134" spans="1:4">
      <c r="A1134" s="8" t="s">
        <v>400</v>
      </c>
      <c r="B1134" s="2">
        <v>1091005</v>
      </c>
      <c r="C1134" s="2" t="s">
        <v>241</v>
      </c>
      <c r="D1134" s="3">
        <f>VLOOKUP(B1134,Sheet2!$A:$O,7,0)</f>
        <v>0</v>
      </c>
    </row>
    <row r="1135" spans="1:4">
      <c r="A1135" s="8" t="s">
        <v>400</v>
      </c>
      <c r="B1135" s="2">
        <v>1091006</v>
      </c>
      <c r="C1135" s="2" t="s">
        <v>242</v>
      </c>
      <c r="D1135" s="3">
        <f>VLOOKUP(B1135,Sheet2!$A:$O,7,0)</f>
        <v>0</v>
      </c>
    </row>
    <row r="1136" spans="1:4">
      <c r="A1136" s="8" t="s">
        <v>400</v>
      </c>
      <c r="B1136" s="2">
        <v>1091007</v>
      </c>
      <c r="C1136" s="2" t="s">
        <v>243</v>
      </c>
      <c r="D1136" s="3">
        <f>VLOOKUP(B1136,Sheet2!$A:$O,7,0)</f>
        <v>2640</v>
      </c>
    </row>
    <row r="1137" spans="1:4">
      <c r="A1137" s="8" t="s">
        <v>400</v>
      </c>
      <c r="B1137" s="2">
        <v>1091008</v>
      </c>
      <c r="C1137" s="2" t="s">
        <v>176</v>
      </c>
      <c r="D1137" s="3">
        <f>VLOOKUP(B1137,Sheet2!$A:$O,7,0)</f>
        <v>0</v>
      </c>
    </row>
    <row r="1138" spans="1:4">
      <c r="A1138" s="8" t="s">
        <v>400</v>
      </c>
      <c r="B1138" s="2">
        <v>1091009</v>
      </c>
      <c r="C1138" s="2" t="s">
        <v>178</v>
      </c>
      <c r="D1138" s="3">
        <f>VLOOKUP(B1138,Sheet2!$A:$O,7,0)</f>
        <v>0</v>
      </c>
    </row>
    <row r="1139" spans="1:4">
      <c r="A1139" s="8" t="s">
        <v>400</v>
      </c>
      <c r="B1139" s="2">
        <v>1091010</v>
      </c>
      <c r="C1139" s="2" t="s">
        <v>180</v>
      </c>
      <c r="D1139" s="3">
        <f>VLOOKUP(B1139,Sheet2!$A:$O,7,0)</f>
        <v>27000</v>
      </c>
    </row>
    <row r="1140" spans="1:4">
      <c r="A1140" s="8" t="s">
        <v>400</v>
      </c>
      <c r="B1140" s="2">
        <v>1091011</v>
      </c>
      <c r="C1140" s="2" t="s">
        <v>182</v>
      </c>
      <c r="D1140" s="3">
        <f>VLOOKUP(B1140,Sheet2!$A:$O,7,0)</f>
        <v>33000</v>
      </c>
    </row>
    <row r="1141" spans="1:4">
      <c r="A1141" s="8" t="s">
        <v>400</v>
      </c>
      <c r="B1141" s="2">
        <v>1091012</v>
      </c>
      <c r="C1141" s="2" t="s">
        <v>184</v>
      </c>
      <c r="D1141" s="3">
        <f>VLOOKUP(B1141,Sheet2!$A:$O,7,0)</f>
        <v>47000</v>
      </c>
    </row>
    <row r="1142" spans="1:4">
      <c r="A1142" s="8" t="s">
        <v>400</v>
      </c>
      <c r="B1142" s="2">
        <v>1091013</v>
      </c>
      <c r="C1142" s="2" t="s">
        <v>186</v>
      </c>
      <c r="D1142" s="3">
        <f>VLOOKUP(B1142,Sheet2!$A:$O,7,0)</f>
        <v>33000</v>
      </c>
    </row>
    <row r="1143" spans="1:4">
      <c r="A1143" s="8" t="s">
        <v>400</v>
      </c>
      <c r="B1143" s="2">
        <v>1091014</v>
      </c>
      <c r="C1143" s="2" t="s">
        <v>244</v>
      </c>
      <c r="D1143" s="3">
        <f>VLOOKUP(B1143,Sheet2!$A:$O,7,0)</f>
        <v>6961</v>
      </c>
    </row>
    <row r="1144" spans="1:4">
      <c r="A1144" s="8" t="s">
        <v>400</v>
      </c>
      <c r="B1144" s="2">
        <v>1091015</v>
      </c>
      <c r="C1144" s="2" t="s">
        <v>245</v>
      </c>
      <c r="D1144" s="3">
        <f>VLOOKUP(B1144,Sheet2!$A:$O,7,0)</f>
        <v>25490</v>
      </c>
    </row>
    <row r="1145" spans="1:4">
      <c r="A1145" s="8" t="s">
        <v>400</v>
      </c>
      <c r="B1145" s="2">
        <v>1091016</v>
      </c>
      <c r="C1145" s="2" t="s">
        <v>246</v>
      </c>
      <c r="D1145" s="3">
        <f>VLOOKUP(B1145,Sheet2!$A:$O,7,0)</f>
        <v>54594</v>
      </c>
    </row>
    <row r="1146" spans="1:4">
      <c r="A1146" s="8" t="s">
        <v>400</v>
      </c>
      <c r="B1146" s="2">
        <v>1091017</v>
      </c>
      <c r="C1146" s="2" t="s">
        <v>247</v>
      </c>
      <c r="D1146" s="3">
        <f>VLOOKUP(B1146,Sheet2!$A:$O,7,0)</f>
        <v>0</v>
      </c>
    </row>
    <row r="1147" spans="1:4">
      <c r="A1147" s="8" t="s">
        <v>400</v>
      </c>
      <c r="B1147" s="2">
        <v>1091018</v>
      </c>
      <c r="C1147" s="2" t="s">
        <v>248</v>
      </c>
      <c r="D1147" s="3">
        <f>VLOOKUP(B1147,Sheet2!$A:$O,7,0)</f>
        <v>0</v>
      </c>
    </row>
    <row r="1148" spans="1:4">
      <c r="A1148" s="8" t="s">
        <v>400</v>
      </c>
      <c r="B1148" s="2">
        <v>1091019</v>
      </c>
      <c r="C1148" s="2" t="s">
        <v>249</v>
      </c>
      <c r="D1148" s="3">
        <f>VLOOKUP(B1148,Sheet2!$A:$O,7,0)</f>
        <v>53387</v>
      </c>
    </row>
    <row r="1149" spans="1:4">
      <c r="A1149" s="8" t="s">
        <v>400</v>
      </c>
      <c r="B1149" s="2">
        <v>1091020</v>
      </c>
      <c r="C1149" s="2" t="s">
        <v>250</v>
      </c>
      <c r="D1149" s="3">
        <f>VLOOKUP(B1149,Sheet2!$A:$O,7,0)</f>
        <v>62745</v>
      </c>
    </row>
    <row r="1150" spans="1:4">
      <c r="A1150" s="8" t="s">
        <v>400</v>
      </c>
      <c r="B1150" s="2">
        <v>1091021</v>
      </c>
      <c r="C1150" s="2" t="s">
        <v>251</v>
      </c>
      <c r="D1150" s="3">
        <f>VLOOKUP(B1150,Sheet2!$A:$O,7,0)</f>
        <v>53922</v>
      </c>
    </row>
    <row r="1151" spans="1:4">
      <c r="A1151" s="8" t="s">
        <v>400</v>
      </c>
      <c r="B1151" s="2">
        <v>1091022</v>
      </c>
      <c r="C1151" s="2" t="s">
        <v>252</v>
      </c>
      <c r="D1151" s="3">
        <f>VLOOKUP(B1151,Sheet2!$A:$O,7,0)</f>
        <v>3235</v>
      </c>
    </row>
    <row r="1152" spans="1:4">
      <c r="A1152" s="8" t="s">
        <v>400</v>
      </c>
      <c r="B1152" s="2">
        <v>1091023</v>
      </c>
      <c r="C1152" s="2" t="s">
        <v>253</v>
      </c>
      <c r="D1152" s="3">
        <f>VLOOKUP(B1152,Sheet2!$A:$O,7,0)</f>
        <v>4412</v>
      </c>
    </row>
    <row r="1153" spans="1:4">
      <c r="A1153" s="8" t="s">
        <v>400</v>
      </c>
      <c r="B1153" s="2">
        <v>1091024</v>
      </c>
      <c r="C1153" s="2" t="s">
        <v>254</v>
      </c>
      <c r="D1153" s="3">
        <f>VLOOKUP(B1153,Sheet2!$A:$O,7,0)</f>
        <v>3922</v>
      </c>
    </row>
    <row r="1154" spans="1:4">
      <c r="A1154" s="8" t="s">
        <v>400</v>
      </c>
      <c r="B1154" s="2">
        <v>1091025</v>
      </c>
      <c r="C1154" s="2" t="s">
        <v>255</v>
      </c>
      <c r="D1154" s="3">
        <f>VLOOKUP(B1154,Sheet2!$A:$O,7,0)</f>
        <v>6373</v>
      </c>
    </row>
    <row r="1155" spans="1:4">
      <c r="A1155" s="8" t="s">
        <v>400</v>
      </c>
      <c r="B1155" s="2">
        <v>1091026</v>
      </c>
      <c r="C1155" s="2" t="s">
        <v>256</v>
      </c>
      <c r="D1155" s="3">
        <f>VLOOKUP(B1155,Sheet2!$A:$O,7,0)</f>
        <v>30196</v>
      </c>
    </row>
    <row r="1156" spans="1:4">
      <c r="A1156" s="8" t="s">
        <v>400</v>
      </c>
      <c r="B1156" s="2">
        <v>1600101</v>
      </c>
      <c r="C1156" s="2" t="s">
        <v>188</v>
      </c>
      <c r="D1156" s="3">
        <f>VLOOKUP(B1156,Sheet2!$A:$O,7,0)</f>
        <v>2304</v>
      </c>
    </row>
    <row r="1157" spans="1:4">
      <c r="A1157" s="8" t="s">
        <v>400</v>
      </c>
      <c r="B1157" s="2">
        <v>1600102</v>
      </c>
      <c r="C1157" s="2" t="s">
        <v>257</v>
      </c>
      <c r="D1157" s="3">
        <f>VLOOKUP(B1157,Sheet2!$A:$O,7,0)</f>
        <v>34314</v>
      </c>
    </row>
    <row r="1158" spans="1:4">
      <c r="A1158" s="8" t="s">
        <v>400</v>
      </c>
      <c r="B1158" s="2">
        <v>1600103</v>
      </c>
      <c r="C1158" s="2" t="s">
        <v>258</v>
      </c>
      <c r="D1158" s="3">
        <f>VLOOKUP(B1158,Sheet2!$A:$O,7,0)</f>
        <v>19800</v>
      </c>
    </row>
    <row r="1159" spans="1:4">
      <c r="A1159" s="8" t="s">
        <v>400</v>
      </c>
      <c r="B1159" s="2">
        <v>1600104</v>
      </c>
      <c r="C1159" s="2" t="s">
        <v>259</v>
      </c>
      <c r="D1159" s="3">
        <f>VLOOKUP(B1159,Sheet2!$A:$O,7,0)</f>
        <v>65000</v>
      </c>
    </row>
    <row r="1160" spans="1:4">
      <c r="A1160" s="8" t="s">
        <v>400</v>
      </c>
      <c r="B1160" s="2">
        <v>1600105</v>
      </c>
      <c r="C1160" s="2" t="s">
        <v>260</v>
      </c>
      <c r="D1160" s="3">
        <f>VLOOKUP(B1160,Sheet2!$A:$O,7,0)</f>
        <v>73000</v>
      </c>
    </row>
    <row r="1161" spans="1:4">
      <c r="A1161" s="8" t="s">
        <v>400</v>
      </c>
      <c r="B1161" s="2">
        <v>1600106</v>
      </c>
      <c r="C1161" s="2" t="s">
        <v>261</v>
      </c>
      <c r="D1161" s="3">
        <f>VLOOKUP(B1161,Sheet2!$A:$O,7,0)</f>
        <v>66667</v>
      </c>
    </row>
    <row r="1162" spans="1:4">
      <c r="A1162" s="8" t="s">
        <v>400</v>
      </c>
      <c r="B1162" s="2">
        <v>1600107</v>
      </c>
      <c r="C1162" s="2" t="s">
        <v>262</v>
      </c>
      <c r="D1162" s="3">
        <f>VLOOKUP(B1162,Sheet2!$A:$O,7,0)</f>
        <v>67647</v>
      </c>
    </row>
    <row r="1163" spans="1:4">
      <c r="A1163" s="8" t="s">
        <v>400</v>
      </c>
      <c r="B1163" s="2">
        <v>1600108</v>
      </c>
      <c r="C1163" s="2" t="s">
        <v>263</v>
      </c>
      <c r="D1163" s="3">
        <f>VLOOKUP(B1163,Sheet2!$A:$O,7,0)</f>
        <v>67647</v>
      </c>
    </row>
    <row r="1164" spans="1:4">
      <c r="A1164" s="8" t="s">
        <v>400</v>
      </c>
      <c r="B1164" s="2">
        <v>1600109</v>
      </c>
      <c r="C1164" s="2" t="s">
        <v>264</v>
      </c>
      <c r="D1164" s="3">
        <f>VLOOKUP(B1164,Sheet2!$A:$O,7,0)</f>
        <v>4657</v>
      </c>
    </row>
    <row r="1165" spans="1:4">
      <c r="A1165" s="8" t="s">
        <v>400</v>
      </c>
      <c r="B1165" s="2">
        <v>1600110</v>
      </c>
      <c r="C1165" s="2" t="s">
        <v>265</v>
      </c>
      <c r="D1165" s="3">
        <f>VLOOKUP(B1165,Sheet2!$A:$O,7,0)</f>
        <v>7917</v>
      </c>
    </row>
    <row r="1166" spans="1:4">
      <c r="A1166" s="8" t="s">
        <v>400</v>
      </c>
      <c r="B1166" s="2">
        <v>1600111</v>
      </c>
      <c r="C1166" s="2" t="s">
        <v>266</v>
      </c>
      <c r="D1166" s="3">
        <f>VLOOKUP(B1166,Sheet2!$A:$O,7,0)</f>
        <v>2266</v>
      </c>
    </row>
    <row r="1167" spans="1:4">
      <c r="A1167" s="8" t="s">
        <v>400</v>
      </c>
      <c r="B1167" s="2">
        <v>1600112</v>
      </c>
      <c r="C1167" s="2" t="s">
        <v>190</v>
      </c>
      <c r="D1167" s="3">
        <f>VLOOKUP(B1167,Sheet2!$A:$O,7,0)</f>
        <v>4800</v>
      </c>
    </row>
    <row r="1168" spans="1:4">
      <c r="A1168" s="8" t="s">
        <v>400</v>
      </c>
      <c r="B1168" s="2">
        <v>1600113</v>
      </c>
      <c r="C1168" s="2" t="s">
        <v>267</v>
      </c>
      <c r="D1168" s="3">
        <f>VLOOKUP(B1168,Sheet2!$A:$O,7,0)</f>
        <v>0</v>
      </c>
    </row>
    <row r="1169" spans="1:4">
      <c r="A1169" s="8" t="s">
        <v>400</v>
      </c>
      <c r="B1169" s="2">
        <v>1600114</v>
      </c>
      <c r="C1169" s="2" t="s">
        <v>268</v>
      </c>
      <c r="D1169" s="3">
        <f>VLOOKUP(B1169,Sheet2!$A:$O,7,0)</f>
        <v>10140</v>
      </c>
    </row>
    <row r="1170" spans="1:4">
      <c r="A1170" s="8" t="s">
        <v>400</v>
      </c>
      <c r="B1170" s="2">
        <v>1700001</v>
      </c>
      <c r="C1170" s="2" t="s">
        <v>269</v>
      </c>
      <c r="D1170" s="3">
        <f>VLOOKUP(B1170,Sheet2!$A:$O,7,0)</f>
        <v>3452</v>
      </c>
    </row>
    <row r="1171" spans="1:4">
      <c r="A1171" s="8" t="s">
        <v>400</v>
      </c>
      <c r="B1171" s="2">
        <v>1700002</v>
      </c>
      <c r="C1171" s="2" t="s">
        <v>270</v>
      </c>
      <c r="D1171" s="3">
        <f>VLOOKUP(B1171,Sheet2!$A:$O,7,0)</f>
        <v>3726</v>
      </c>
    </row>
    <row r="1172" spans="1:4">
      <c r="A1172" s="8" t="s">
        <v>400</v>
      </c>
      <c r="B1172" s="2">
        <v>1700003</v>
      </c>
      <c r="C1172" s="2" t="s">
        <v>271</v>
      </c>
      <c r="D1172" s="3">
        <f>VLOOKUP(B1172,Sheet2!$A:$O,7,0)</f>
        <v>4902</v>
      </c>
    </row>
    <row r="1173" spans="1:4">
      <c r="A1173" s="8" t="s">
        <v>400</v>
      </c>
      <c r="B1173" s="2">
        <v>1700004</v>
      </c>
      <c r="C1173" s="2" t="s">
        <v>272</v>
      </c>
      <c r="D1173" s="3">
        <f>VLOOKUP(B1173,Sheet2!$A:$O,7,0)</f>
        <v>13137</v>
      </c>
    </row>
    <row r="1174" spans="1:4">
      <c r="A1174" s="8" t="s">
        <v>400</v>
      </c>
      <c r="B1174" s="2">
        <v>1700005</v>
      </c>
      <c r="C1174" s="2" t="s">
        <v>192</v>
      </c>
      <c r="D1174" s="3">
        <f>VLOOKUP(B1174,Sheet2!$A:$O,7,0)</f>
        <v>1710</v>
      </c>
    </row>
    <row r="1175" spans="1:4">
      <c r="A1175" s="8" t="s">
        <v>400</v>
      </c>
      <c r="B1175" s="2">
        <v>1700006</v>
      </c>
      <c r="C1175" s="2" t="s">
        <v>273</v>
      </c>
      <c r="D1175" s="3">
        <f>VLOOKUP(B1175,Sheet2!$A:$O,7,0)</f>
        <v>6373</v>
      </c>
    </row>
    <row r="1176" spans="1:4">
      <c r="A1176" s="8" t="s">
        <v>400</v>
      </c>
      <c r="B1176" s="2">
        <v>1700007</v>
      </c>
      <c r="C1176" s="2" t="s">
        <v>274</v>
      </c>
      <c r="D1176" s="3">
        <f>VLOOKUP(B1176,Sheet2!$A:$O,7,0)</f>
        <v>0</v>
      </c>
    </row>
    <row r="1177" spans="1:4">
      <c r="A1177" s="8" t="s">
        <v>400</v>
      </c>
      <c r="B1177" s="2">
        <v>1700008</v>
      </c>
      <c r="C1177" s="2" t="s">
        <v>275</v>
      </c>
      <c r="D1177" s="3">
        <f>VLOOKUP(B1177,Sheet2!$A:$O,7,0)</f>
        <v>0</v>
      </c>
    </row>
    <row r="1178" spans="1:4">
      <c r="A1178" s="8" t="s">
        <v>400</v>
      </c>
      <c r="B1178" s="2">
        <v>1700009</v>
      </c>
      <c r="C1178" s="2" t="s">
        <v>276</v>
      </c>
      <c r="D1178" s="3">
        <f>VLOOKUP(B1178,Sheet2!$A:$O,7,0)</f>
        <v>0</v>
      </c>
    </row>
    <row r="1179" spans="1:4">
      <c r="A1179" s="8" t="s">
        <v>400</v>
      </c>
      <c r="B1179" s="2">
        <v>1700010</v>
      </c>
      <c r="C1179" s="2" t="s">
        <v>277</v>
      </c>
      <c r="D1179" s="3">
        <f>VLOOKUP(B1179,Sheet2!$A:$O,7,0)</f>
        <v>3620</v>
      </c>
    </row>
    <row r="1180" spans="1:4">
      <c r="A1180" s="8" t="s">
        <v>400</v>
      </c>
      <c r="B1180" s="2">
        <v>1700011</v>
      </c>
      <c r="C1180" s="2" t="s">
        <v>278</v>
      </c>
      <c r="D1180" s="3">
        <f>VLOOKUP(B1180,Sheet2!$A:$O,7,0)</f>
        <v>11961</v>
      </c>
    </row>
    <row r="1181" spans="1:4">
      <c r="A1181" s="8" t="s">
        <v>400</v>
      </c>
      <c r="B1181" s="2">
        <v>1700012</v>
      </c>
      <c r="C1181" s="2" t="s">
        <v>279</v>
      </c>
      <c r="D1181" s="3">
        <f>VLOOKUP(B1181,Sheet2!$A:$O,7,0)</f>
        <v>12255</v>
      </c>
    </row>
    <row r="1182" spans="1:4">
      <c r="A1182" s="8" t="s">
        <v>400</v>
      </c>
      <c r="B1182" s="2">
        <v>1700013</v>
      </c>
      <c r="C1182" s="2" t="s">
        <v>280</v>
      </c>
      <c r="D1182" s="3">
        <f>VLOOKUP(B1182,Sheet2!$A:$O,7,0)</f>
        <v>657</v>
      </c>
    </row>
    <row r="1183" spans="1:4">
      <c r="A1183" s="8" t="s">
        <v>400</v>
      </c>
      <c r="B1183" s="2">
        <v>1700014</v>
      </c>
      <c r="C1183" s="2" t="s">
        <v>194</v>
      </c>
      <c r="D1183" s="3">
        <f>VLOOKUP(B1183,Sheet2!$A:$O,7,0)</f>
        <v>2255</v>
      </c>
    </row>
    <row r="1184" spans="1:4">
      <c r="A1184" s="8" t="s">
        <v>400</v>
      </c>
      <c r="B1184" s="2">
        <v>1700015</v>
      </c>
      <c r="C1184" s="2" t="s">
        <v>281</v>
      </c>
      <c r="D1184" s="3">
        <f>VLOOKUP(B1184,Sheet2!$A:$O,7,0)</f>
        <v>2552</v>
      </c>
    </row>
    <row r="1185" spans="1:4">
      <c r="A1185" s="8" t="s">
        <v>400</v>
      </c>
      <c r="B1185" s="2">
        <v>1700016</v>
      </c>
      <c r="C1185" s="2" t="s">
        <v>282</v>
      </c>
      <c r="D1185" s="3">
        <f>VLOOKUP(B1185,Sheet2!$A:$O,7,0)</f>
        <v>3951</v>
      </c>
    </row>
    <row r="1186" spans="1:4">
      <c r="A1186" s="8" t="s">
        <v>400</v>
      </c>
      <c r="B1186" s="2">
        <v>1700017</v>
      </c>
      <c r="C1186" s="2" t="s">
        <v>283</v>
      </c>
      <c r="D1186" s="3">
        <f>VLOOKUP(B1186,Sheet2!$A:$O,7,0)</f>
        <v>8922</v>
      </c>
    </row>
    <row r="1187" spans="1:4">
      <c r="A1187" s="8" t="s">
        <v>400</v>
      </c>
      <c r="B1187" s="2">
        <v>1700018</v>
      </c>
      <c r="C1187" s="2" t="s">
        <v>284</v>
      </c>
      <c r="D1187" s="3">
        <f>VLOOKUP(B1187,Sheet2!$A:$O,7,0)</f>
        <v>3992</v>
      </c>
    </row>
    <row r="1188" spans="1:4">
      <c r="A1188" s="8" t="s">
        <v>400</v>
      </c>
      <c r="B1188" s="2">
        <v>1700019</v>
      </c>
      <c r="C1188" s="2" t="s">
        <v>285</v>
      </c>
      <c r="D1188" s="3">
        <f>VLOOKUP(B1188,Sheet2!$A:$O,7,0)</f>
        <v>0</v>
      </c>
    </row>
    <row r="1189" spans="1:4">
      <c r="A1189" s="8" t="s">
        <v>400</v>
      </c>
      <c r="B1189" s="2">
        <v>1700020</v>
      </c>
      <c r="C1189" s="2" t="s">
        <v>286</v>
      </c>
      <c r="D1189" s="3">
        <f>VLOOKUP(B1189,Sheet2!$A:$O,7,0)</f>
        <v>49412</v>
      </c>
    </row>
    <row r="1190" spans="1:4">
      <c r="A1190" s="8" t="s">
        <v>400</v>
      </c>
      <c r="B1190" s="2">
        <v>1700021</v>
      </c>
      <c r="C1190" s="2" t="s">
        <v>287</v>
      </c>
      <c r="D1190" s="3">
        <f>VLOOKUP(B1190,Sheet2!$A:$O,7,0)</f>
        <v>73216</v>
      </c>
    </row>
    <row r="1191" spans="1:4">
      <c r="A1191" s="8" t="s">
        <v>400</v>
      </c>
      <c r="B1191" s="2">
        <v>1700022</v>
      </c>
      <c r="C1191" s="2" t="s">
        <v>288</v>
      </c>
      <c r="D1191" s="3">
        <f>VLOOKUP(B1191,Sheet2!$A:$O,7,0)</f>
        <v>33706</v>
      </c>
    </row>
    <row r="1192" spans="1:4">
      <c r="A1192" s="8" t="s">
        <v>400</v>
      </c>
      <c r="B1192" s="2">
        <v>1700023</v>
      </c>
      <c r="C1192" s="2" t="s">
        <v>289</v>
      </c>
      <c r="D1192" s="3">
        <f>VLOOKUP(B1192,Sheet2!$A:$O,7,0)</f>
        <v>6343</v>
      </c>
    </row>
    <row r="1193" spans="1:4">
      <c r="A1193" s="8" t="s">
        <v>400</v>
      </c>
      <c r="B1193" s="2">
        <v>1700024</v>
      </c>
      <c r="C1193" s="2" t="s">
        <v>290</v>
      </c>
      <c r="D1193" s="3">
        <f>VLOOKUP(B1193,Sheet2!$A:$O,7,0)</f>
        <v>0</v>
      </c>
    </row>
    <row r="1194" spans="1:4">
      <c r="A1194" s="8" t="s">
        <v>400</v>
      </c>
      <c r="B1194" s="2">
        <v>1700025</v>
      </c>
      <c r="C1194" s="2" t="s">
        <v>291</v>
      </c>
      <c r="D1194" s="3">
        <f>VLOOKUP(B1194,Sheet2!$A:$O,7,0)</f>
        <v>0</v>
      </c>
    </row>
    <row r="1195" spans="1:4">
      <c r="A1195" s="8" t="s">
        <v>400</v>
      </c>
      <c r="B1195" s="2">
        <v>1700026</v>
      </c>
      <c r="C1195" s="2" t="s">
        <v>292</v>
      </c>
      <c r="D1195" s="3">
        <f>VLOOKUP(B1195,Sheet2!$A:$O,7,0)</f>
        <v>4412</v>
      </c>
    </row>
    <row r="1196" spans="1:4">
      <c r="A1196" s="8" t="s">
        <v>400</v>
      </c>
      <c r="B1196" s="2">
        <v>1700027</v>
      </c>
      <c r="C1196" s="2" t="s">
        <v>293</v>
      </c>
      <c r="D1196" s="3">
        <f>VLOOKUP(B1196,Sheet2!$A:$O,7,0)</f>
        <v>4700</v>
      </c>
    </row>
    <row r="1197" spans="1:4">
      <c r="A1197" s="8" t="s">
        <v>400</v>
      </c>
      <c r="B1197" s="2">
        <v>1700028</v>
      </c>
      <c r="C1197" s="2" t="s">
        <v>294</v>
      </c>
      <c r="D1197" s="3">
        <f>VLOOKUP(B1197,Sheet2!$A:$O,7,0)</f>
        <v>9500</v>
      </c>
    </row>
    <row r="1198" spans="1:4">
      <c r="A1198" s="8" t="s">
        <v>400</v>
      </c>
      <c r="B1198" s="2">
        <v>1700029</v>
      </c>
      <c r="C1198" s="2" t="s">
        <v>295</v>
      </c>
      <c r="D1198" s="3">
        <f>VLOOKUP(B1198,Sheet2!$A:$O,7,0)</f>
        <v>10670</v>
      </c>
    </row>
    <row r="1199" spans="1:4">
      <c r="A1199" s="8" t="s">
        <v>400</v>
      </c>
      <c r="B1199" s="2">
        <v>1700030</v>
      </c>
      <c r="C1199" s="2" t="s">
        <v>296</v>
      </c>
      <c r="D1199" s="3">
        <f>VLOOKUP(B1199,Sheet2!$A:$O,7,0)</f>
        <v>12720</v>
      </c>
    </row>
    <row r="1200" spans="1:4">
      <c r="A1200" s="8" t="s">
        <v>400</v>
      </c>
      <c r="B1200" s="2">
        <v>1700031</v>
      </c>
      <c r="C1200" s="2" t="s">
        <v>196</v>
      </c>
      <c r="D1200" s="3">
        <f>VLOOKUP(B1200,Sheet2!$A:$O,7,0)</f>
        <v>1961</v>
      </c>
    </row>
    <row r="1201" spans="1:4">
      <c r="A1201" s="8" t="s">
        <v>400</v>
      </c>
      <c r="B1201" s="2">
        <v>1700032</v>
      </c>
      <c r="C1201" s="2" t="s">
        <v>297</v>
      </c>
      <c r="D1201" s="3">
        <f>VLOOKUP(B1201,Sheet2!$A:$O,7,0)</f>
        <v>0</v>
      </c>
    </row>
    <row r="1202" spans="1:4">
      <c r="A1202" s="8" t="s">
        <v>400</v>
      </c>
      <c r="B1202" s="2">
        <v>1700033</v>
      </c>
      <c r="C1202" s="2" t="s">
        <v>298</v>
      </c>
      <c r="D1202" s="3">
        <f>VLOOKUP(B1202,Sheet2!$A:$O,7,0)</f>
        <v>0</v>
      </c>
    </row>
    <row r="1203" spans="1:4">
      <c r="A1203" s="8" t="s">
        <v>400</v>
      </c>
      <c r="B1203" s="2">
        <v>1700034</v>
      </c>
      <c r="C1203" s="2" t="s">
        <v>299</v>
      </c>
      <c r="D1203" s="3">
        <f>VLOOKUP(B1203,Sheet2!$A:$O,7,0)</f>
        <v>15125</v>
      </c>
    </row>
    <row r="1204" spans="1:4">
      <c r="A1204" s="8" t="s">
        <v>400</v>
      </c>
      <c r="B1204" s="2">
        <v>1700035</v>
      </c>
      <c r="C1204" s="2" t="s">
        <v>300</v>
      </c>
      <c r="D1204" s="3">
        <f>VLOOKUP(B1204,Sheet2!$A:$O,7,0)</f>
        <v>34000</v>
      </c>
    </row>
    <row r="1205" spans="1:4">
      <c r="A1205" s="8" t="s">
        <v>400</v>
      </c>
      <c r="B1205" s="2">
        <v>1700036</v>
      </c>
      <c r="C1205" s="2" t="s">
        <v>301</v>
      </c>
      <c r="D1205" s="3">
        <f>VLOOKUP(B1205,Sheet2!$A:$O,7,0)</f>
        <v>5200</v>
      </c>
    </row>
    <row r="1206" spans="1:4">
      <c r="A1206" s="8" t="s">
        <v>400</v>
      </c>
      <c r="B1206" s="2">
        <v>1700037</v>
      </c>
      <c r="C1206" s="2" t="s">
        <v>302</v>
      </c>
      <c r="D1206" s="3">
        <f>VLOOKUP(B1206,Sheet2!$A:$O,7,0)</f>
        <v>7533</v>
      </c>
    </row>
    <row r="1207" spans="1:4">
      <c r="A1207" s="8" t="s">
        <v>400</v>
      </c>
      <c r="B1207" s="2">
        <v>1700038</v>
      </c>
      <c r="C1207" s="2" t="s">
        <v>303</v>
      </c>
      <c r="D1207" s="3">
        <f>VLOOKUP(B1207,Sheet2!$A:$O,7,0)</f>
        <v>2559</v>
      </c>
    </row>
    <row r="1208" spans="1:4">
      <c r="A1208" s="8" t="s">
        <v>400</v>
      </c>
      <c r="B1208" s="2">
        <v>1700039</v>
      </c>
      <c r="C1208" s="2" t="s">
        <v>304</v>
      </c>
      <c r="D1208" s="3">
        <f>VLOOKUP(B1208,Sheet2!$A:$O,7,0)</f>
        <v>2000</v>
      </c>
    </row>
    <row r="1209" spans="1:4">
      <c r="A1209" s="8" t="s">
        <v>400</v>
      </c>
      <c r="B1209" s="2">
        <v>1700040</v>
      </c>
      <c r="C1209" s="2" t="s">
        <v>305</v>
      </c>
      <c r="D1209" s="3">
        <f>VLOOKUP(B1209,Sheet2!$A:$O,7,0)</f>
        <v>1967</v>
      </c>
    </row>
    <row r="1210" spans="1:4">
      <c r="A1210" s="8" t="s">
        <v>400</v>
      </c>
      <c r="B1210" s="2">
        <v>1700041</v>
      </c>
      <c r="C1210" s="2" t="s">
        <v>306</v>
      </c>
      <c r="D1210" s="3">
        <f>VLOOKUP(B1210,Sheet2!$A:$O,7,0)</f>
        <v>3000</v>
      </c>
    </row>
    <row r="1211" spans="1:4">
      <c r="A1211" s="8" t="s">
        <v>400</v>
      </c>
      <c r="B1211" s="2">
        <v>1700042</v>
      </c>
      <c r="C1211" s="2" t="s">
        <v>307</v>
      </c>
      <c r="D1211" s="3">
        <f>VLOOKUP(B1211,Sheet2!$A:$O,7,0)</f>
        <v>3220</v>
      </c>
    </row>
    <row r="1212" spans="1:4">
      <c r="A1212" s="8" t="s">
        <v>400</v>
      </c>
      <c r="B1212" s="2">
        <v>1700043</v>
      </c>
      <c r="C1212" s="2" t="s">
        <v>308</v>
      </c>
      <c r="D1212" s="3">
        <f>VLOOKUP(B1212,Sheet2!$A:$O,7,0)</f>
        <v>4652</v>
      </c>
    </row>
    <row r="1213" spans="1:4">
      <c r="A1213" s="8" t="s">
        <v>400</v>
      </c>
      <c r="B1213" s="2">
        <v>1700044</v>
      </c>
      <c r="C1213" s="2" t="s">
        <v>309</v>
      </c>
      <c r="D1213" s="3">
        <f>VLOOKUP(B1213,Sheet2!$A:$O,7,0)</f>
        <v>7000</v>
      </c>
    </row>
    <row r="1214" spans="1:4">
      <c r="A1214" s="8" t="s">
        <v>400</v>
      </c>
      <c r="B1214" s="2">
        <v>1700045</v>
      </c>
      <c r="C1214" s="2" t="s">
        <v>310</v>
      </c>
      <c r="D1214" s="3">
        <f>VLOOKUP(B1214,Sheet2!$A:$O,7,0)</f>
        <v>4180</v>
      </c>
    </row>
    <row r="1215" spans="1:4">
      <c r="A1215" s="8" t="s">
        <v>400</v>
      </c>
      <c r="B1215" s="2">
        <v>1700046</v>
      </c>
      <c r="C1215" s="2" t="s">
        <v>311</v>
      </c>
      <c r="D1215" s="3">
        <f>VLOOKUP(B1215,Sheet2!$A:$O,7,0)</f>
        <v>6176</v>
      </c>
    </row>
    <row r="1216" spans="1:4">
      <c r="A1216" s="8" t="s">
        <v>400</v>
      </c>
      <c r="B1216" s="2">
        <v>1700047</v>
      </c>
      <c r="C1216" s="2" t="s">
        <v>312</v>
      </c>
      <c r="D1216" s="3">
        <f>VLOOKUP(B1216,Sheet2!$A:$O,7,0)</f>
        <v>22150</v>
      </c>
    </row>
    <row r="1217" spans="1:4">
      <c r="A1217" s="8" t="s">
        <v>400</v>
      </c>
      <c r="B1217" s="2">
        <v>1700048</v>
      </c>
      <c r="C1217" s="2" t="s">
        <v>313</v>
      </c>
      <c r="D1217" s="3">
        <f>VLOOKUP(B1217,Sheet2!$A:$O,7,0)</f>
        <v>13330</v>
      </c>
    </row>
    <row r="1218" spans="1:4">
      <c r="A1218" s="8" t="s">
        <v>400</v>
      </c>
      <c r="B1218" s="2">
        <v>1700049</v>
      </c>
      <c r="C1218" s="2" t="s">
        <v>314</v>
      </c>
      <c r="D1218" s="3">
        <f>VLOOKUP(B1218,Sheet2!$A:$O,7,0)</f>
        <v>5785</v>
      </c>
    </row>
    <row r="1219" spans="1:4">
      <c r="A1219" s="8" t="s">
        <v>400</v>
      </c>
      <c r="B1219" s="2">
        <v>1700050</v>
      </c>
      <c r="C1219" s="2" t="s">
        <v>315</v>
      </c>
      <c r="D1219" s="3">
        <f>VLOOKUP(B1219,Sheet2!$A:$O,7,0)</f>
        <v>39000</v>
      </c>
    </row>
    <row r="1220" spans="1:4">
      <c r="A1220" s="8" t="s">
        <v>400</v>
      </c>
      <c r="B1220" s="2">
        <v>1700051</v>
      </c>
      <c r="C1220" s="2" t="s">
        <v>316</v>
      </c>
      <c r="D1220" s="3">
        <f>VLOOKUP(B1220,Sheet2!$A:$O,7,0)</f>
        <v>11500</v>
      </c>
    </row>
    <row r="1221" spans="1:4">
      <c r="A1221" s="8" t="s">
        <v>400</v>
      </c>
      <c r="B1221" s="2">
        <v>1700052</v>
      </c>
      <c r="C1221" s="2" t="s">
        <v>317</v>
      </c>
      <c r="D1221" s="3">
        <f>VLOOKUP(B1221,Sheet2!$A:$O,7,0)</f>
        <v>3444</v>
      </c>
    </row>
    <row r="1222" spans="1:4">
      <c r="A1222" s="8" t="s">
        <v>400</v>
      </c>
      <c r="B1222" s="2">
        <v>1700053</v>
      </c>
      <c r="C1222" s="2" t="s">
        <v>318</v>
      </c>
      <c r="D1222" s="3">
        <f>VLOOKUP(B1222,Sheet2!$A:$O,7,0)</f>
        <v>15530</v>
      </c>
    </row>
    <row r="1223" spans="1:4">
      <c r="A1223" s="8" t="s">
        <v>400</v>
      </c>
      <c r="B1223" s="2">
        <v>1700054</v>
      </c>
      <c r="C1223" s="2" t="s">
        <v>319</v>
      </c>
      <c r="D1223" s="3">
        <f>VLOOKUP(B1223,Sheet2!$A:$O,7,0)</f>
        <v>11670</v>
      </c>
    </row>
    <row r="1224" spans="1:4">
      <c r="A1224" s="8" t="s">
        <v>400</v>
      </c>
      <c r="B1224" s="2">
        <v>1700055</v>
      </c>
      <c r="C1224" s="2" t="s">
        <v>320</v>
      </c>
      <c r="D1224" s="3">
        <f>VLOOKUP(B1224,Sheet2!$A:$O,7,0)</f>
        <v>11940</v>
      </c>
    </row>
    <row r="1225" spans="1:4">
      <c r="A1225" s="8" t="s">
        <v>400</v>
      </c>
      <c r="B1225" s="2">
        <v>1700056</v>
      </c>
      <c r="C1225" s="2" t="s">
        <v>321</v>
      </c>
      <c r="D1225" s="3">
        <f>VLOOKUP(B1225,Sheet2!$A:$O,7,0)</f>
        <v>6147</v>
      </c>
    </row>
    <row r="1226" spans="1:4">
      <c r="A1226" s="8" t="s">
        <v>400</v>
      </c>
      <c r="B1226" s="2">
        <v>1700057</v>
      </c>
      <c r="C1226" s="2" t="s">
        <v>322</v>
      </c>
      <c r="D1226" s="3">
        <f>VLOOKUP(B1226,Sheet2!$A:$O,7,0)</f>
        <v>2098</v>
      </c>
    </row>
    <row r="1227" spans="1:4">
      <c r="A1227" s="8" t="s">
        <v>400</v>
      </c>
      <c r="B1227" s="2">
        <v>1700058</v>
      </c>
      <c r="C1227" s="2" t="s">
        <v>323</v>
      </c>
      <c r="D1227" s="3">
        <f>VLOOKUP(B1227,Sheet2!$A:$O,7,0)</f>
        <v>5800</v>
      </c>
    </row>
    <row r="1228" spans="1:4">
      <c r="A1228" s="8" t="s">
        <v>400</v>
      </c>
      <c r="B1228" s="2">
        <v>1700059</v>
      </c>
      <c r="C1228" s="2" t="s">
        <v>324</v>
      </c>
      <c r="D1228" s="3">
        <f>VLOOKUP(B1228,Sheet2!$A:$O,7,0)</f>
        <v>27667</v>
      </c>
    </row>
    <row r="1229" spans="1:4">
      <c r="A1229" s="8" t="s">
        <v>400</v>
      </c>
      <c r="B1229" s="2">
        <v>1700060</v>
      </c>
      <c r="C1229" s="2" t="s">
        <v>325</v>
      </c>
      <c r="D1229" s="3">
        <f>VLOOKUP(B1229,Sheet2!$A:$O,7,0)</f>
        <v>5314</v>
      </c>
    </row>
    <row r="1230" spans="1:4">
      <c r="A1230" s="8" t="s">
        <v>400</v>
      </c>
      <c r="B1230" s="2">
        <v>1700061</v>
      </c>
      <c r="C1230" s="2" t="s">
        <v>326</v>
      </c>
      <c r="D1230" s="3">
        <f>VLOOKUP(B1230,Sheet2!$A:$O,7,0)</f>
        <v>8920</v>
      </c>
    </row>
    <row r="1231" spans="1:4">
      <c r="A1231" s="8" t="s">
        <v>400</v>
      </c>
      <c r="B1231" s="2">
        <v>1700062</v>
      </c>
      <c r="C1231" s="2" t="s">
        <v>327</v>
      </c>
      <c r="D1231" s="3">
        <f>VLOOKUP(B1231,Sheet2!$A:$O,7,0)</f>
        <v>10520</v>
      </c>
    </row>
    <row r="1232" spans="1:4">
      <c r="A1232" s="8" t="s">
        <v>400</v>
      </c>
      <c r="B1232" s="2">
        <v>1700063</v>
      </c>
      <c r="C1232" s="2" t="s">
        <v>328</v>
      </c>
      <c r="D1232" s="3">
        <f>VLOOKUP(B1232,Sheet2!$A:$O,7,0)</f>
        <v>10550</v>
      </c>
    </row>
    <row r="1233" spans="1:4">
      <c r="A1233" s="8" t="s">
        <v>400</v>
      </c>
      <c r="B1233" s="2">
        <v>1700064</v>
      </c>
      <c r="C1233" s="2" t="s">
        <v>329</v>
      </c>
      <c r="D1233" s="3">
        <f>VLOOKUP(B1233,Sheet2!$A:$O,7,0)</f>
        <v>11060</v>
      </c>
    </row>
    <row r="1234" spans="1:4">
      <c r="A1234" s="8" t="s">
        <v>400</v>
      </c>
      <c r="B1234" s="2">
        <v>1700065</v>
      </c>
      <c r="C1234" s="2" t="s">
        <v>330</v>
      </c>
      <c r="D1234" s="3">
        <f>VLOOKUP(B1234,Sheet2!$A:$O,7,0)</f>
        <v>12760</v>
      </c>
    </row>
    <row r="1235" spans="1:4">
      <c r="A1235" s="8" t="s">
        <v>400</v>
      </c>
      <c r="B1235" s="2">
        <v>1700066</v>
      </c>
      <c r="C1235" s="2" t="s">
        <v>331</v>
      </c>
      <c r="D1235" s="3">
        <f>VLOOKUP(B1235,Sheet2!$A:$O,7,0)</f>
        <v>13200</v>
      </c>
    </row>
    <row r="1236" spans="1:4">
      <c r="A1236" s="8" t="s">
        <v>400</v>
      </c>
      <c r="B1236" s="2">
        <v>1700067</v>
      </c>
      <c r="C1236" s="2" t="s">
        <v>332</v>
      </c>
      <c r="D1236" s="3">
        <f>VLOOKUP(B1236,Sheet2!$A:$O,7,0)</f>
        <v>10720</v>
      </c>
    </row>
    <row r="1237" spans="1:4">
      <c r="A1237" s="8" t="s">
        <v>400</v>
      </c>
      <c r="B1237" s="2">
        <v>1700068</v>
      </c>
      <c r="C1237" s="2" t="s">
        <v>333</v>
      </c>
      <c r="D1237" s="3">
        <f>VLOOKUP(B1237,Sheet2!$A:$O,7,0)</f>
        <v>12720</v>
      </c>
    </row>
    <row r="1238" spans="1:4">
      <c r="A1238" s="8" t="s">
        <v>400</v>
      </c>
      <c r="B1238" s="2">
        <v>1700069</v>
      </c>
      <c r="C1238" s="2" t="s">
        <v>334</v>
      </c>
      <c r="D1238" s="3">
        <f>VLOOKUP(B1238,Sheet2!$A:$O,7,0)</f>
        <v>14000</v>
      </c>
    </row>
    <row r="1239" spans="1:4">
      <c r="A1239" s="8" t="s">
        <v>400</v>
      </c>
      <c r="B1239" s="2">
        <v>1700070</v>
      </c>
      <c r="C1239" s="2" t="s">
        <v>335</v>
      </c>
      <c r="D1239" s="3">
        <f>VLOOKUP(B1239,Sheet2!$A:$O,7,0)</f>
        <v>1618</v>
      </c>
    </row>
    <row r="1240" spans="1:4">
      <c r="A1240" s="8" t="s">
        <v>400</v>
      </c>
      <c r="B1240" s="2">
        <v>1700071</v>
      </c>
      <c r="C1240" s="2" t="s">
        <v>336</v>
      </c>
      <c r="D1240" s="3">
        <f>VLOOKUP(B1240,Sheet2!$A:$O,7,0)</f>
        <v>12190</v>
      </c>
    </row>
    <row r="1241" spans="1:4">
      <c r="A1241" s="8" t="s">
        <v>400</v>
      </c>
      <c r="B1241" s="2">
        <v>1700072</v>
      </c>
      <c r="C1241" s="2" t="s">
        <v>337</v>
      </c>
      <c r="D1241" s="3">
        <f>VLOOKUP(B1241,Sheet2!$A:$O,7,0)</f>
        <v>10180</v>
      </c>
    </row>
    <row r="1242" spans="1:4">
      <c r="A1242" s="8" t="s">
        <v>400</v>
      </c>
      <c r="B1242" s="2">
        <v>1700073</v>
      </c>
      <c r="C1242" s="2" t="s">
        <v>338</v>
      </c>
      <c r="D1242" s="3">
        <f>VLOOKUP(B1242,Sheet2!$A:$O,7,0)</f>
        <v>9020</v>
      </c>
    </row>
    <row r="1243" spans="1:4">
      <c r="A1243" s="8" t="s">
        <v>400</v>
      </c>
      <c r="B1243" s="2">
        <v>1700076</v>
      </c>
      <c r="C1243" s="2" t="s">
        <v>339</v>
      </c>
      <c r="D1243" s="3">
        <f>VLOOKUP(B1243,Sheet2!$A:$O,7,0)</f>
        <v>3735</v>
      </c>
    </row>
    <row r="1244" spans="1:4">
      <c r="A1244" s="8" t="s">
        <v>400</v>
      </c>
      <c r="B1244" s="2">
        <v>1700077</v>
      </c>
      <c r="C1244" s="2" t="s">
        <v>340</v>
      </c>
      <c r="D1244" s="3">
        <f>VLOOKUP(B1244,Sheet2!$A:$O,7,0)</f>
        <v>3490</v>
      </c>
    </row>
    <row r="1245" spans="1:4">
      <c r="A1245" s="8" t="s">
        <v>400</v>
      </c>
      <c r="B1245" s="2">
        <v>1700078</v>
      </c>
      <c r="C1245" s="2" t="s">
        <v>341</v>
      </c>
      <c r="D1245" s="3">
        <f>VLOOKUP(B1245,Sheet2!$A:$O,7,0)</f>
        <v>4284</v>
      </c>
    </row>
    <row r="1246" spans="1:4">
      <c r="A1246" s="8" t="s">
        <v>400</v>
      </c>
      <c r="B1246" s="2">
        <v>1700080</v>
      </c>
      <c r="C1246" s="2" t="s">
        <v>342</v>
      </c>
      <c r="D1246" s="3">
        <f>VLOOKUP(B1246,Sheet2!$A:$O,7,0)</f>
        <v>3529</v>
      </c>
    </row>
    <row r="1247" spans="1:4">
      <c r="A1247" s="8" t="s">
        <v>400</v>
      </c>
      <c r="B1247" s="2">
        <v>1700083</v>
      </c>
      <c r="C1247" s="2" t="s">
        <v>343</v>
      </c>
      <c r="D1247" s="3">
        <f>VLOOKUP(B1247,Sheet2!$A:$O,7,0)</f>
        <v>5738</v>
      </c>
    </row>
    <row r="1248" spans="1:4">
      <c r="A1248" s="8" t="s">
        <v>400</v>
      </c>
      <c r="B1248" s="2">
        <v>1700084</v>
      </c>
      <c r="C1248" s="2" t="s">
        <v>344</v>
      </c>
      <c r="D1248" s="3">
        <f>VLOOKUP(B1248,Sheet2!$A:$O,7,0)</f>
        <v>10882</v>
      </c>
    </row>
    <row r="1249" spans="1:4">
      <c r="A1249" s="8" t="s">
        <v>400</v>
      </c>
      <c r="B1249" s="2">
        <v>1700085</v>
      </c>
      <c r="C1249" s="2" t="s">
        <v>345</v>
      </c>
      <c r="D1249" s="3">
        <f>VLOOKUP(B1249,Sheet2!$A:$O,7,0)</f>
        <v>7860</v>
      </c>
    </row>
    <row r="1250" spans="1:4">
      <c r="A1250" s="8" t="s">
        <v>400</v>
      </c>
      <c r="B1250" s="2">
        <v>1700086</v>
      </c>
      <c r="C1250" s="2" t="s">
        <v>346</v>
      </c>
      <c r="D1250" s="3">
        <f>VLOOKUP(B1250,Sheet2!$A:$O,7,0)</f>
        <v>2657</v>
      </c>
    </row>
    <row r="1251" spans="1:4">
      <c r="A1251" s="8" t="s">
        <v>400</v>
      </c>
      <c r="B1251" s="2">
        <v>1700087</v>
      </c>
      <c r="C1251" s="2" t="s">
        <v>347</v>
      </c>
      <c r="D1251" s="3">
        <f>VLOOKUP(B1251,Sheet2!$A:$O,7,0)</f>
        <v>4660</v>
      </c>
    </row>
    <row r="1252" spans="1:4">
      <c r="A1252" s="8" t="s">
        <v>400</v>
      </c>
      <c r="B1252" s="2">
        <v>1700088</v>
      </c>
      <c r="C1252" s="2" t="s">
        <v>348</v>
      </c>
      <c r="D1252" s="3">
        <f>VLOOKUP(B1252,Sheet2!$A:$O,7,0)</f>
        <v>15500</v>
      </c>
    </row>
    <row r="1253" spans="1:4">
      <c r="A1253" s="8" t="s">
        <v>400</v>
      </c>
      <c r="B1253" s="2">
        <v>1700089</v>
      </c>
      <c r="C1253" s="2" t="s">
        <v>349</v>
      </c>
      <c r="D1253" s="3">
        <f>VLOOKUP(B1253,Sheet2!$A:$O,7,0)</f>
        <v>18500</v>
      </c>
    </row>
    <row r="1254" spans="1:4">
      <c r="A1254" s="8" t="s">
        <v>400</v>
      </c>
      <c r="B1254" s="2">
        <v>1700090</v>
      </c>
      <c r="C1254" s="2" t="s">
        <v>350</v>
      </c>
      <c r="D1254" s="3">
        <f>VLOOKUP(B1254,Sheet2!$A:$O,7,0)</f>
        <v>25490</v>
      </c>
    </row>
    <row r="1255" spans="1:4">
      <c r="A1255" s="8" t="s">
        <v>400</v>
      </c>
      <c r="B1255" s="2">
        <v>1700091</v>
      </c>
      <c r="C1255" s="2" t="s">
        <v>351</v>
      </c>
      <c r="D1255" s="3">
        <f>VLOOKUP(B1255,Sheet2!$A:$O,7,0)</f>
        <v>18000</v>
      </c>
    </row>
    <row r="1256" spans="1:4">
      <c r="A1256" s="8" t="s">
        <v>400</v>
      </c>
      <c r="B1256" s="2">
        <v>1700092</v>
      </c>
      <c r="C1256" s="2" t="s">
        <v>352</v>
      </c>
      <c r="D1256" s="3">
        <f>VLOOKUP(B1256,Sheet2!$A:$O,7,0)</f>
        <v>2961</v>
      </c>
    </row>
    <row r="1257" spans="1:4">
      <c r="A1257" s="8" t="s">
        <v>400</v>
      </c>
      <c r="B1257" s="2">
        <v>1700093</v>
      </c>
      <c r="C1257" s="2" t="s">
        <v>353</v>
      </c>
      <c r="D1257" s="3">
        <f>VLOOKUP(B1257,Sheet2!$A:$O,7,0)</f>
        <v>23760</v>
      </c>
    </row>
    <row r="1258" spans="1:4">
      <c r="A1258" s="8" t="s">
        <v>400</v>
      </c>
      <c r="B1258" s="2">
        <v>1700094</v>
      </c>
      <c r="C1258" s="2" t="s">
        <v>354</v>
      </c>
      <c r="D1258" s="3">
        <f>VLOOKUP(B1258,Sheet2!$A:$O,7,0)</f>
        <v>13529</v>
      </c>
    </row>
    <row r="1259" spans="1:4">
      <c r="A1259" s="8" t="s">
        <v>400</v>
      </c>
      <c r="B1259" s="2">
        <v>1700095</v>
      </c>
      <c r="C1259" s="2" t="s">
        <v>355</v>
      </c>
      <c r="D1259" s="3">
        <f>VLOOKUP(B1259,Sheet2!$A:$O,7,0)</f>
        <v>4500</v>
      </c>
    </row>
    <row r="1260" spans="1:4">
      <c r="A1260" s="8" t="s">
        <v>400</v>
      </c>
      <c r="B1260" s="2">
        <v>1700096</v>
      </c>
      <c r="C1260" s="2" t="s">
        <v>356</v>
      </c>
      <c r="D1260" s="3">
        <f>VLOOKUP(B1260,Sheet2!$A:$O,7,0)</f>
        <v>24510</v>
      </c>
    </row>
    <row r="1261" spans="1:4">
      <c r="A1261" s="8" t="s">
        <v>400</v>
      </c>
      <c r="B1261" s="2">
        <v>1700097</v>
      </c>
      <c r="C1261" s="2" t="s">
        <v>357</v>
      </c>
      <c r="D1261" s="3">
        <f>VLOOKUP(B1261,Sheet2!$A:$O,7,0)</f>
        <v>19608</v>
      </c>
    </row>
    <row r="1262" spans="1:4">
      <c r="A1262" s="8" t="s">
        <v>400</v>
      </c>
      <c r="B1262" s="2">
        <v>1700098</v>
      </c>
      <c r="C1262" s="2" t="s">
        <v>358</v>
      </c>
      <c r="D1262" s="3">
        <f>VLOOKUP(B1262,Sheet2!$A:$O,7,0)</f>
        <v>19608</v>
      </c>
    </row>
    <row r="1263" spans="1:4">
      <c r="A1263" s="8" t="s">
        <v>400</v>
      </c>
      <c r="B1263" s="2">
        <v>1700099</v>
      </c>
      <c r="C1263" s="2" t="s">
        <v>359</v>
      </c>
      <c r="D1263" s="3">
        <f>VLOOKUP(B1263,Sheet2!$A:$O,7,0)</f>
        <v>9000</v>
      </c>
    </row>
    <row r="1264" spans="1:4">
      <c r="A1264" s="8" t="s">
        <v>400</v>
      </c>
      <c r="B1264" s="2">
        <v>1700100</v>
      </c>
      <c r="C1264" s="2" t="s">
        <v>360</v>
      </c>
      <c r="D1264" s="3">
        <f>VLOOKUP(B1264,Sheet2!$A:$O,7,0)</f>
        <v>3030</v>
      </c>
    </row>
    <row r="1265" spans="1:4">
      <c r="A1265" s="8" t="s">
        <v>400</v>
      </c>
      <c r="B1265" s="2">
        <v>1700101</v>
      </c>
      <c r="C1265" s="2" t="s">
        <v>361</v>
      </c>
      <c r="D1265" s="3">
        <f>VLOOKUP(B1265,Sheet2!$A:$O,7,0)</f>
        <v>7451</v>
      </c>
    </row>
    <row r="1266" spans="1:4">
      <c r="A1266" s="8" t="s">
        <v>400</v>
      </c>
      <c r="B1266" s="2">
        <v>1700102</v>
      </c>
      <c r="C1266" s="2" t="s">
        <v>362</v>
      </c>
      <c r="D1266" s="3">
        <f>VLOOKUP(B1266,Sheet2!$A:$O,7,0)</f>
        <v>40197</v>
      </c>
    </row>
    <row r="1267" spans="1:4">
      <c r="A1267" s="8" t="s">
        <v>400</v>
      </c>
      <c r="B1267" s="2">
        <v>1700103</v>
      </c>
      <c r="C1267" s="2" t="s">
        <v>363</v>
      </c>
      <c r="D1267" s="3">
        <f>VLOOKUP(B1267,Sheet2!$A:$O,7,0)</f>
        <v>9000</v>
      </c>
    </row>
    <row r="1268" spans="1:4">
      <c r="A1268" s="8" t="s">
        <v>400</v>
      </c>
      <c r="B1268" s="2">
        <v>1700104</v>
      </c>
      <c r="C1268" s="2" t="s">
        <v>364</v>
      </c>
      <c r="D1268" s="3">
        <f>VLOOKUP(B1268,Sheet2!$A:$O,7,0)</f>
        <v>36380</v>
      </c>
    </row>
    <row r="1269" spans="1:4">
      <c r="A1269" s="8" t="s">
        <v>400</v>
      </c>
      <c r="B1269" s="2">
        <v>1700105</v>
      </c>
      <c r="C1269" s="2" t="s">
        <v>365</v>
      </c>
      <c r="D1269" s="3">
        <f>VLOOKUP(B1269,Sheet2!$A:$O,7,0)</f>
        <v>10588</v>
      </c>
    </row>
    <row r="1270" spans="1:4">
      <c r="A1270" s="8" t="s">
        <v>400</v>
      </c>
      <c r="B1270" s="2">
        <v>1700106</v>
      </c>
      <c r="C1270" s="2" t="s">
        <v>366</v>
      </c>
      <c r="D1270" s="3">
        <f>VLOOKUP(B1270,Sheet2!$A:$O,7,0)</f>
        <v>14020</v>
      </c>
    </row>
    <row r="1271" spans="1:4">
      <c r="A1271" s="8" t="s">
        <v>400</v>
      </c>
      <c r="B1271" s="2">
        <v>1700107</v>
      </c>
      <c r="C1271" s="2" t="s">
        <v>367</v>
      </c>
      <c r="D1271" s="3">
        <f>VLOOKUP(B1271,Sheet2!$A:$O,7,0)</f>
        <v>9020</v>
      </c>
    </row>
    <row r="1272" spans="1:4">
      <c r="A1272" s="8" t="s">
        <v>400</v>
      </c>
      <c r="B1272" s="2">
        <v>1800002</v>
      </c>
      <c r="C1272" s="2" t="s">
        <v>368</v>
      </c>
      <c r="D1272" s="3">
        <f>VLOOKUP(B1272,Sheet2!$A:$O,7,0)</f>
        <v>9520</v>
      </c>
    </row>
    <row r="1273" spans="1:4">
      <c r="A1273" s="8" t="s">
        <v>400</v>
      </c>
      <c r="B1273" s="2">
        <v>1800004</v>
      </c>
      <c r="C1273" s="2" t="s">
        <v>369</v>
      </c>
      <c r="D1273" s="3">
        <f>VLOOKUP(B1273,Sheet2!$A:$O,7,0)</f>
        <v>0</v>
      </c>
    </row>
    <row r="1274" spans="1:4">
      <c r="A1274" s="8" t="s">
        <v>400</v>
      </c>
      <c r="B1274" s="2">
        <v>1800005</v>
      </c>
      <c r="C1274" s="2" t="s">
        <v>370</v>
      </c>
      <c r="D1274" s="3">
        <f>VLOOKUP(B1274,Sheet2!$A:$O,7,0)</f>
        <v>0</v>
      </c>
    </row>
    <row r="1275" spans="1:4">
      <c r="A1275" s="8" t="s">
        <v>400</v>
      </c>
      <c r="B1275" s="2">
        <v>1800006</v>
      </c>
      <c r="C1275" s="2" t="s">
        <v>371</v>
      </c>
      <c r="D1275" s="3">
        <f>VLOOKUP(B1275,Sheet2!$A:$O,7,0)</f>
        <v>0</v>
      </c>
    </row>
    <row r="1276" spans="1:4">
      <c r="A1276" s="8" t="s">
        <v>400</v>
      </c>
      <c r="B1276" s="2">
        <v>1800007</v>
      </c>
      <c r="C1276" s="2" t="s">
        <v>372</v>
      </c>
      <c r="D1276" s="3">
        <f>VLOOKUP(B1276,Sheet2!$A:$O,7,0)</f>
        <v>10000</v>
      </c>
    </row>
    <row r="1277" spans="1:4">
      <c r="A1277" s="8" t="s">
        <v>400</v>
      </c>
      <c r="B1277" s="2">
        <v>1800008</v>
      </c>
      <c r="C1277" s="2" t="s">
        <v>373</v>
      </c>
      <c r="D1277" s="3">
        <f>VLOOKUP(B1277,Sheet2!$A:$O,7,0)</f>
        <v>10110</v>
      </c>
    </row>
    <row r="1278" spans="1:4">
      <c r="A1278" s="8" t="s">
        <v>400</v>
      </c>
      <c r="B1278" s="2">
        <v>1800009</v>
      </c>
      <c r="C1278" s="2" t="s">
        <v>374</v>
      </c>
      <c r="D1278" s="3">
        <f>VLOOKUP(B1278,Sheet2!$A:$O,7,0)</f>
        <v>11800</v>
      </c>
    </row>
    <row r="1279" spans="1:4">
      <c r="A1279" s="8" t="s">
        <v>400</v>
      </c>
      <c r="B1279" s="2">
        <v>1800010</v>
      </c>
      <c r="C1279" s="2" t="s">
        <v>375</v>
      </c>
      <c r="D1279" s="3">
        <f>VLOOKUP(B1279,Sheet2!$A:$O,7,0)</f>
        <v>5784</v>
      </c>
    </row>
    <row r="1280" spans="1:4">
      <c r="A1280" s="8" t="s">
        <v>400</v>
      </c>
      <c r="B1280" s="2">
        <v>1800011</v>
      </c>
      <c r="C1280" s="2" t="s">
        <v>376</v>
      </c>
      <c r="D1280" s="3">
        <f>VLOOKUP(B1280,Sheet2!$A:$O,7,0)</f>
        <v>9363</v>
      </c>
    </row>
    <row r="1281" spans="1:4">
      <c r="A1281" s="8" t="s">
        <v>400</v>
      </c>
      <c r="B1281" s="2">
        <v>1800012</v>
      </c>
      <c r="C1281" s="2" t="s">
        <v>377</v>
      </c>
      <c r="D1281" s="3">
        <f>VLOOKUP(B1281,Sheet2!$A:$O,7,0)</f>
        <v>5725</v>
      </c>
    </row>
    <row r="1282" spans="1:4">
      <c r="A1282" s="8" t="s">
        <v>400</v>
      </c>
      <c r="B1282" s="2">
        <v>1800013</v>
      </c>
      <c r="C1282" s="2" t="s">
        <v>378</v>
      </c>
      <c r="D1282" s="3">
        <f>VLOOKUP(B1282,Sheet2!$A:$O,7,0)</f>
        <v>49100</v>
      </c>
    </row>
    <row r="1283" spans="1:4">
      <c r="A1283" s="8" t="s">
        <v>400</v>
      </c>
      <c r="B1283" s="2">
        <v>1800014</v>
      </c>
      <c r="C1283" s="2" t="s">
        <v>379</v>
      </c>
      <c r="D1283" s="3">
        <f>VLOOKUP(B1283,Sheet2!$A:$O,7,0)</f>
        <v>70000</v>
      </c>
    </row>
    <row r="1284" spans="1:4">
      <c r="A1284" s="8" t="s">
        <v>400</v>
      </c>
      <c r="B1284" s="2">
        <v>1800015</v>
      </c>
      <c r="C1284" s="2" t="s">
        <v>380</v>
      </c>
      <c r="D1284" s="3">
        <f>VLOOKUP(B1284,Sheet2!$A:$O,7,0)</f>
        <v>66700</v>
      </c>
    </row>
    <row r="1285" spans="1:4">
      <c r="A1285" s="8" t="s">
        <v>400</v>
      </c>
      <c r="B1285" s="2">
        <v>1900013</v>
      </c>
      <c r="C1285" s="2" t="s">
        <v>381</v>
      </c>
      <c r="D1285" s="3">
        <f>VLOOKUP(B1285,Sheet2!$A:$O,7,0)</f>
        <v>0</v>
      </c>
    </row>
    <row r="1286" spans="1:4">
      <c r="A1286" s="8" t="s">
        <v>400</v>
      </c>
      <c r="B1286" s="2">
        <v>1900018</v>
      </c>
      <c r="C1286" s="2" t="s">
        <v>382</v>
      </c>
      <c r="D1286" s="3">
        <f>VLOOKUP(B1286,Sheet2!$A:$O,7,0)</f>
        <v>0</v>
      </c>
    </row>
    <row r="1287" spans="1:4">
      <c r="A1287" s="8" t="s">
        <v>401</v>
      </c>
      <c r="B1287" s="2">
        <v>1010101</v>
      </c>
      <c r="C1287" s="2" t="s">
        <v>5</v>
      </c>
      <c r="D1287" s="3">
        <f>VLOOKUP(B1287,Sheet2!$A:$O,8,0)</f>
        <v>696</v>
      </c>
    </row>
    <row r="1288" spans="1:4">
      <c r="A1288" s="8" t="s">
        <v>401</v>
      </c>
      <c r="B1288" s="2">
        <v>1010111</v>
      </c>
      <c r="C1288" s="2" t="s">
        <v>9</v>
      </c>
      <c r="D1288" s="3">
        <f>VLOOKUP(B1288,Sheet2!$A:$O,8,0)</f>
        <v>18300</v>
      </c>
    </row>
    <row r="1289" spans="1:4">
      <c r="A1289" s="8" t="s">
        <v>401</v>
      </c>
      <c r="B1289" s="2">
        <v>1010201</v>
      </c>
      <c r="C1289" s="2" t="s">
        <v>11</v>
      </c>
      <c r="D1289" s="3">
        <f>VLOOKUP(B1289,Sheet2!$A:$O,8,0)</f>
        <v>882</v>
      </c>
    </row>
    <row r="1290" spans="1:4">
      <c r="A1290" s="8" t="s">
        <v>401</v>
      </c>
      <c r="B1290" s="2">
        <v>1010300</v>
      </c>
      <c r="C1290" s="2" t="s">
        <v>213</v>
      </c>
      <c r="D1290" s="3">
        <f>VLOOKUP(B1290,Sheet2!$A:$O,8,0)</f>
        <v>5490</v>
      </c>
    </row>
    <row r="1291" spans="1:4">
      <c r="A1291" s="8" t="s">
        <v>401</v>
      </c>
      <c r="B1291" s="2">
        <v>1010301</v>
      </c>
      <c r="C1291" s="2" t="s">
        <v>214</v>
      </c>
      <c r="D1291" s="3">
        <f>VLOOKUP(B1291,Sheet2!$A:$O,8,0)</f>
        <v>5882</v>
      </c>
    </row>
    <row r="1292" spans="1:4">
      <c r="A1292" s="8" t="s">
        <v>401</v>
      </c>
      <c r="B1292" s="2">
        <v>1010302</v>
      </c>
      <c r="C1292" s="2" t="s">
        <v>16</v>
      </c>
      <c r="D1292" s="3">
        <f>VLOOKUP(B1292,Sheet2!$A:$O,8,0)</f>
        <v>4216</v>
      </c>
    </row>
    <row r="1293" spans="1:4">
      <c r="A1293" s="8" t="s">
        <v>401</v>
      </c>
      <c r="B1293" s="2">
        <v>1010303</v>
      </c>
      <c r="C1293" s="2" t="s">
        <v>18</v>
      </c>
      <c r="D1293" s="3">
        <f>VLOOKUP(B1293,Sheet2!$A:$O,8,0)</f>
        <v>882</v>
      </c>
    </row>
    <row r="1294" spans="1:4">
      <c r="A1294" s="8" t="s">
        <v>401</v>
      </c>
      <c r="B1294" s="2">
        <v>1010304</v>
      </c>
      <c r="C1294" s="2" t="s">
        <v>215</v>
      </c>
      <c r="D1294" s="3">
        <f>VLOOKUP(B1294,Sheet2!$A:$O,8,0)</f>
        <v>1225</v>
      </c>
    </row>
    <row r="1295" spans="1:4">
      <c r="A1295" s="8" t="s">
        <v>401</v>
      </c>
      <c r="B1295" s="2">
        <v>1010401</v>
      </c>
      <c r="C1295" s="2" t="s">
        <v>20</v>
      </c>
      <c r="D1295" s="3">
        <f>VLOOKUP(B1295,Sheet2!$A:$O,8,0)</f>
        <v>3627</v>
      </c>
    </row>
    <row r="1296" spans="1:4">
      <c r="A1296" s="8" t="s">
        <v>401</v>
      </c>
      <c r="B1296" s="2">
        <v>1010405</v>
      </c>
      <c r="C1296" s="2" t="s">
        <v>22</v>
      </c>
      <c r="D1296" s="3">
        <f>VLOOKUP(B1296,Sheet2!$A:$O,8,0)</f>
        <v>9975</v>
      </c>
    </row>
    <row r="1297" spans="1:4">
      <c r="A1297" s="8" t="s">
        <v>401</v>
      </c>
      <c r="B1297" s="2">
        <v>1010501</v>
      </c>
      <c r="C1297" s="2" t="s">
        <v>24</v>
      </c>
      <c r="D1297" s="3">
        <f>VLOOKUP(B1297,Sheet2!$A:$O,8,0)</f>
        <v>980</v>
      </c>
    </row>
    <row r="1298" spans="1:4">
      <c r="A1298" s="8" t="s">
        <v>401</v>
      </c>
      <c r="B1298" s="2">
        <v>1010502</v>
      </c>
      <c r="C1298" s="2" t="s">
        <v>216</v>
      </c>
      <c r="D1298" s="3">
        <f>VLOOKUP(B1298,Sheet2!$A:$O,8,0)</f>
        <v>0</v>
      </c>
    </row>
    <row r="1299" spans="1:4">
      <c r="A1299" s="8" t="s">
        <v>401</v>
      </c>
      <c r="B1299" s="2">
        <v>1010601</v>
      </c>
      <c r="C1299" s="2" t="s">
        <v>26</v>
      </c>
      <c r="D1299" s="3">
        <f>VLOOKUP(B1299,Sheet2!$A:$O,8,0)</f>
        <v>0</v>
      </c>
    </row>
    <row r="1300" spans="1:4">
      <c r="A1300" s="8" t="s">
        <v>401</v>
      </c>
      <c r="B1300" s="2">
        <v>1010701</v>
      </c>
      <c r="C1300" s="2" t="s">
        <v>28</v>
      </c>
      <c r="D1300" s="3">
        <f>VLOOKUP(B1300,Sheet2!$A:$O,8,0)</f>
        <v>686</v>
      </c>
    </row>
    <row r="1301" spans="1:4">
      <c r="A1301" s="8" t="s">
        <v>401</v>
      </c>
      <c r="B1301" s="2">
        <v>1010801</v>
      </c>
      <c r="C1301" s="2" t="s">
        <v>30</v>
      </c>
      <c r="D1301" s="3">
        <f>VLOOKUP(B1301,Sheet2!$A:$O,8,0)</f>
        <v>7157</v>
      </c>
    </row>
    <row r="1302" spans="1:4">
      <c r="A1302" s="8" t="s">
        <v>401</v>
      </c>
      <c r="B1302" s="2">
        <v>1010901</v>
      </c>
      <c r="C1302" s="2" t="s">
        <v>32</v>
      </c>
      <c r="D1302" s="3">
        <f>VLOOKUP(B1302,Sheet2!$A:$O,8,0)</f>
        <v>4902</v>
      </c>
    </row>
    <row r="1303" spans="1:4">
      <c r="A1303" s="8" t="s">
        <v>401</v>
      </c>
      <c r="B1303" s="2">
        <v>1020101</v>
      </c>
      <c r="C1303" s="2" t="s">
        <v>34</v>
      </c>
      <c r="D1303" s="3">
        <f>VLOOKUP(B1303,Sheet2!$A:$O,8,0)</f>
        <v>17451</v>
      </c>
    </row>
    <row r="1304" spans="1:4">
      <c r="A1304" s="8" t="s">
        <v>401</v>
      </c>
      <c r="B1304" s="2">
        <v>1020201</v>
      </c>
      <c r="C1304" s="2" t="s">
        <v>217</v>
      </c>
      <c r="D1304" s="3">
        <f>VLOOKUP(B1304,Sheet2!$A:$O,8,0)</f>
        <v>5600</v>
      </c>
    </row>
    <row r="1305" spans="1:4">
      <c r="A1305" s="8" t="s">
        <v>401</v>
      </c>
      <c r="B1305" s="2">
        <v>1020301</v>
      </c>
      <c r="C1305" s="2" t="s">
        <v>38</v>
      </c>
      <c r="D1305" s="3">
        <f>VLOOKUP(B1305,Sheet2!$A:$O,8,0)</f>
        <v>2100</v>
      </c>
    </row>
    <row r="1306" spans="1:4">
      <c r="A1306" s="8" t="s">
        <v>401</v>
      </c>
      <c r="B1306" s="2">
        <v>1020401</v>
      </c>
      <c r="C1306" s="2" t="s">
        <v>40</v>
      </c>
      <c r="D1306" s="3">
        <f>VLOOKUP(B1306,Sheet2!$A:$O,8,0)</f>
        <v>3500</v>
      </c>
    </row>
    <row r="1307" spans="1:4">
      <c r="A1307" s="8" t="s">
        <v>401</v>
      </c>
      <c r="B1307" s="2">
        <v>1030102</v>
      </c>
      <c r="C1307" s="2" t="s">
        <v>218</v>
      </c>
      <c r="D1307" s="3">
        <f>VLOOKUP(B1307,Sheet2!$A:$O,8,0)</f>
        <v>0</v>
      </c>
    </row>
    <row r="1308" spans="1:4">
      <c r="A1308" s="8" t="s">
        <v>401</v>
      </c>
      <c r="B1308" s="2">
        <v>1030201</v>
      </c>
      <c r="C1308" s="2" t="s">
        <v>42</v>
      </c>
      <c r="D1308" s="3">
        <f>VLOOKUP(B1308,Sheet2!$A:$O,8,0)</f>
        <v>2304</v>
      </c>
    </row>
    <row r="1309" spans="1:4">
      <c r="A1309" s="8" t="s">
        <v>401</v>
      </c>
      <c r="B1309" s="2">
        <v>1030203</v>
      </c>
      <c r="C1309" s="2" t="s">
        <v>219</v>
      </c>
      <c r="D1309" s="3">
        <f>VLOOKUP(B1309,Sheet2!$A:$O,8,0)</f>
        <v>0</v>
      </c>
    </row>
    <row r="1310" spans="1:4">
      <c r="A1310" s="8" t="s">
        <v>401</v>
      </c>
      <c r="B1310" s="2">
        <v>1030204</v>
      </c>
      <c r="C1310" s="2" t="s">
        <v>220</v>
      </c>
      <c r="D1310" s="3">
        <f>VLOOKUP(B1310,Sheet2!$A:$O,8,0)</f>
        <v>0</v>
      </c>
    </row>
    <row r="1311" spans="1:4">
      <c r="A1311" s="8" t="s">
        <v>401</v>
      </c>
      <c r="B1311" s="2">
        <v>1030205</v>
      </c>
      <c r="C1311" s="2" t="s">
        <v>44</v>
      </c>
      <c r="D1311" s="3">
        <f>VLOOKUP(B1311,Sheet2!$A:$O,8,0)</f>
        <v>5000</v>
      </c>
    </row>
    <row r="1312" spans="1:4">
      <c r="A1312" s="8" t="s">
        <v>401</v>
      </c>
      <c r="B1312" s="2">
        <v>1030206</v>
      </c>
      <c r="C1312" s="2" t="s">
        <v>46</v>
      </c>
      <c r="D1312" s="3">
        <f>VLOOKUP(B1312,Sheet2!$A:$O,8,0)</f>
        <v>5400</v>
      </c>
    </row>
    <row r="1313" spans="1:4">
      <c r="A1313" s="8" t="s">
        <v>401</v>
      </c>
      <c r="B1313" s="2">
        <v>1030207</v>
      </c>
      <c r="C1313" s="2" t="s">
        <v>48</v>
      </c>
      <c r="D1313" s="3">
        <f>VLOOKUP(B1313,Sheet2!$A:$O,8,0)</f>
        <v>4400</v>
      </c>
    </row>
    <row r="1314" spans="1:4">
      <c r="A1314" s="8" t="s">
        <v>401</v>
      </c>
      <c r="B1314" s="2">
        <v>1030501</v>
      </c>
      <c r="C1314" s="2" t="s">
        <v>50</v>
      </c>
      <c r="D1314" s="3">
        <f>VLOOKUP(B1314,Sheet2!$A:$O,8,0)</f>
        <v>1127</v>
      </c>
    </row>
    <row r="1315" spans="1:4">
      <c r="A1315" s="8" t="s">
        <v>401</v>
      </c>
      <c r="B1315" s="2">
        <v>1030601</v>
      </c>
      <c r="C1315" s="2" t="s">
        <v>52</v>
      </c>
      <c r="D1315" s="3">
        <f>VLOOKUP(B1315,Sheet2!$A:$O,8,0)</f>
        <v>3000</v>
      </c>
    </row>
    <row r="1316" spans="1:4">
      <c r="A1316" s="8" t="s">
        <v>401</v>
      </c>
      <c r="B1316" s="2">
        <v>1030701</v>
      </c>
      <c r="C1316" s="2" t="s">
        <v>221</v>
      </c>
      <c r="D1316" s="3">
        <f>VLOOKUP(B1316,Sheet2!$A:$O,8,0)</f>
        <v>3000</v>
      </c>
    </row>
    <row r="1317" spans="1:4">
      <c r="A1317" s="8" t="s">
        <v>401</v>
      </c>
      <c r="B1317" s="2">
        <v>1030705</v>
      </c>
      <c r="C1317" s="2" t="s">
        <v>222</v>
      </c>
      <c r="D1317" s="3">
        <f>VLOOKUP(B1317,Sheet2!$A:$O,8,0)</f>
        <v>0</v>
      </c>
    </row>
    <row r="1318" spans="1:4">
      <c r="A1318" s="8" t="s">
        <v>401</v>
      </c>
      <c r="B1318" s="2">
        <v>1030801</v>
      </c>
      <c r="C1318" s="2" t="s">
        <v>54</v>
      </c>
      <c r="D1318" s="3">
        <f>VLOOKUP(B1318,Sheet2!$A:$O,8,0)</f>
        <v>1373</v>
      </c>
    </row>
    <row r="1319" spans="1:4">
      <c r="A1319" s="8" t="s">
        <v>401</v>
      </c>
      <c r="B1319" s="2">
        <v>1030901</v>
      </c>
      <c r="C1319" s="2" t="s">
        <v>223</v>
      </c>
      <c r="D1319" s="3">
        <f>VLOOKUP(B1319,Sheet2!$A:$O,8,0)</f>
        <v>0</v>
      </c>
    </row>
    <row r="1320" spans="1:4">
      <c r="A1320" s="8" t="s">
        <v>401</v>
      </c>
      <c r="B1320" s="2">
        <v>1040201</v>
      </c>
      <c r="C1320" s="2" t="s">
        <v>56</v>
      </c>
      <c r="D1320" s="3">
        <f>VLOOKUP(B1320,Sheet2!$A:$O,8,0)</f>
        <v>1500</v>
      </c>
    </row>
    <row r="1321" spans="1:4">
      <c r="A1321" s="8" t="s">
        <v>401</v>
      </c>
      <c r="B1321" s="2">
        <v>1040202</v>
      </c>
      <c r="C1321" s="2" t="s">
        <v>224</v>
      </c>
      <c r="D1321" s="3">
        <f>VLOOKUP(B1321,Sheet2!$A:$O,8,0)</f>
        <v>0</v>
      </c>
    </row>
    <row r="1322" spans="1:4">
      <c r="A1322" s="8" t="s">
        <v>401</v>
      </c>
      <c r="B1322" s="2">
        <v>1040203</v>
      </c>
      <c r="C1322" s="2" t="s">
        <v>225</v>
      </c>
      <c r="D1322" s="3">
        <f>VLOOKUP(B1322,Sheet2!$A:$O,8,0)</f>
        <v>0</v>
      </c>
    </row>
    <row r="1323" spans="1:4">
      <c r="A1323" s="8" t="s">
        <v>401</v>
      </c>
      <c r="B1323" s="2">
        <v>1040204</v>
      </c>
      <c r="C1323" s="2" t="s">
        <v>226</v>
      </c>
      <c r="D1323" s="3">
        <f>VLOOKUP(B1323,Sheet2!$A:$O,8,0)</f>
        <v>7917</v>
      </c>
    </row>
    <row r="1324" spans="1:4">
      <c r="A1324" s="8" t="s">
        <v>401</v>
      </c>
      <c r="B1324" s="2">
        <v>1040301</v>
      </c>
      <c r="C1324" s="2" t="s">
        <v>58</v>
      </c>
      <c r="D1324" s="3">
        <f>VLOOKUP(B1324,Sheet2!$A:$O,8,0)</f>
        <v>1675</v>
      </c>
    </row>
    <row r="1325" spans="1:4">
      <c r="A1325" s="8" t="s">
        <v>401</v>
      </c>
      <c r="B1325" s="2">
        <v>1040401</v>
      </c>
      <c r="C1325" s="2" t="s">
        <v>227</v>
      </c>
      <c r="D1325" s="3">
        <f>VLOOKUP(B1325,Sheet2!$A:$O,8,0)</f>
        <v>0</v>
      </c>
    </row>
    <row r="1326" spans="1:4">
      <c r="A1326" s="8" t="s">
        <v>401</v>
      </c>
      <c r="B1326" s="2">
        <v>1050102</v>
      </c>
      <c r="C1326" s="2" t="s">
        <v>60</v>
      </c>
      <c r="D1326" s="3">
        <f>VLOOKUP(B1326,Sheet2!$A:$O,8,0)</f>
        <v>29500</v>
      </c>
    </row>
    <row r="1327" spans="1:4">
      <c r="A1327" s="8" t="s">
        <v>401</v>
      </c>
      <c r="B1327" s="2">
        <v>1050103</v>
      </c>
      <c r="C1327" s="2" t="s">
        <v>228</v>
      </c>
      <c r="D1327" s="3">
        <f>VLOOKUP(B1327,Sheet2!$A:$O,8,0)</f>
        <v>11275</v>
      </c>
    </row>
    <row r="1328" spans="1:4">
      <c r="A1328" s="8" t="s">
        <v>401</v>
      </c>
      <c r="B1328" s="2">
        <v>1050301</v>
      </c>
      <c r="C1328" s="2" t="s">
        <v>62</v>
      </c>
      <c r="D1328" s="3">
        <f>VLOOKUP(B1328,Sheet2!$A:$O,8,0)</f>
        <v>9804</v>
      </c>
    </row>
    <row r="1329" spans="1:4">
      <c r="A1329" s="8" t="s">
        <v>401</v>
      </c>
      <c r="B1329" s="2">
        <v>1050401</v>
      </c>
      <c r="C1329" s="2" t="s">
        <v>64</v>
      </c>
      <c r="D1329" s="3">
        <f>VLOOKUP(B1329,Sheet2!$A:$O,8,0)</f>
        <v>8824</v>
      </c>
    </row>
    <row r="1330" spans="1:4">
      <c r="A1330" s="8" t="s">
        <v>401</v>
      </c>
      <c r="B1330" s="2">
        <v>1050501</v>
      </c>
      <c r="C1330" s="2" t="s">
        <v>66</v>
      </c>
      <c r="D1330" s="3">
        <f>VLOOKUP(B1330,Sheet2!$A:$O,8,0)</f>
        <v>10784</v>
      </c>
    </row>
    <row r="1331" spans="1:4">
      <c r="A1331" s="8" t="s">
        <v>401</v>
      </c>
      <c r="B1331" s="2">
        <v>1050511</v>
      </c>
      <c r="C1331" s="2" t="s">
        <v>68</v>
      </c>
      <c r="D1331" s="3">
        <f>VLOOKUP(B1331,Sheet2!$A:$O,8,0)</f>
        <v>18000</v>
      </c>
    </row>
    <row r="1332" spans="1:4">
      <c r="A1332" s="8" t="s">
        <v>401</v>
      </c>
      <c r="B1332" s="2">
        <v>1050512</v>
      </c>
      <c r="C1332" s="2" t="s">
        <v>229</v>
      </c>
      <c r="D1332" s="3">
        <f>VLOOKUP(B1332,Sheet2!$A:$O,8,0)</f>
        <v>0</v>
      </c>
    </row>
    <row r="1333" spans="1:4">
      <c r="A1333" s="8" t="s">
        <v>401</v>
      </c>
      <c r="B1333" s="2">
        <v>1050521</v>
      </c>
      <c r="C1333" s="2" t="s">
        <v>70</v>
      </c>
      <c r="D1333" s="3">
        <f>VLOOKUP(B1333,Sheet2!$A:$O,8,0)</f>
        <v>14706</v>
      </c>
    </row>
    <row r="1334" spans="1:4">
      <c r="A1334" s="8" t="s">
        <v>401</v>
      </c>
      <c r="B1334" s="2">
        <v>1050531</v>
      </c>
      <c r="C1334" s="2" t="s">
        <v>72</v>
      </c>
      <c r="D1334" s="3">
        <f>VLOOKUP(B1334,Sheet2!$A:$O,8,0)</f>
        <v>21000</v>
      </c>
    </row>
    <row r="1335" spans="1:4">
      <c r="A1335" s="8" t="s">
        <v>401</v>
      </c>
      <c r="B1335" s="2">
        <v>1050541</v>
      </c>
      <c r="C1335" s="2" t="s">
        <v>74</v>
      </c>
      <c r="D1335" s="3">
        <f>VLOOKUP(B1335,Sheet2!$A:$O,8,0)</f>
        <v>11000</v>
      </c>
    </row>
    <row r="1336" spans="1:4">
      <c r="A1336" s="8" t="s">
        <v>401</v>
      </c>
      <c r="B1336" s="2">
        <v>1050551</v>
      </c>
      <c r="C1336" s="2" t="s">
        <v>76</v>
      </c>
      <c r="D1336" s="3">
        <f>VLOOKUP(B1336,Sheet2!$A:$O,8,0)</f>
        <v>54000</v>
      </c>
    </row>
    <row r="1337" spans="1:4">
      <c r="A1337" s="8" t="s">
        <v>401</v>
      </c>
      <c r="B1337" s="2">
        <v>1050561</v>
      </c>
      <c r="C1337" s="2" t="s">
        <v>78</v>
      </c>
      <c r="D1337" s="3">
        <f>VLOOKUP(B1337,Sheet2!$A:$O,8,0)</f>
        <v>98000</v>
      </c>
    </row>
    <row r="1338" spans="1:4">
      <c r="A1338" s="8" t="s">
        <v>401</v>
      </c>
      <c r="B1338" s="2">
        <v>1050571</v>
      </c>
      <c r="C1338" s="2" t="s">
        <v>80</v>
      </c>
      <c r="D1338" s="3">
        <f>VLOOKUP(B1338,Sheet2!$A:$O,8,0)</f>
        <v>58600</v>
      </c>
    </row>
    <row r="1339" spans="1:4">
      <c r="A1339" s="8" t="s">
        <v>401</v>
      </c>
      <c r="B1339" s="2">
        <v>1050581</v>
      </c>
      <c r="C1339" s="2" t="s">
        <v>82</v>
      </c>
      <c r="D1339" s="3">
        <f>VLOOKUP(B1339,Sheet2!$A:$O,8,0)</f>
        <v>57000</v>
      </c>
    </row>
    <row r="1340" spans="1:4">
      <c r="A1340" s="8" t="s">
        <v>401</v>
      </c>
      <c r="B1340" s="2">
        <v>1050591</v>
      </c>
      <c r="C1340" s="2" t="s">
        <v>84</v>
      </c>
      <c r="D1340" s="3">
        <f>VLOOKUP(B1340,Sheet2!$A:$O,8,0)</f>
        <v>97750</v>
      </c>
    </row>
    <row r="1341" spans="1:4">
      <c r="A1341" s="8" t="s">
        <v>401</v>
      </c>
      <c r="B1341" s="2">
        <v>1050601</v>
      </c>
      <c r="C1341" s="2" t="s">
        <v>86</v>
      </c>
      <c r="D1341" s="3">
        <f>VLOOKUP(B1341,Sheet2!$A:$O,8,0)</f>
        <v>5900</v>
      </c>
    </row>
    <row r="1342" spans="1:4">
      <c r="A1342" s="8" t="s">
        <v>401</v>
      </c>
      <c r="B1342" s="2">
        <v>1050701</v>
      </c>
      <c r="C1342" s="2" t="s">
        <v>88</v>
      </c>
      <c r="D1342" s="3">
        <f>VLOOKUP(B1342,Sheet2!$A:$O,8,0)</f>
        <v>5700</v>
      </c>
    </row>
    <row r="1343" spans="1:4">
      <c r="A1343" s="8" t="s">
        <v>401</v>
      </c>
      <c r="B1343" s="2">
        <v>1050702</v>
      </c>
      <c r="C1343" s="2" t="s">
        <v>90</v>
      </c>
      <c r="D1343" s="3">
        <f>VLOOKUP(B1343,Sheet2!$A:$O,8,0)</f>
        <v>5700</v>
      </c>
    </row>
    <row r="1344" spans="1:4">
      <c r="A1344" s="8" t="s">
        <v>401</v>
      </c>
      <c r="B1344" s="2">
        <v>1050711</v>
      </c>
      <c r="C1344" s="2" t="s">
        <v>92</v>
      </c>
      <c r="D1344" s="3">
        <f>VLOOKUP(B1344,Sheet2!$A:$O,8,0)</f>
        <v>2900</v>
      </c>
    </row>
    <row r="1345" spans="1:4">
      <c r="A1345" s="8" t="s">
        <v>401</v>
      </c>
      <c r="B1345" s="2">
        <v>1050721</v>
      </c>
      <c r="C1345" s="2" t="s">
        <v>94</v>
      </c>
      <c r="D1345" s="3">
        <f>VLOOKUP(B1345,Sheet2!$A:$O,8,0)</f>
        <v>14800</v>
      </c>
    </row>
    <row r="1346" spans="1:4">
      <c r="A1346" s="8" t="s">
        <v>401</v>
      </c>
      <c r="B1346" s="2">
        <v>1050801</v>
      </c>
      <c r="C1346" s="2" t="s">
        <v>7</v>
      </c>
      <c r="D1346" s="3">
        <f>VLOOKUP(B1346,Sheet2!$A:$O,8,0)</f>
        <v>1046</v>
      </c>
    </row>
    <row r="1347" spans="1:4">
      <c r="A1347" s="8" t="s">
        <v>401</v>
      </c>
      <c r="B1347" s="2">
        <v>1050901</v>
      </c>
      <c r="C1347" s="2" t="s">
        <v>96</v>
      </c>
      <c r="D1347" s="3">
        <f>VLOOKUP(B1347,Sheet2!$A:$O,8,0)</f>
        <v>1452</v>
      </c>
    </row>
    <row r="1348" spans="1:4">
      <c r="A1348" s="8" t="s">
        <v>401</v>
      </c>
      <c r="B1348" s="2">
        <v>1060101</v>
      </c>
      <c r="C1348" s="2" t="s">
        <v>98</v>
      </c>
      <c r="D1348" s="3">
        <f>VLOOKUP(B1348,Sheet2!$A:$O,8,0)</f>
        <v>2201</v>
      </c>
    </row>
    <row r="1349" spans="1:4">
      <c r="A1349" s="8" t="s">
        <v>401</v>
      </c>
      <c r="B1349" s="2">
        <v>1060401</v>
      </c>
      <c r="C1349" s="2" t="s">
        <v>100</v>
      </c>
      <c r="D1349" s="3">
        <f>VLOOKUP(B1349,Sheet2!$A:$O,8,0)</f>
        <v>71000</v>
      </c>
    </row>
    <row r="1350" spans="1:4">
      <c r="A1350" s="8" t="s">
        <v>401</v>
      </c>
      <c r="B1350" s="2">
        <v>1060412</v>
      </c>
      <c r="C1350" s="2" t="s">
        <v>230</v>
      </c>
      <c r="D1350" s="3">
        <f>VLOOKUP(B1350,Sheet2!$A:$O,8,0)</f>
        <v>33000</v>
      </c>
    </row>
    <row r="1351" spans="1:4">
      <c r="A1351" s="8" t="s">
        <v>401</v>
      </c>
      <c r="B1351" s="2">
        <v>1060421</v>
      </c>
      <c r="C1351" s="2" t="s">
        <v>104</v>
      </c>
      <c r="D1351" s="3">
        <f>VLOOKUP(B1351,Sheet2!$A:$O,8,0)</f>
        <v>76000</v>
      </c>
    </row>
    <row r="1352" spans="1:4">
      <c r="A1352" s="8" t="s">
        <v>401</v>
      </c>
      <c r="B1352" s="2">
        <v>1060441</v>
      </c>
      <c r="C1352" s="2" t="s">
        <v>106</v>
      </c>
      <c r="D1352" s="3">
        <f>VLOOKUP(B1352,Sheet2!$A:$O,8,0)</f>
        <v>5200</v>
      </c>
    </row>
    <row r="1353" spans="1:4">
      <c r="A1353" s="8" t="s">
        <v>401</v>
      </c>
      <c r="B1353" s="2">
        <v>1060451</v>
      </c>
      <c r="C1353" s="2" t="s">
        <v>108</v>
      </c>
      <c r="D1353" s="3">
        <f>VLOOKUP(B1353,Sheet2!$A:$O,8,0)</f>
        <v>38235</v>
      </c>
    </row>
    <row r="1354" spans="1:4">
      <c r="A1354" s="8" t="s">
        <v>401</v>
      </c>
      <c r="B1354" s="2">
        <v>1070101</v>
      </c>
      <c r="C1354" s="2" t="s">
        <v>110</v>
      </c>
      <c r="D1354" s="3">
        <f>VLOOKUP(B1354,Sheet2!$A:$O,8,0)</f>
        <v>3620</v>
      </c>
    </row>
    <row r="1355" spans="1:4">
      <c r="A1355" s="8" t="s">
        <v>401</v>
      </c>
      <c r="B1355" s="2">
        <v>1070301</v>
      </c>
      <c r="C1355" s="2" t="s">
        <v>112</v>
      </c>
      <c r="D1355" s="3">
        <f>VLOOKUP(B1355,Sheet2!$A:$O,8,0)</f>
        <v>35000</v>
      </c>
    </row>
    <row r="1356" spans="1:4">
      <c r="A1356" s="8" t="s">
        <v>401</v>
      </c>
      <c r="B1356" s="2">
        <v>1070401</v>
      </c>
      <c r="C1356" s="2" t="s">
        <v>114</v>
      </c>
      <c r="D1356" s="3">
        <f>VLOOKUP(B1356,Sheet2!$A:$O,8,0)</f>
        <v>12000</v>
      </c>
    </row>
    <row r="1357" spans="1:4">
      <c r="A1357" s="8" t="s">
        <v>401</v>
      </c>
      <c r="B1357" s="2">
        <v>1070501</v>
      </c>
      <c r="C1357" s="2" t="s">
        <v>231</v>
      </c>
      <c r="D1357" s="3">
        <f>VLOOKUP(B1357,Sheet2!$A:$O,8,0)</f>
        <v>5500</v>
      </c>
    </row>
    <row r="1358" spans="1:4">
      <c r="A1358" s="8" t="s">
        <v>401</v>
      </c>
      <c r="B1358" s="2">
        <v>1070701</v>
      </c>
      <c r="C1358" s="2" t="s">
        <v>118</v>
      </c>
      <c r="D1358" s="3">
        <f>VLOOKUP(B1358,Sheet2!$A:$O,8,0)</f>
        <v>36000</v>
      </c>
    </row>
    <row r="1359" spans="1:4">
      <c r="A1359" s="8" t="s">
        <v>401</v>
      </c>
      <c r="B1359" s="2">
        <v>1070801</v>
      </c>
      <c r="C1359" s="2" t="s">
        <v>232</v>
      </c>
      <c r="D1359" s="3">
        <f>VLOOKUP(B1359,Sheet2!$A:$O,8,0)</f>
        <v>35000</v>
      </c>
    </row>
    <row r="1360" spans="1:4">
      <c r="A1360" s="8" t="s">
        <v>401</v>
      </c>
      <c r="B1360" s="2">
        <v>1080101</v>
      </c>
      <c r="C1360" s="2" t="s">
        <v>120</v>
      </c>
      <c r="D1360" s="3">
        <f>VLOOKUP(B1360,Sheet2!$A:$O,8,0)</f>
        <v>11000</v>
      </c>
    </row>
    <row r="1361" spans="1:4">
      <c r="A1361" s="8" t="s">
        <v>401</v>
      </c>
      <c r="B1361" s="2">
        <v>1080201</v>
      </c>
      <c r="C1361" s="2" t="s">
        <v>122</v>
      </c>
      <c r="D1361" s="3">
        <f>VLOOKUP(B1361,Sheet2!$A:$O,8,0)</f>
        <v>540</v>
      </c>
    </row>
    <row r="1362" spans="1:4">
      <c r="A1362" s="8" t="s">
        <v>401</v>
      </c>
      <c r="B1362" s="2">
        <v>1080301</v>
      </c>
      <c r="C1362" s="2" t="s">
        <v>124</v>
      </c>
      <c r="D1362" s="3">
        <f>VLOOKUP(B1362,Sheet2!$A:$O,8,0)</f>
        <v>1550</v>
      </c>
    </row>
    <row r="1363" spans="1:4">
      <c r="A1363" s="8" t="s">
        <v>401</v>
      </c>
      <c r="B1363" s="2">
        <v>1080401</v>
      </c>
      <c r="C1363" s="2" t="s">
        <v>233</v>
      </c>
      <c r="D1363" s="3">
        <f>VLOOKUP(B1363,Sheet2!$A:$O,8,0)</f>
        <v>3300</v>
      </c>
    </row>
    <row r="1364" spans="1:4">
      <c r="A1364" s="8" t="s">
        <v>401</v>
      </c>
      <c r="B1364" s="2">
        <v>1080411</v>
      </c>
      <c r="C1364" s="2" t="s">
        <v>128</v>
      </c>
      <c r="D1364" s="3">
        <f>VLOOKUP(B1364,Sheet2!$A:$O,8,0)</f>
        <v>3300</v>
      </c>
    </row>
    <row r="1365" spans="1:4">
      <c r="A1365" s="8" t="s">
        <v>401</v>
      </c>
      <c r="B1365" s="2">
        <v>1080501</v>
      </c>
      <c r="C1365" s="2" t="s">
        <v>130</v>
      </c>
      <c r="D1365" s="3">
        <f>VLOOKUP(B1365,Sheet2!$A:$O,8,0)</f>
        <v>3800</v>
      </c>
    </row>
    <row r="1366" spans="1:4">
      <c r="A1366" s="8" t="s">
        <v>401</v>
      </c>
      <c r="B1366" s="2">
        <v>1080602</v>
      </c>
      <c r="C1366" s="2" t="s">
        <v>234</v>
      </c>
      <c r="D1366" s="3">
        <f>VLOOKUP(B1366,Sheet2!$A:$O,8,0)</f>
        <v>37600</v>
      </c>
    </row>
    <row r="1367" spans="1:4">
      <c r="A1367" s="8" t="s">
        <v>401</v>
      </c>
      <c r="B1367" s="2">
        <v>1080604</v>
      </c>
      <c r="C1367" s="2" t="s">
        <v>235</v>
      </c>
      <c r="D1367" s="3">
        <f>VLOOKUP(B1367,Sheet2!$A:$O,8,0)</f>
        <v>0</v>
      </c>
    </row>
    <row r="1368" spans="1:4">
      <c r="A1368" s="8" t="s">
        <v>401</v>
      </c>
      <c r="B1368" s="2">
        <v>1080702</v>
      </c>
      <c r="C1368" s="2" t="s">
        <v>236</v>
      </c>
      <c r="D1368" s="3">
        <f>VLOOKUP(B1368,Sheet2!$A:$O,8,0)</f>
        <v>42500</v>
      </c>
    </row>
    <row r="1369" spans="1:4">
      <c r="A1369" s="8" t="s">
        <v>401</v>
      </c>
      <c r="B1369" s="2">
        <v>1080704</v>
      </c>
      <c r="C1369" s="2" t="s">
        <v>237</v>
      </c>
      <c r="D1369" s="3">
        <f>VLOOKUP(B1369,Sheet2!$A:$O,8,0)</f>
        <v>0</v>
      </c>
    </row>
    <row r="1370" spans="1:4">
      <c r="A1370" s="8" t="s">
        <v>401</v>
      </c>
      <c r="B1370" s="2">
        <v>1090104</v>
      </c>
      <c r="C1370" s="2" t="s">
        <v>136</v>
      </c>
      <c r="D1370" s="3">
        <f>VLOOKUP(B1370,Sheet2!$A:$O,8,0)</f>
        <v>40000</v>
      </c>
    </row>
    <row r="1371" spans="1:4">
      <c r="A1371" s="8" t="s">
        <v>401</v>
      </c>
      <c r="B1371" s="2">
        <v>1090112</v>
      </c>
      <c r="C1371" s="2" t="s">
        <v>138</v>
      </c>
      <c r="D1371" s="3">
        <f>VLOOKUP(B1371,Sheet2!$A:$O,8,0)</f>
        <v>35000</v>
      </c>
    </row>
    <row r="1372" spans="1:4">
      <c r="A1372" s="8" t="s">
        <v>401</v>
      </c>
      <c r="B1372" s="2">
        <v>1090201</v>
      </c>
      <c r="C1372" s="2" t="s">
        <v>140</v>
      </c>
      <c r="D1372" s="3">
        <f>VLOOKUP(B1372,Sheet2!$A:$O,8,0)</f>
        <v>15800</v>
      </c>
    </row>
    <row r="1373" spans="1:4">
      <c r="A1373" s="8" t="s">
        <v>401</v>
      </c>
      <c r="B1373" s="2">
        <v>1090202</v>
      </c>
      <c r="C1373" s="2" t="s">
        <v>142</v>
      </c>
      <c r="D1373" s="3">
        <f>VLOOKUP(B1373,Sheet2!$A:$O,8,0)</f>
        <v>98000</v>
      </c>
    </row>
    <row r="1374" spans="1:4">
      <c r="A1374" s="8" t="s">
        <v>401</v>
      </c>
      <c r="B1374" s="2">
        <v>1090203</v>
      </c>
      <c r="C1374" s="2" t="s">
        <v>144</v>
      </c>
      <c r="D1374" s="3">
        <f>VLOOKUP(B1374,Sheet2!$A:$O,8,0)</f>
        <v>23000</v>
      </c>
    </row>
    <row r="1375" spans="1:4">
      <c r="A1375" s="8" t="s">
        <v>401</v>
      </c>
      <c r="B1375" s="2">
        <v>1090211</v>
      </c>
      <c r="C1375" s="2" t="s">
        <v>146</v>
      </c>
      <c r="D1375" s="3">
        <f>VLOOKUP(B1375,Sheet2!$A:$O,8,0)</f>
        <v>67647</v>
      </c>
    </row>
    <row r="1376" spans="1:4">
      <c r="A1376" s="8" t="s">
        <v>401</v>
      </c>
      <c r="B1376" s="2">
        <v>1090301</v>
      </c>
      <c r="C1376" s="2" t="s">
        <v>238</v>
      </c>
      <c r="D1376" s="3">
        <f>VLOOKUP(B1376,Sheet2!$A:$O,8,0)</f>
        <v>32000</v>
      </c>
    </row>
    <row r="1377" spans="1:4">
      <c r="A1377" s="8" t="s">
        <v>401</v>
      </c>
      <c r="B1377" s="2">
        <v>1090311</v>
      </c>
      <c r="C1377" s="2" t="s">
        <v>150</v>
      </c>
      <c r="D1377" s="3">
        <f>VLOOKUP(B1377,Sheet2!$A:$O,8,0)</f>
        <v>37000</v>
      </c>
    </row>
    <row r="1378" spans="1:4">
      <c r="A1378" s="8" t="s">
        <v>401</v>
      </c>
      <c r="B1378" s="2">
        <v>1090321</v>
      </c>
      <c r="C1378" s="2" t="s">
        <v>152</v>
      </c>
      <c r="D1378" s="3">
        <f>VLOOKUP(B1378,Sheet2!$A:$O,8,0)</f>
        <v>75000</v>
      </c>
    </row>
    <row r="1379" spans="1:4">
      <c r="A1379" s="8" t="s">
        <v>401</v>
      </c>
      <c r="B1379" s="2">
        <v>1090401</v>
      </c>
      <c r="C1379" s="2" t="s">
        <v>154</v>
      </c>
      <c r="D1379" s="3">
        <f>VLOOKUP(B1379,Sheet2!$A:$O,8,0)</f>
        <v>8300</v>
      </c>
    </row>
    <row r="1380" spans="1:4">
      <c r="A1380" s="8" t="s">
        <v>401</v>
      </c>
      <c r="B1380" s="2">
        <v>1090411</v>
      </c>
      <c r="C1380" s="2" t="s">
        <v>156</v>
      </c>
      <c r="D1380" s="3">
        <f>VLOOKUP(B1380,Sheet2!$A:$O,8,0)</f>
        <v>45000</v>
      </c>
    </row>
    <row r="1381" spans="1:4">
      <c r="A1381" s="8" t="s">
        <v>401</v>
      </c>
      <c r="B1381" s="2">
        <v>1090421</v>
      </c>
      <c r="C1381" s="2" t="s">
        <v>158</v>
      </c>
      <c r="D1381" s="3">
        <f>VLOOKUP(B1381,Sheet2!$A:$O,8,0)</f>
        <v>36000</v>
      </c>
    </row>
    <row r="1382" spans="1:4">
      <c r="A1382" s="8" t="s">
        <v>401</v>
      </c>
      <c r="B1382" s="2">
        <v>1090551</v>
      </c>
      <c r="C1382" s="2" t="s">
        <v>239</v>
      </c>
      <c r="D1382" s="3">
        <f>VLOOKUP(B1382,Sheet2!$A:$O,8,0)</f>
        <v>4900</v>
      </c>
    </row>
    <row r="1383" spans="1:4">
      <c r="A1383" s="8" t="s">
        <v>401</v>
      </c>
      <c r="B1383" s="2">
        <v>1090602</v>
      </c>
      <c r="C1383" s="2" t="s">
        <v>162</v>
      </c>
      <c r="D1383" s="3">
        <f>VLOOKUP(B1383,Sheet2!$A:$O,8,0)</f>
        <v>5130</v>
      </c>
    </row>
    <row r="1384" spans="1:4">
      <c r="A1384" s="8" t="s">
        <v>401</v>
      </c>
      <c r="B1384" s="2">
        <v>1090611</v>
      </c>
      <c r="C1384" s="2" t="s">
        <v>164</v>
      </c>
      <c r="D1384" s="3">
        <f>VLOOKUP(B1384,Sheet2!$A:$O,8,0)</f>
        <v>4203</v>
      </c>
    </row>
    <row r="1385" spans="1:4">
      <c r="A1385" s="8" t="s">
        <v>401</v>
      </c>
      <c r="B1385" s="2">
        <v>1090701</v>
      </c>
      <c r="C1385" s="2" t="s">
        <v>166</v>
      </c>
      <c r="D1385" s="3">
        <f>VLOOKUP(B1385,Sheet2!$A:$O,8,0)</f>
        <v>21000</v>
      </c>
    </row>
    <row r="1386" spans="1:4">
      <c r="A1386" s="8" t="s">
        <v>401</v>
      </c>
      <c r="B1386" s="2">
        <v>1090901</v>
      </c>
      <c r="C1386" s="2" t="s">
        <v>168</v>
      </c>
      <c r="D1386" s="3">
        <f>VLOOKUP(B1386,Sheet2!$A:$O,8,0)</f>
        <v>4300</v>
      </c>
    </row>
    <row r="1387" spans="1:4">
      <c r="A1387" s="8" t="s">
        <v>401</v>
      </c>
      <c r="B1387" s="2">
        <v>1091001</v>
      </c>
      <c r="C1387" s="2" t="s">
        <v>170</v>
      </c>
      <c r="D1387" s="3">
        <f>VLOOKUP(B1387,Sheet2!$A:$O,8,0)</f>
        <v>7000</v>
      </c>
    </row>
    <row r="1388" spans="1:4">
      <c r="A1388" s="8" t="s">
        <v>401</v>
      </c>
      <c r="B1388" s="2">
        <v>1091002</v>
      </c>
      <c r="C1388" s="2" t="s">
        <v>172</v>
      </c>
      <c r="D1388" s="3">
        <f>VLOOKUP(B1388,Sheet2!$A:$O,8,0)</f>
        <v>6373</v>
      </c>
    </row>
    <row r="1389" spans="1:4">
      <c r="A1389" s="8" t="s">
        <v>401</v>
      </c>
      <c r="B1389" s="2">
        <v>1091003</v>
      </c>
      <c r="C1389" s="2" t="s">
        <v>174</v>
      </c>
      <c r="D1389" s="3">
        <f>VLOOKUP(B1389,Sheet2!$A:$O,8,0)</f>
        <v>10354</v>
      </c>
    </row>
    <row r="1390" spans="1:4">
      <c r="A1390" s="8" t="s">
        <v>401</v>
      </c>
      <c r="B1390" s="2">
        <v>1091004</v>
      </c>
      <c r="C1390" s="2" t="s">
        <v>240</v>
      </c>
      <c r="D1390" s="3">
        <f>VLOOKUP(B1390,Sheet2!$A:$O,8,0)</f>
        <v>0</v>
      </c>
    </row>
    <row r="1391" spans="1:4">
      <c r="A1391" s="8" t="s">
        <v>401</v>
      </c>
      <c r="B1391" s="2">
        <v>1091005</v>
      </c>
      <c r="C1391" s="2" t="s">
        <v>241</v>
      </c>
      <c r="D1391" s="3">
        <f>VLOOKUP(B1391,Sheet2!$A:$O,8,0)</f>
        <v>0</v>
      </c>
    </row>
    <row r="1392" spans="1:4">
      <c r="A1392" s="8" t="s">
        <v>401</v>
      </c>
      <c r="B1392" s="2">
        <v>1091006</v>
      </c>
      <c r="C1392" s="2" t="s">
        <v>242</v>
      </c>
      <c r="D1392" s="3">
        <f>VLOOKUP(B1392,Sheet2!$A:$O,8,0)</f>
        <v>0</v>
      </c>
    </row>
    <row r="1393" spans="1:4">
      <c r="A1393" s="8" t="s">
        <v>401</v>
      </c>
      <c r="B1393" s="2">
        <v>1091007</v>
      </c>
      <c r="C1393" s="2" t="s">
        <v>243</v>
      </c>
      <c r="D1393" s="3">
        <f>VLOOKUP(B1393,Sheet2!$A:$O,8,0)</f>
        <v>2640</v>
      </c>
    </row>
    <row r="1394" spans="1:4">
      <c r="A1394" s="8" t="s">
        <v>401</v>
      </c>
      <c r="B1394" s="2">
        <v>1091008</v>
      </c>
      <c r="C1394" s="2" t="s">
        <v>176</v>
      </c>
      <c r="D1394" s="3">
        <f>VLOOKUP(B1394,Sheet2!$A:$O,8,0)</f>
        <v>0</v>
      </c>
    </row>
    <row r="1395" spans="1:4">
      <c r="A1395" s="8" t="s">
        <v>401</v>
      </c>
      <c r="B1395" s="2">
        <v>1091009</v>
      </c>
      <c r="C1395" s="2" t="s">
        <v>178</v>
      </c>
      <c r="D1395" s="3">
        <f>VLOOKUP(B1395,Sheet2!$A:$O,8,0)</f>
        <v>0</v>
      </c>
    </row>
    <row r="1396" spans="1:4">
      <c r="A1396" s="8" t="s">
        <v>401</v>
      </c>
      <c r="B1396" s="2">
        <v>1091010</v>
      </c>
      <c r="C1396" s="2" t="s">
        <v>180</v>
      </c>
      <c r="D1396" s="3">
        <f>VLOOKUP(B1396,Sheet2!$A:$O,8,0)</f>
        <v>27000</v>
      </c>
    </row>
    <row r="1397" spans="1:4">
      <c r="A1397" s="8" t="s">
        <v>401</v>
      </c>
      <c r="B1397" s="2">
        <v>1091011</v>
      </c>
      <c r="C1397" s="2" t="s">
        <v>182</v>
      </c>
      <c r="D1397" s="3">
        <f>VLOOKUP(B1397,Sheet2!$A:$O,8,0)</f>
        <v>33000</v>
      </c>
    </row>
    <row r="1398" spans="1:4">
      <c r="A1398" s="8" t="s">
        <v>401</v>
      </c>
      <c r="B1398" s="2">
        <v>1091012</v>
      </c>
      <c r="C1398" s="2" t="s">
        <v>184</v>
      </c>
      <c r="D1398" s="3">
        <f>VLOOKUP(B1398,Sheet2!$A:$O,8,0)</f>
        <v>47000</v>
      </c>
    </row>
    <row r="1399" spans="1:4">
      <c r="A1399" s="8" t="s">
        <v>401</v>
      </c>
      <c r="B1399" s="2">
        <v>1091013</v>
      </c>
      <c r="C1399" s="2" t="s">
        <v>186</v>
      </c>
      <c r="D1399" s="3">
        <f>VLOOKUP(B1399,Sheet2!$A:$O,8,0)</f>
        <v>33000</v>
      </c>
    </row>
    <row r="1400" spans="1:4">
      <c r="A1400" s="8" t="s">
        <v>401</v>
      </c>
      <c r="B1400" s="2">
        <v>1091014</v>
      </c>
      <c r="C1400" s="2" t="s">
        <v>244</v>
      </c>
      <c r="D1400" s="3">
        <f>VLOOKUP(B1400,Sheet2!$A:$O,8,0)</f>
        <v>6961</v>
      </c>
    </row>
    <row r="1401" spans="1:4">
      <c r="A1401" s="8" t="s">
        <v>401</v>
      </c>
      <c r="B1401" s="2">
        <v>1091015</v>
      </c>
      <c r="C1401" s="2" t="s">
        <v>245</v>
      </c>
      <c r="D1401" s="3">
        <f>VLOOKUP(B1401,Sheet2!$A:$O,8,0)</f>
        <v>25490</v>
      </c>
    </row>
    <row r="1402" spans="1:4">
      <c r="A1402" s="8" t="s">
        <v>401</v>
      </c>
      <c r="B1402" s="2">
        <v>1091016</v>
      </c>
      <c r="C1402" s="2" t="s">
        <v>246</v>
      </c>
      <c r="D1402" s="3">
        <f>VLOOKUP(B1402,Sheet2!$A:$O,8,0)</f>
        <v>54594</v>
      </c>
    </row>
    <row r="1403" spans="1:4">
      <c r="A1403" s="8" t="s">
        <v>401</v>
      </c>
      <c r="B1403" s="2">
        <v>1091017</v>
      </c>
      <c r="C1403" s="2" t="s">
        <v>247</v>
      </c>
      <c r="D1403" s="3">
        <f>VLOOKUP(B1403,Sheet2!$A:$O,8,0)</f>
        <v>0</v>
      </c>
    </row>
    <row r="1404" spans="1:4">
      <c r="A1404" s="8" t="s">
        <v>401</v>
      </c>
      <c r="B1404" s="2">
        <v>1091018</v>
      </c>
      <c r="C1404" s="2" t="s">
        <v>248</v>
      </c>
      <c r="D1404" s="3">
        <f>VLOOKUP(B1404,Sheet2!$A:$O,8,0)</f>
        <v>0</v>
      </c>
    </row>
    <row r="1405" spans="1:4">
      <c r="A1405" s="8" t="s">
        <v>401</v>
      </c>
      <c r="B1405" s="2">
        <v>1091019</v>
      </c>
      <c r="C1405" s="2" t="s">
        <v>249</v>
      </c>
      <c r="D1405" s="3">
        <f>VLOOKUP(B1405,Sheet2!$A:$O,8,0)</f>
        <v>53387</v>
      </c>
    </row>
    <row r="1406" spans="1:4">
      <c r="A1406" s="8" t="s">
        <v>401</v>
      </c>
      <c r="B1406" s="2">
        <v>1091020</v>
      </c>
      <c r="C1406" s="2" t="s">
        <v>250</v>
      </c>
      <c r="D1406" s="3">
        <f>VLOOKUP(B1406,Sheet2!$A:$O,8,0)</f>
        <v>62745</v>
      </c>
    </row>
    <row r="1407" spans="1:4">
      <c r="A1407" s="8" t="s">
        <v>401</v>
      </c>
      <c r="B1407" s="2">
        <v>1091021</v>
      </c>
      <c r="C1407" s="2" t="s">
        <v>251</v>
      </c>
      <c r="D1407" s="3">
        <f>VLOOKUP(B1407,Sheet2!$A:$O,8,0)</f>
        <v>53922</v>
      </c>
    </row>
    <row r="1408" spans="1:4">
      <c r="A1408" s="8" t="s">
        <v>401</v>
      </c>
      <c r="B1408" s="2">
        <v>1091022</v>
      </c>
      <c r="C1408" s="2" t="s">
        <v>252</v>
      </c>
      <c r="D1408" s="3">
        <f>VLOOKUP(B1408,Sheet2!$A:$O,8,0)</f>
        <v>3235</v>
      </c>
    </row>
    <row r="1409" spans="1:4">
      <c r="A1409" s="8" t="s">
        <v>401</v>
      </c>
      <c r="B1409" s="2">
        <v>1091023</v>
      </c>
      <c r="C1409" s="2" t="s">
        <v>253</v>
      </c>
      <c r="D1409" s="3">
        <f>VLOOKUP(B1409,Sheet2!$A:$O,8,0)</f>
        <v>4412</v>
      </c>
    </row>
    <row r="1410" spans="1:4">
      <c r="A1410" s="8" t="s">
        <v>401</v>
      </c>
      <c r="B1410" s="2">
        <v>1091024</v>
      </c>
      <c r="C1410" s="2" t="s">
        <v>254</v>
      </c>
      <c r="D1410" s="3">
        <f>VLOOKUP(B1410,Sheet2!$A:$O,8,0)</f>
        <v>3922</v>
      </c>
    </row>
    <row r="1411" spans="1:4">
      <c r="A1411" s="8" t="s">
        <v>401</v>
      </c>
      <c r="B1411" s="2">
        <v>1091025</v>
      </c>
      <c r="C1411" s="2" t="s">
        <v>255</v>
      </c>
      <c r="D1411" s="3">
        <f>VLOOKUP(B1411,Sheet2!$A:$O,8,0)</f>
        <v>7843</v>
      </c>
    </row>
    <row r="1412" spans="1:4">
      <c r="A1412" s="8" t="s">
        <v>401</v>
      </c>
      <c r="B1412" s="2">
        <v>1091026</v>
      </c>
      <c r="C1412" s="2" t="s">
        <v>256</v>
      </c>
      <c r="D1412" s="3">
        <f>VLOOKUP(B1412,Sheet2!$A:$O,8,0)</f>
        <v>30196</v>
      </c>
    </row>
    <row r="1413" spans="1:4">
      <c r="A1413" s="8" t="s">
        <v>401</v>
      </c>
      <c r="B1413" s="2">
        <v>1600101</v>
      </c>
      <c r="C1413" s="2" t="s">
        <v>188</v>
      </c>
      <c r="D1413" s="3">
        <f>VLOOKUP(B1413,Sheet2!$A:$O,8,0)</f>
        <v>2304</v>
      </c>
    </row>
    <row r="1414" spans="1:4">
      <c r="A1414" s="8" t="s">
        <v>401</v>
      </c>
      <c r="B1414" s="2">
        <v>1600102</v>
      </c>
      <c r="C1414" s="2" t="s">
        <v>257</v>
      </c>
      <c r="D1414" s="3">
        <f>VLOOKUP(B1414,Sheet2!$A:$O,8,0)</f>
        <v>17648</v>
      </c>
    </row>
    <row r="1415" spans="1:4">
      <c r="A1415" s="8" t="s">
        <v>401</v>
      </c>
      <c r="B1415" s="2">
        <v>1600103</v>
      </c>
      <c r="C1415" s="2" t="s">
        <v>258</v>
      </c>
      <c r="D1415" s="3">
        <f>VLOOKUP(B1415,Sheet2!$A:$O,8,0)</f>
        <v>19800</v>
      </c>
    </row>
    <row r="1416" spans="1:4">
      <c r="A1416" s="8" t="s">
        <v>401</v>
      </c>
      <c r="B1416" s="2">
        <v>1600104</v>
      </c>
      <c r="C1416" s="2" t="s">
        <v>259</v>
      </c>
      <c r="D1416" s="3">
        <f>VLOOKUP(B1416,Sheet2!$A:$O,8,0)</f>
        <v>65000</v>
      </c>
    </row>
    <row r="1417" spans="1:4">
      <c r="A1417" s="8" t="s">
        <v>401</v>
      </c>
      <c r="B1417" s="2">
        <v>1600105</v>
      </c>
      <c r="C1417" s="2" t="s">
        <v>260</v>
      </c>
      <c r="D1417" s="3">
        <f>VLOOKUP(B1417,Sheet2!$A:$O,8,0)</f>
        <v>73000</v>
      </c>
    </row>
    <row r="1418" spans="1:4">
      <c r="A1418" s="8" t="s">
        <v>401</v>
      </c>
      <c r="B1418" s="2">
        <v>1600106</v>
      </c>
      <c r="C1418" s="2" t="s">
        <v>261</v>
      </c>
      <c r="D1418" s="3">
        <f>VLOOKUP(B1418,Sheet2!$A:$O,8,0)</f>
        <v>66667</v>
      </c>
    </row>
    <row r="1419" spans="1:4">
      <c r="A1419" s="8" t="s">
        <v>401</v>
      </c>
      <c r="B1419" s="2">
        <v>1600107</v>
      </c>
      <c r="C1419" s="2" t="s">
        <v>262</v>
      </c>
      <c r="D1419" s="3">
        <f>VLOOKUP(B1419,Sheet2!$A:$O,8,0)</f>
        <v>67647</v>
      </c>
    </row>
    <row r="1420" spans="1:4">
      <c r="A1420" s="8" t="s">
        <v>401</v>
      </c>
      <c r="B1420" s="2">
        <v>1600108</v>
      </c>
      <c r="C1420" s="2" t="s">
        <v>263</v>
      </c>
      <c r="D1420" s="3">
        <f>VLOOKUP(B1420,Sheet2!$A:$O,8,0)</f>
        <v>67647</v>
      </c>
    </row>
    <row r="1421" spans="1:4">
      <c r="A1421" s="8" t="s">
        <v>401</v>
      </c>
      <c r="B1421" s="2">
        <v>1600109</v>
      </c>
      <c r="C1421" s="2" t="s">
        <v>264</v>
      </c>
      <c r="D1421" s="3">
        <f>VLOOKUP(B1421,Sheet2!$A:$O,8,0)</f>
        <v>4657</v>
      </c>
    </row>
    <row r="1422" spans="1:4">
      <c r="A1422" s="8" t="s">
        <v>401</v>
      </c>
      <c r="B1422" s="2">
        <v>1600110</v>
      </c>
      <c r="C1422" s="2" t="s">
        <v>265</v>
      </c>
      <c r="D1422" s="3">
        <f>VLOOKUP(B1422,Sheet2!$A:$O,8,0)</f>
        <v>7917</v>
      </c>
    </row>
    <row r="1423" spans="1:4">
      <c r="A1423" s="8" t="s">
        <v>401</v>
      </c>
      <c r="B1423" s="2">
        <v>1600111</v>
      </c>
      <c r="C1423" s="2" t="s">
        <v>266</v>
      </c>
      <c r="D1423" s="3">
        <f>VLOOKUP(B1423,Sheet2!$A:$O,8,0)</f>
        <v>2266</v>
      </c>
    </row>
    <row r="1424" spans="1:4">
      <c r="A1424" s="8" t="s">
        <v>401</v>
      </c>
      <c r="B1424" s="2">
        <v>1600112</v>
      </c>
      <c r="C1424" s="2" t="s">
        <v>190</v>
      </c>
      <c r="D1424" s="3">
        <f>VLOOKUP(B1424,Sheet2!$A:$O,8,0)</f>
        <v>4800</v>
      </c>
    </row>
    <row r="1425" spans="1:4">
      <c r="A1425" s="8" t="s">
        <v>401</v>
      </c>
      <c r="B1425" s="2">
        <v>1600113</v>
      </c>
      <c r="C1425" s="2" t="s">
        <v>267</v>
      </c>
      <c r="D1425" s="3">
        <f>VLOOKUP(B1425,Sheet2!$A:$O,8,0)</f>
        <v>0</v>
      </c>
    </row>
    <row r="1426" spans="1:4">
      <c r="A1426" s="8" t="s">
        <v>401</v>
      </c>
      <c r="B1426" s="2">
        <v>1600114</v>
      </c>
      <c r="C1426" s="2" t="s">
        <v>268</v>
      </c>
      <c r="D1426" s="3">
        <f>VLOOKUP(B1426,Sheet2!$A:$O,8,0)</f>
        <v>10140</v>
      </c>
    </row>
    <row r="1427" spans="1:4">
      <c r="A1427" s="8" t="s">
        <v>401</v>
      </c>
      <c r="B1427" s="2">
        <v>1700001</v>
      </c>
      <c r="C1427" s="2" t="s">
        <v>269</v>
      </c>
      <c r="D1427" s="3">
        <f>VLOOKUP(B1427,Sheet2!$A:$O,8,0)</f>
        <v>4019</v>
      </c>
    </row>
    <row r="1428" spans="1:4">
      <c r="A1428" s="8" t="s">
        <v>401</v>
      </c>
      <c r="B1428" s="2">
        <v>1700002</v>
      </c>
      <c r="C1428" s="2" t="s">
        <v>270</v>
      </c>
      <c r="D1428" s="3">
        <f>VLOOKUP(B1428,Sheet2!$A:$O,8,0)</f>
        <v>3726</v>
      </c>
    </row>
    <row r="1429" spans="1:4">
      <c r="A1429" s="8" t="s">
        <v>401</v>
      </c>
      <c r="B1429" s="2">
        <v>1700003</v>
      </c>
      <c r="C1429" s="2" t="s">
        <v>271</v>
      </c>
      <c r="D1429" s="3">
        <f>VLOOKUP(B1429,Sheet2!$A:$O,8,0)</f>
        <v>4902</v>
      </c>
    </row>
    <row r="1430" spans="1:4">
      <c r="A1430" s="8" t="s">
        <v>401</v>
      </c>
      <c r="B1430" s="2">
        <v>1700004</v>
      </c>
      <c r="C1430" s="2" t="s">
        <v>272</v>
      </c>
      <c r="D1430" s="3">
        <f>VLOOKUP(B1430,Sheet2!$A:$O,8,0)</f>
        <v>13235</v>
      </c>
    </row>
    <row r="1431" spans="1:4">
      <c r="A1431" s="8" t="s">
        <v>401</v>
      </c>
      <c r="B1431" s="2">
        <v>1700005</v>
      </c>
      <c r="C1431" s="2" t="s">
        <v>192</v>
      </c>
      <c r="D1431" s="3">
        <f>VLOOKUP(B1431,Sheet2!$A:$O,8,0)</f>
        <v>1765</v>
      </c>
    </row>
    <row r="1432" spans="1:4">
      <c r="A1432" s="8" t="s">
        <v>401</v>
      </c>
      <c r="B1432" s="2">
        <v>1700006</v>
      </c>
      <c r="C1432" s="2" t="s">
        <v>273</v>
      </c>
      <c r="D1432" s="3">
        <f>VLOOKUP(B1432,Sheet2!$A:$O,8,0)</f>
        <v>6373</v>
      </c>
    </row>
    <row r="1433" spans="1:4">
      <c r="A1433" s="8" t="s">
        <v>401</v>
      </c>
      <c r="B1433" s="2">
        <v>1700007</v>
      </c>
      <c r="C1433" s="2" t="s">
        <v>274</v>
      </c>
      <c r="D1433" s="3">
        <f>VLOOKUP(B1433,Sheet2!$A:$O,8,0)</f>
        <v>0</v>
      </c>
    </row>
    <row r="1434" spans="1:4">
      <c r="A1434" s="8" t="s">
        <v>401</v>
      </c>
      <c r="B1434" s="2">
        <v>1700008</v>
      </c>
      <c r="C1434" s="2" t="s">
        <v>275</v>
      </c>
      <c r="D1434" s="3">
        <f>VLOOKUP(B1434,Sheet2!$A:$O,8,0)</f>
        <v>0</v>
      </c>
    </row>
    <row r="1435" spans="1:4">
      <c r="A1435" s="8" t="s">
        <v>401</v>
      </c>
      <c r="B1435" s="2">
        <v>1700009</v>
      </c>
      <c r="C1435" s="2" t="s">
        <v>276</v>
      </c>
      <c r="D1435" s="3">
        <f>VLOOKUP(B1435,Sheet2!$A:$O,8,0)</f>
        <v>0</v>
      </c>
    </row>
    <row r="1436" spans="1:4">
      <c r="A1436" s="8" t="s">
        <v>401</v>
      </c>
      <c r="B1436" s="2">
        <v>1700010</v>
      </c>
      <c r="C1436" s="2" t="s">
        <v>277</v>
      </c>
      <c r="D1436" s="3">
        <f>VLOOKUP(B1436,Sheet2!$A:$O,8,0)</f>
        <v>3620</v>
      </c>
    </row>
    <row r="1437" spans="1:4">
      <c r="A1437" s="8" t="s">
        <v>401</v>
      </c>
      <c r="B1437" s="2">
        <v>1700011</v>
      </c>
      <c r="C1437" s="2" t="s">
        <v>278</v>
      </c>
      <c r="D1437" s="3">
        <f>VLOOKUP(B1437,Sheet2!$A:$O,8,0)</f>
        <v>11961</v>
      </c>
    </row>
    <row r="1438" spans="1:4">
      <c r="A1438" s="8" t="s">
        <v>401</v>
      </c>
      <c r="B1438" s="2">
        <v>1700012</v>
      </c>
      <c r="C1438" s="2" t="s">
        <v>279</v>
      </c>
      <c r="D1438" s="3">
        <f>VLOOKUP(B1438,Sheet2!$A:$O,8,0)</f>
        <v>12255</v>
      </c>
    </row>
    <row r="1439" spans="1:4">
      <c r="A1439" s="8" t="s">
        <v>401</v>
      </c>
      <c r="B1439" s="2">
        <v>1700013</v>
      </c>
      <c r="C1439" s="2" t="s">
        <v>280</v>
      </c>
      <c r="D1439" s="3">
        <f>VLOOKUP(B1439,Sheet2!$A:$O,8,0)</f>
        <v>18137</v>
      </c>
    </row>
    <row r="1440" spans="1:4">
      <c r="A1440" s="8" t="s">
        <v>401</v>
      </c>
      <c r="B1440" s="2">
        <v>1700014</v>
      </c>
      <c r="C1440" s="2" t="s">
        <v>194</v>
      </c>
      <c r="D1440" s="3">
        <f>VLOOKUP(B1440,Sheet2!$A:$O,8,0)</f>
        <v>2255</v>
      </c>
    </row>
    <row r="1441" spans="1:4">
      <c r="A1441" s="8" t="s">
        <v>401</v>
      </c>
      <c r="B1441" s="2">
        <v>1700015</v>
      </c>
      <c r="C1441" s="2" t="s">
        <v>281</v>
      </c>
      <c r="D1441" s="3">
        <f>VLOOKUP(B1441,Sheet2!$A:$O,8,0)</f>
        <v>2552</v>
      </c>
    </row>
    <row r="1442" spans="1:4">
      <c r="A1442" s="8" t="s">
        <v>401</v>
      </c>
      <c r="B1442" s="2">
        <v>1700016</v>
      </c>
      <c r="C1442" s="2" t="s">
        <v>282</v>
      </c>
      <c r="D1442" s="3">
        <f>VLOOKUP(B1442,Sheet2!$A:$O,8,0)</f>
        <v>3510</v>
      </c>
    </row>
    <row r="1443" spans="1:4">
      <c r="A1443" s="8" t="s">
        <v>401</v>
      </c>
      <c r="B1443" s="2">
        <v>1700017</v>
      </c>
      <c r="C1443" s="2" t="s">
        <v>283</v>
      </c>
      <c r="D1443" s="3">
        <f>VLOOKUP(B1443,Sheet2!$A:$O,8,0)</f>
        <v>9804</v>
      </c>
    </row>
    <row r="1444" spans="1:4">
      <c r="A1444" s="8" t="s">
        <v>401</v>
      </c>
      <c r="B1444" s="2">
        <v>1700018</v>
      </c>
      <c r="C1444" s="2" t="s">
        <v>284</v>
      </c>
      <c r="D1444" s="3">
        <f>VLOOKUP(B1444,Sheet2!$A:$O,8,0)</f>
        <v>3804</v>
      </c>
    </row>
    <row r="1445" spans="1:4">
      <c r="A1445" s="8" t="s">
        <v>401</v>
      </c>
      <c r="B1445" s="2">
        <v>1700019</v>
      </c>
      <c r="C1445" s="2" t="s">
        <v>285</v>
      </c>
      <c r="D1445" s="3">
        <f>VLOOKUP(B1445,Sheet2!$A:$O,8,0)</f>
        <v>0</v>
      </c>
    </row>
    <row r="1446" spans="1:4">
      <c r="A1446" s="8" t="s">
        <v>401</v>
      </c>
      <c r="B1446" s="2">
        <v>1700020</v>
      </c>
      <c r="C1446" s="2" t="s">
        <v>286</v>
      </c>
      <c r="D1446" s="3">
        <f>VLOOKUP(B1446,Sheet2!$A:$O,8,0)</f>
        <v>49412</v>
      </c>
    </row>
    <row r="1447" spans="1:4">
      <c r="A1447" s="8" t="s">
        <v>401</v>
      </c>
      <c r="B1447" s="2">
        <v>1700021</v>
      </c>
      <c r="C1447" s="2" t="s">
        <v>287</v>
      </c>
      <c r="D1447" s="3">
        <f>VLOOKUP(B1447,Sheet2!$A:$O,8,0)</f>
        <v>73938</v>
      </c>
    </row>
    <row r="1448" spans="1:4">
      <c r="A1448" s="8" t="s">
        <v>401</v>
      </c>
      <c r="B1448" s="2">
        <v>1700022</v>
      </c>
      <c r="C1448" s="2" t="s">
        <v>288</v>
      </c>
      <c r="D1448" s="3">
        <f>VLOOKUP(B1448,Sheet2!$A:$O,8,0)</f>
        <v>33706</v>
      </c>
    </row>
    <row r="1449" spans="1:4">
      <c r="A1449" s="8" t="s">
        <v>401</v>
      </c>
      <c r="B1449" s="2">
        <v>1700023</v>
      </c>
      <c r="C1449" s="2" t="s">
        <v>289</v>
      </c>
      <c r="D1449" s="3">
        <f>VLOOKUP(B1449,Sheet2!$A:$O,8,0)</f>
        <v>6343</v>
      </c>
    </row>
    <row r="1450" spans="1:4">
      <c r="A1450" s="8" t="s">
        <v>401</v>
      </c>
      <c r="B1450" s="2">
        <v>1700024</v>
      </c>
      <c r="C1450" s="2" t="s">
        <v>290</v>
      </c>
      <c r="D1450" s="3">
        <f>VLOOKUP(B1450,Sheet2!$A:$O,8,0)</f>
        <v>0</v>
      </c>
    </row>
    <row r="1451" spans="1:4">
      <c r="A1451" s="8" t="s">
        <v>401</v>
      </c>
      <c r="B1451" s="2">
        <v>1700025</v>
      </c>
      <c r="C1451" s="2" t="s">
        <v>291</v>
      </c>
      <c r="D1451" s="3">
        <f>VLOOKUP(B1451,Sheet2!$A:$O,8,0)</f>
        <v>1961</v>
      </c>
    </row>
    <row r="1452" spans="1:4">
      <c r="A1452" s="8" t="s">
        <v>401</v>
      </c>
      <c r="B1452" s="2">
        <v>1700026</v>
      </c>
      <c r="C1452" s="2" t="s">
        <v>292</v>
      </c>
      <c r="D1452" s="3">
        <f>VLOOKUP(B1452,Sheet2!$A:$O,8,0)</f>
        <v>4412</v>
      </c>
    </row>
    <row r="1453" spans="1:4">
      <c r="A1453" s="8" t="s">
        <v>401</v>
      </c>
      <c r="B1453" s="2">
        <v>1700027</v>
      </c>
      <c r="C1453" s="2" t="s">
        <v>293</v>
      </c>
      <c r="D1453" s="3">
        <f>VLOOKUP(B1453,Sheet2!$A:$O,8,0)</f>
        <v>4412</v>
      </c>
    </row>
    <row r="1454" spans="1:4">
      <c r="A1454" s="8" t="s">
        <v>401</v>
      </c>
      <c r="B1454" s="2">
        <v>1700028</v>
      </c>
      <c r="C1454" s="2" t="s">
        <v>294</v>
      </c>
      <c r="D1454" s="3">
        <f>VLOOKUP(B1454,Sheet2!$A:$O,8,0)</f>
        <v>9500</v>
      </c>
    </row>
    <row r="1455" spans="1:4">
      <c r="A1455" s="8" t="s">
        <v>401</v>
      </c>
      <c r="B1455" s="2">
        <v>1700029</v>
      </c>
      <c r="C1455" s="2" t="s">
        <v>295</v>
      </c>
      <c r="D1455" s="3">
        <f>VLOOKUP(B1455,Sheet2!$A:$O,8,0)</f>
        <v>10670</v>
      </c>
    </row>
    <row r="1456" spans="1:4">
      <c r="A1456" s="8" t="s">
        <v>401</v>
      </c>
      <c r="B1456" s="2">
        <v>1700030</v>
      </c>
      <c r="C1456" s="2" t="s">
        <v>296</v>
      </c>
      <c r="D1456" s="3">
        <f>VLOOKUP(B1456,Sheet2!$A:$O,8,0)</f>
        <v>12720</v>
      </c>
    </row>
    <row r="1457" spans="1:4">
      <c r="A1457" s="8" t="s">
        <v>401</v>
      </c>
      <c r="B1457" s="2">
        <v>1700031</v>
      </c>
      <c r="C1457" s="2" t="s">
        <v>196</v>
      </c>
      <c r="D1457" s="3">
        <f>VLOOKUP(B1457,Sheet2!$A:$O,8,0)</f>
        <v>1961</v>
      </c>
    </row>
    <row r="1458" spans="1:4">
      <c r="A1458" s="8" t="s">
        <v>401</v>
      </c>
      <c r="B1458" s="2">
        <v>1700032</v>
      </c>
      <c r="C1458" s="2" t="s">
        <v>297</v>
      </c>
      <c r="D1458" s="3">
        <f>VLOOKUP(B1458,Sheet2!$A:$O,8,0)</f>
        <v>0</v>
      </c>
    </row>
    <row r="1459" spans="1:4">
      <c r="A1459" s="8" t="s">
        <v>401</v>
      </c>
      <c r="B1459" s="2">
        <v>1700033</v>
      </c>
      <c r="C1459" s="2" t="s">
        <v>298</v>
      </c>
      <c r="D1459" s="3">
        <f>VLOOKUP(B1459,Sheet2!$A:$O,8,0)</f>
        <v>0</v>
      </c>
    </row>
    <row r="1460" spans="1:4">
      <c r="A1460" s="8" t="s">
        <v>401</v>
      </c>
      <c r="B1460" s="2">
        <v>1700034</v>
      </c>
      <c r="C1460" s="2" t="s">
        <v>299</v>
      </c>
      <c r="D1460" s="3">
        <f>VLOOKUP(B1460,Sheet2!$A:$O,8,0)</f>
        <v>15125</v>
      </c>
    </row>
    <row r="1461" spans="1:4">
      <c r="A1461" s="8" t="s">
        <v>401</v>
      </c>
      <c r="B1461" s="2">
        <v>1700035</v>
      </c>
      <c r="C1461" s="2" t="s">
        <v>300</v>
      </c>
      <c r="D1461" s="3">
        <f>VLOOKUP(B1461,Sheet2!$A:$O,8,0)</f>
        <v>64367</v>
      </c>
    </row>
    <row r="1462" spans="1:4">
      <c r="A1462" s="8" t="s">
        <v>401</v>
      </c>
      <c r="B1462" s="2">
        <v>1700036</v>
      </c>
      <c r="C1462" s="2" t="s">
        <v>301</v>
      </c>
      <c r="D1462" s="3">
        <f>VLOOKUP(B1462,Sheet2!$A:$O,8,0)</f>
        <v>5200</v>
      </c>
    </row>
    <row r="1463" spans="1:4">
      <c r="A1463" s="8" t="s">
        <v>401</v>
      </c>
      <c r="B1463" s="2">
        <v>1700037</v>
      </c>
      <c r="C1463" s="2" t="s">
        <v>302</v>
      </c>
      <c r="D1463" s="3">
        <f>VLOOKUP(B1463,Sheet2!$A:$O,8,0)</f>
        <v>7533</v>
      </c>
    </row>
    <row r="1464" spans="1:4">
      <c r="A1464" s="8" t="s">
        <v>401</v>
      </c>
      <c r="B1464" s="2">
        <v>1700038</v>
      </c>
      <c r="C1464" s="2" t="s">
        <v>303</v>
      </c>
      <c r="D1464" s="3">
        <f>VLOOKUP(B1464,Sheet2!$A:$O,8,0)</f>
        <v>2687</v>
      </c>
    </row>
    <row r="1465" spans="1:4">
      <c r="A1465" s="8" t="s">
        <v>401</v>
      </c>
      <c r="B1465" s="2">
        <v>1700039</v>
      </c>
      <c r="C1465" s="2" t="s">
        <v>304</v>
      </c>
      <c r="D1465" s="3">
        <f>VLOOKUP(B1465,Sheet2!$A:$O,8,0)</f>
        <v>2431</v>
      </c>
    </row>
    <row r="1466" spans="1:4">
      <c r="A1466" s="8" t="s">
        <v>401</v>
      </c>
      <c r="B1466" s="2">
        <v>1700040</v>
      </c>
      <c r="C1466" s="2" t="s">
        <v>305</v>
      </c>
      <c r="D1466" s="3">
        <f>VLOOKUP(B1466,Sheet2!$A:$O,8,0)</f>
        <v>1967</v>
      </c>
    </row>
    <row r="1467" spans="1:4">
      <c r="A1467" s="8" t="s">
        <v>401</v>
      </c>
      <c r="B1467" s="2">
        <v>1700041</v>
      </c>
      <c r="C1467" s="2" t="s">
        <v>306</v>
      </c>
      <c r="D1467" s="3">
        <f>VLOOKUP(B1467,Sheet2!$A:$O,8,0)</f>
        <v>3000</v>
      </c>
    </row>
    <row r="1468" spans="1:4">
      <c r="A1468" s="8" t="s">
        <v>401</v>
      </c>
      <c r="B1468" s="2">
        <v>1700042</v>
      </c>
      <c r="C1468" s="2" t="s">
        <v>307</v>
      </c>
      <c r="D1468" s="3">
        <f>VLOOKUP(B1468,Sheet2!$A:$O,8,0)</f>
        <v>3211</v>
      </c>
    </row>
    <row r="1469" spans="1:4">
      <c r="A1469" s="8" t="s">
        <v>401</v>
      </c>
      <c r="B1469" s="2">
        <v>1700043</v>
      </c>
      <c r="C1469" s="2" t="s">
        <v>308</v>
      </c>
      <c r="D1469" s="3">
        <f>VLOOKUP(B1469,Sheet2!$A:$O,8,0)</f>
        <v>4652</v>
      </c>
    </row>
    <row r="1470" spans="1:4">
      <c r="A1470" s="8" t="s">
        <v>401</v>
      </c>
      <c r="B1470" s="2">
        <v>1700044</v>
      </c>
      <c r="C1470" s="2" t="s">
        <v>309</v>
      </c>
      <c r="D1470" s="3">
        <f>VLOOKUP(B1470,Sheet2!$A:$O,8,0)</f>
        <v>7000</v>
      </c>
    </row>
    <row r="1471" spans="1:4">
      <c r="A1471" s="8" t="s">
        <v>401</v>
      </c>
      <c r="B1471" s="2">
        <v>1700045</v>
      </c>
      <c r="C1471" s="2" t="s">
        <v>310</v>
      </c>
      <c r="D1471" s="3">
        <f>VLOOKUP(B1471,Sheet2!$A:$O,8,0)</f>
        <v>3373</v>
      </c>
    </row>
    <row r="1472" spans="1:4">
      <c r="A1472" s="8" t="s">
        <v>401</v>
      </c>
      <c r="B1472" s="2">
        <v>1700046</v>
      </c>
      <c r="C1472" s="2" t="s">
        <v>311</v>
      </c>
      <c r="D1472" s="3">
        <f>VLOOKUP(B1472,Sheet2!$A:$O,8,0)</f>
        <v>6863</v>
      </c>
    </row>
    <row r="1473" spans="1:4">
      <c r="A1473" s="8" t="s">
        <v>401</v>
      </c>
      <c r="B1473" s="2">
        <v>1700047</v>
      </c>
      <c r="C1473" s="2" t="s">
        <v>312</v>
      </c>
      <c r="D1473" s="3">
        <f>VLOOKUP(B1473,Sheet2!$A:$O,8,0)</f>
        <v>22150</v>
      </c>
    </row>
    <row r="1474" spans="1:4">
      <c r="A1474" s="8" t="s">
        <v>401</v>
      </c>
      <c r="B1474" s="2">
        <v>1700048</v>
      </c>
      <c r="C1474" s="2" t="s">
        <v>313</v>
      </c>
      <c r="D1474" s="3">
        <f>VLOOKUP(B1474,Sheet2!$A:$O,8,0)</f>
        <v>13330</v>
      </c>
    </row>
    <row r="1475" spans="1:4">
      <c r="A1475" s="8" t="s">
        <v>401</v>
      </c>
      <c r="B1475" s="2">
        <v>1700049</v>
      </c>
      <c r="C1475" s="2" t="s">
        <v>314</v>
      </c>
      <c r="D1475" s="3">
        <f>VLOOKUP(B1475,Sheet2!$A:$O,8,0)</f>
        <v>5785</v>
      </c>
    </row>
    <row r="1476" spans="1:4">
      <c r="A1476" s="8" t="s">
        <v>401</v>
      </c>
      <c r="B1476" s="2">
        <v>1700050</v>
      </c>
      <c r="C1476" s="2" t="s">
        <v>315</v>
      </c>
      <c r="D1476" s="3">
        <f>VLOOKUP(B1476,Sheet2!$A:$O,8,0)</f>
        <v>39000</v>
      </c>
    </row>
    <row r="1477" spans="1:4">
      <c r="A1477" s="8" t="s">
        <v>401</v>
      </c>
      <c r="B1477" s="2">
        <v>1700051</v>
      </c>
      <c r="C1477" s="2" t="s">
        <v>316</v>
      </c>
      <c r="D1477" s="3">
        <f>VLOOKUP(B1477,Sheet2!$A:$O,8,0)</f>
        <v>11500</v>
      </c>
    </row>
    <row r="1478" spans="1:4">
      <c r="A1478" s="8" t="s">
        <v>401</v>
      </c>
      <c r="B1478" s="2">
        <v>1700052</v>
      </c>
      <c r="C1478" s="2" t="s">
        <v>317</v>
      </c>
      <c r="D1478" s="3">
        <f>VLOOKUP(B1478,Sheet2!$A:$O,8,0)</f>
        <v>3444</v>
      </c>
    </row>
    <row r="1479" spans="1:4">
      <c r="A1479" s="8" t="s">
        <v>401</v>
      </c>
      <c r="B1479" s="2">
        <v>1700053</v>
      </c>
      <c r="C1479" s="2" t="s">
        <v>318</v>
      </c>
      <c r="D1479" s="3">
        <f>VLOOKUP(B1479,Sheet2!$A:$O,8,0)</f>
        <v>15530</v>
      </c>
    </row>
    <row r="1480" spans="1:4">
      <c r="A1480" s="8" t="s">
        <v>401</v>
      </c>
      <c r="B1480" s="2">
        <v>1700054</v>
      </c>
      <c r="C1480" s="2" t="s">
        <v>319</v>
      </c>
      <c r="D1480" s="3">
        <f>VLOOKUP(B1480,Sheet2!$A:$O,8,0)</f>
        <v>11670</v>
      </c>
    </row>
    <row r="1481" spans="1:4">
      <c r="A1481" s="8" t="s">
        <v>401</v>
      </c>
      <c r="B1481" s="2">
        <v>1700055</v>
      </c>
      <c r="C1481" s="2" t="s">
        <v>320</v>
      </c>
      <c r="D1481" s="3">
        <f>VLOOKUP(B1481,Sheet2!$A:$O,8,0)</f>
        <v>11940</v>
      </c>
    </row>
    <row r="1482" spans="1:4">
      <c r="A1482" s="8" t="s">
        <v>401</v>
      </c>
      <c r="B1482" s="2">
        <v>1700056</v>
      </c>
      <c r="C1482" s="2" t="s">
        <v>321</v>
      </c>
      <c r="D1482" s="3">
        <f>VLOOKUP(B1482,Sheet2!$A:$O,8,0)</f>
        <v>5775</v>
      </c>
    </row>
    <row r="1483" spans="1:4">
      <c r="A1483" s="8" t="s">
        <v>401</v>
      </c>
      <c r="B1483" s="2">
        <v>1700057</v>
      </c>
      <c r="C1483" s="2" t="s">
        <v>322</v>
      </c>
      <c r="D1483" s="3">
        <f>VLOOKUP(B1483,Sheet2!$A:$O,8,0)</f>
        <v>2098</v>
      </c>
    </row>
    <row r="1484" spans="1:4">
      <c r="A1484" s="8" t="s">
        <v>401</v>
      </c>
      <c r="B1484" s="2">
        <v>1700058</v>
      </c>
      <c r="C1484" s="2" t="s">
        <v>323</v>
      </c>
      <c r="D1484" s="3">
        <f>VLOOKUP(B1484,Sheet2!$A:$O,8,0)</f>
        <v>5800</v>
      </c>
    </row>
    <row r="1485" spans="1:4">
      <c r="A1485" s="8" t="s">
        <v>401</v>
      </c>
      <c r="B1485" s="2">
        <v>1700059</v>
      </c>
      <c r="C1485" s="2" t="s">
        <v>324</v>
      </c>
      <c r="D1485" s="3">
        <f>VLOOKUP(B1485,Sheet2!$A:$O,8,0)</f>
        <v>27667</v>
      </c>
    </row>
    <row r="1486" spans="1:4">
      <c r="A1486" s="8" t="s">
        <v>401</v>
      </c>
      <c r="B1486" s="2">
        <v>1700060</v>
      </c>
      <c r="C1486" s="2" t="s">
        <v>325</v>
      </c>
      <c r="D1486" s="3">
        <f>VLOOKUP(B1486,Sheet2!$A:$O,8,0)</f>
        <v>5314</v>
      </c>
    </row>
    <row r="1487" spans="1:4">
      <c r="A1487" s="8" t="s">
        <v>401</v>
      </c>
      <c r="B1487" s="2">
        <v>1700061</v>
      </c>
      <c r="C1487" s="2" t="s">
        <v>326</v>
      </c>
      <c r="D1487" s="3">
        <f>VLOOKUP(B1487,Sheet2!$A:$O,8,0)</f>
        <v>8920</v>
      </c>
    </row>
    <row r="1488" spans="1:4">
      <c r="A1488" s="8" t="s">
        <v>401</v>
      </c>
      <c r="B1488" s="2">
        <v>1700062</v>
      </c>
      <c r="C1488" s="2" t="s">
        <v>327</v>
      </c>
      <c r="D1488" s="3">
        <f>VLOOKUP(B1488,Sheet2!$A:$O,8,0)</f>
        <v>10520</v>
      </c>
    </row>
    <row r="1489" spans="1:4">
      <c r="A1489" s="8" t="s">
        <v>401</v>
      </c>
      <c r="B1489" s="2">
        <v>1700063</v>
      </c>
      <c r="C1489" s="2" t="s">
        <v>328</v>
      </c>
      <c r="D1489" s="3">
        <f>VLOOKUP(B1489,Sheet2!$A:$O,8,0)</f>
        <v>10550</v>
      </c>
    </row>
    <row r="1490" spans="1:4">
      <c r="A1490" s="8" t="s">
        <v>401</v>
      </c>
      <c r="B1490" s="2">
        <v>1700064</v>
      </c>
      <c r="C1490" s="2" t="s">
        <v>329</v>
      </c>
      <c r="D1490" s="3">
        <f>VLOOKUP(B1490,Sheet2!$A:$O,8,0)</f>
        <v>11060</v>
      </c>
    </row>
    <row r="1491" spans="1:4">
      <c r="A1491" s="8" t="s">
        <v>401</v>
      </c>
      <c r="B1491" s="2">
        <v>1700065</v>
      </c>
      <c r="C1491" s="2" t="s">
        <v>330</v>
      </c>
      <c r="D1491" s="3">
        <f>VLOOKUP(B1491,Sheet2!$A:$O,8,0)</f>
        <v>12760</v>
      </c>
    </row>
    <row r="1492" spans="1:4">
      <c r="A1492" s="8" t="s">
        <v>401</v>
      </c>
      <c r="B1492" s="2">
        <v>1700066</v>
      </c>
      <c r="C1492" s="2" t="s">
        <v>331</v>
      </c>
      <c r="D1492" s="3">
        <f>VLOOKUP(B1492,Sheet2!$A:$O,8,0)</f>
        <v>13200</v>
      </c>
    </row>
    <row r="1493" spans="1:4">
      <c r="A1493" s="8" t="s">
        <v>401</v>
      </c>
      <c r="B1493" s="2">
        <v>1700067</v>
      </c>
      <c r="C1493" s="2" t="s">
        <v>332</v>
      </c>
      <c r="D1493" s="3">
        <f>VLOOKUP(B1493,Sheet2!$A:$O,8,0)</f>
        <v>10720</v>
      </c>
    </row>
    <row r="1494" spans="1:4">
      <c r="A1494" s="8" t="s">
        <v>401</v>
      </c>
      <c r="B1494" s="2">
        <v>1700068</v>
      </c>
      <c r="C1494" s="2" t="s">
        <v>333</v>
      </c>
      <c r="D1494" s="3">
        <f>VLOOKUP(B1494,Sheet2!$A:$O,8,0)</f>
        <v>12720</v>
      </c>
    </row>
    <row r="1495" spans="1:4">
      <c r="A1495" s="8" t="s">
        <v>401</v>
      </c>
      <c r="B1495" s="2">
        <v>1700069</v>
      </c>
      <c r="C1495" s="2" t="s">
        <v>334</v>
      </c>
      <c r="D1495" s="3">
        <f>VLOOKUP(B1495,Sheet2!$A:$O,8,0)</f>
        <v>14000</v>
      </c>
    </row>
    <row r="1496" spans="1:4">
      <c r="A1496" s="8" t="s">
        <v>401</v>
      </c>
      <c r="B1496" s="2">
        <v>1700070</v>
      </c>
      <c r="C1496" s="2" t="s">
        <v>335</v>
      </c>
      <c r="D1496" s="3">
        <f>VLOOKUP(B1496,Sheet2!$A:$O,8,0)</f>
        <v>1618</v>
      </c>
    </row>
    <row r="1497" spans="1:4">
      <c r="A1497" s="8" t="s">
        <v>401</v>
      </c>
      <c r="B1497" s="2">
        <v>1700071</v>
      </c>
      <c r="C1497" s="2" t="s">
        <v>336</v>
      </c>
      <c r="D1497" s="3">
        <f>VLOOKUP(B1497,Sheet2!$A:$O,8,0)</f>
        <v>12190</v>
      </c>
    </row>
    <row r="1498" spans="1:4">
      <c r="A1498" s="8" t="s">
        <v>401</v>
      </c>
      <c r="B1498" s="2">
        <v>1700072</v>
      </c>
      <c r="C1498" s="2" t="s">
        <v>337</v>
      </c>
      <c r="D1498" s="3">
        <f>VLOOKUP(B1498,Sheet2!$A:$O,8,0)</f>
        <v>10180</v>
      </c>
    </row>
    <row r="1499" spans="1:4">
      <c r="A1499" s="8" t="s">
        <v>401</v>
      </c>
      <c r="B1499" s="2">
        <v>1700073</v>
      </c>
      <c r="C1499" s="2" t="s">
        <v>338</v>
      </c>
      <c r="D1499" s="3">
        <f>VLOOKUP(B1499,Sheet2!$A:$O,8,0)</f>
        <v>9020</v>
      </c>
    </row>
    <row r="1500" spans="1:4">
      <c r="A1500" s="8" t="s">
        <v>401</v>
      </c>
      <c r="B1500" s="2">
        <v>1700076</v>
      </c>
      <c r="C1500" s="2" t="s">
        <v>339</v>
      </c>
      <c r="D1500" s="3">
        <f>VLOOKUP(B1500,Sheet2!$A:$O,8,0)</f>
        <v>2451</v>
      </c>
    </row>
    <row r="1501" spans="1:4">
      <c r="A1501" s="8" t="s">
        <v>401</v>
      </c>
      <c r="B1501" s="2">
        <v>1700077</v>
      </c>
      <c r="C1501" s="2" t="s">
        <v>340</v>
      </c>
      <c r="D1501" s="3">
        <f>VLOOKUP(B1501,Sheet2!$A:$O,8,0)</f>
        <v>2353</v>
      </c>
    </row>
    <row r="1502" spans="1:4">
      <c r="A1502" s="8" t="s">
        <v>401</v>
      </c>
      <c r="B1502" s="2">
        <v>1700078</v>
      </c>
      <c r="C1502" s="2" t="s">
        <v>341</v>
      </c>
      <c r="D1502" s="3">
        <f>VLOOKUP(B1502,Sheet2!$A:$O,8,0)</f>
        <v>4284</v>
      </c>
    </row>
    <row r="1503" spans="1:4">
      <c r="A1503" s="8" t="s">
        <v>401</v>
      </c>
      <c r="B1503" s="2">
        <v>1700080</v>
      </c>
      <c r="C1503" s="2" t="s">
        <v>342</v>
      </c>
      <c r="D1503" s="3">
        <f>VLOOKUP(B1503,Sheet2!$A:$O,8,0)</f>
        <v>3529</v>
      </c>
    </row>
    <row r="1504" spans="1:4">
      <c r="A1504" s="8" t="s">
        <v>401</v>
      </c>
      <c r="B1504" s="2">
        <v>1700083</v>
      </c>
      <c r="C1504" s="2" t="s">
        <v>343</v>
      </c>
      <c r="D1504" s="3">
        <f>VLOOKUP(B1504,Sheet2!$A:$O,8,0)</f>
        <v>5738</v>
      </c>
    </row>
    <row r="1505" spans="1:4">
      <c r="A1505" s="8" t="s">
        <v>401</v>
      </c>
      <c r="B1505" s="2">
        <v>1700084</v>
      </c>
      <c r="C1505" s="2" t="s">
        <v>344</v>
      </c>
      <c r="D1505" s="3">
        <f>VLOOKUP(B1505,Sheet2!$A:$O,8,0)</f>
        <v>10882</v>
      </c>
    </row>
    <row r="1506" spans="1:4">
      <c r="A1506" s="8" t="s">
        <v>401</v>
      </c>
      <c r="B1506" s="2">
        <v>1700085</v>
      </c>
      <c r="C1506" s="2" t="s">
        <v>345</v>
      </c>
      <c r="D1506" s="3">
        <f>VLOOKUP(B1506,Sheet2!$A:$O,8,0)</f>
        <v>7860</v>
      </c>
    </row>
    <row r="1507" spans="1:4">
      <c r="A1507" s="8" t="s">
        <v>401</v>
      </c>
      <c r="B1507" s="2">
        <v>1700086</v>
      </c>
      <c r="C1507" s="2" t="s">
        <v>346</v>
      </c>
      <c r="D1507" s="3">
        <f>VLOOKUP(B1507,Sheet2!$A:$O,8,0)</f>
        <v>2657</v>
      </c>
    </row>
    <row r="1508" spans="1:4">
      <c r="A1508" s="8" t="s">
        <v>401</v>
      </c>
      <c r="B1508" s="2">
        <v>1700087</v>
      </c>
      <c r="C1508" s="2" t="s">
        <v>347</v>
      </c>
      <c r="D1508" s="3">
        <f>VLOOKUP(B1508,Sheet2!$A:$O,8,0)</f>
        <v>4660</v>
      </c>
    </row>
    <row r="1509" spans="1:4">
      <c r="A1509" s="8" t="s">
        <v>401</v>
      </c>
      <c r="B1509" s="2">
        <v>1700088</v>
      </c>
      <c r="C1509" s="2" t="s">
        <v>348</v>
      </c>
      <c r="D1509" s="3">
        <f>VLOOKUP(B1509,Sheet2!$A:$O,8,0)</f>
        <v>15500</v>
      </c>
    </row>
    <row r="1510" spans="1:4">
      <c r="A1510" s="8" t="s">
        <v>401</v>
      </c>
      <c r="B1510" s="2">
        <v>1700089</v>
      </c>
      <c r="C1510" s="2" t="s">
        <v>349</v>
      </c>
      <c r="D1510" s="3">
        <f>VLOOKUP(B1510,Sheet2!$A:$O,8,0)</f>
        <v>18500</v>
      </c>
    </row>
    <row r="1511" spans="1:4">
      <c r="A1511" s="8" t="s">
        <v>401</v>
      </c>
      <c r="B1511" s="2">
        <v>1700090</v>
      </c>
      <c r="C1511" s="2" t="s">
        <v>350</v>
      </c>
      <c r="D1511" s="3">
        <f>VLOOKUP(B1511,Sheet2!$A:$O,8,0)</f>
        <v>25490</v>
      </c>
    </row>
    <row r="1512" spans="1:4">
      <c r="A1512" s="8" t="s">
        <v>401</v>
      </c>
      <c r="B1512" s="2">
        <v>1700091</v>
      </c>
      <c r="C1512" s="2" t="s">
        <v>351</v>
      </c>
      <c r="D1512" s="3">
        <f>VLOOKUP(B1512,Sheet2!$A:$O,8,0)</f>
        <v>18000</v>
      </c>
    </row>
    <row r="1513" spans="1:4">
      <c r="A1513" s="8" t="s">
        <v>401</v>
      </c>
      <c r="B1513" s="2">
        <v>1700092</v>
      </c>
      <c r="C1513" s="2" t="s">
        <v>352</v>
      </c>
      <c r="D1513" s="3">
        <f>VLOOKUP(B1513,Sheet2!$A:$O,8,0)</f>
        <v>2961</v>
      </c>
    </row>
    <row r="1514" spans="1:4">
      <c r="A1514" s="8" t="s">
        <v>401</v>
      </c>
      <c r="B1514" s="2">
        <v>1700093</v>
      </c>
      <c r="C1514" s="2" t="s">
        <v>353</v>
      </c>
      <c r="D1514" s="3">
        <f>VLOOKUP(B1514,Sheet2!$A:$O,8,0)</f>
        <v>23760</v>
      </c>
    </row>
    <row r="1515" spans="1:4">
      <c r="A1515" s="8" t="s">
        <v>401</v>
      </c>
      <c r="B1515" s="2">
        <v>1700094</v>
      </c>
      <c r="C1515" s="2" t="s">
        <v>354</v>
      </c>
      <c r="D1515" s="3">
        <f>VLOOKUP(B1515,Sheet2!$A:$O,8,0)</f>
        <v>13529</v>
      </c>
    </row>
    <row r="1516" spans="1:4">
      <c r="A1516" s="8" t="s">
        <v>401</v>
      </c>
      <c r="B1516" s="2">
        <v>1700095</v>
      </c>
      <c r="C1516" s="2" t="s">
        <v>355</v>
      </c>
      <c r="D1516" s="3">
        <f>VLOOKUP(B1516,Sheet2!$A:$O,8,0)</f>
        <v>4500</v>
      </c>
    </row>
    <row r="1517" spans="1:4">
      <c r="A1517" s="8" t="s">
        <v>401</v>
      </c>
      <c r="B1517" s="2">
        <v>1700096</v>
      </c>
      <c r="C1517" s="2" t="s">
        <v>356</v>
      </c>
      <c r="D1517" s="3">
        <f>VLOOKUP(B1517,Sheet2!$A:$O,8,0)</f>
        <v>24510</v>
      </c>
    </row>
    <row r="1518" spans="1:4">
      <c r="A1518" s="8" t="s">
        <v>401</v>
      </c>
      <c r="B1518" s="2">
        <v>1700097</v>
      </c>
      <c r="C1518" s="2" t="s">
        <v>357</v>
      </c>
      <c r="D1518" s="3">
        <f>VLOOKUP(B1518,Sheet2!$A:$O,8,0)</f>
        <v>19608</v>
      </c>
    </row>
    <row r="1519" spans="1:4">
      <c r="A1519" s="8" t="s">
        <v>401</v>
      </c>
      <c r="B1519" s="2">
        <v>1700098</v>
      </c>
      <c r="C1519" s="2" t="s">
        <v>358</v>
      </c>
      <c r="D1519" s="3">
        <f>VLOOKUP(B1519,Sheet2!$A:$O,8,0)</f>
        <v>19608</v>
      </c>
    </row>
    <row r="1520" spans="1:4">
      <c r="A1520" s="8" t="s">
        <v>401</v>
      </c>
      <c r="B1520" s="2">
        <v>1700099</v>
      </c>
      <c r="C1520" s="2" t="s">
        <v>359</v>
      </c>
      <c r="D1520" s="3">
        <f>VLOOKUP(B1520,Sheet2!$A:$O,8,0)</f>
        <v>9000</v>
      </c>
    </row>
    <row r="1521" spans="1:4">
      <c r="A1521" s="8" t="s">
        <v>401</v>
      </c>
      <c r="B1521" s="2">
        <v>1700100</v>
      </c>
      <c r="C1521" s="2" t="s">
        <v>360</v>
      </c>
      <c r="D1521" s="3">
        <f>VLOOKUP(B1521,Sheet2!$A:$O,8,0)</f>
        <v>3030</v>
      </c>
    </row>
    <row r="1522" spans="1:4">
      <c r="A1522" s="8" t="s">
        <v>401</v>
      </c>
      <c r="B1522" s="2">
        <v>1700101</v>
      </c>
      <c r="C1522" s="2" t="s">
        <v>361</v>
      </c>
      <c r="D1522" s="3">
        <f>VLOOKUP(B1522,Sheet2!$A:$O,8,0)</f>
        <v>8647</v>
      </c>
    </row>
    <row r="1523" spans="1:4">
      <c r="A1523" s="8" t="s">
        <v>401</v>
      </c>
      <c r="B1523" s="2">
        <v>1700102</v>
      </c>
      <c r="C1523" s="2" t="s">
        <v>362</v>
      </c>
      <c r="D1523" s="3">
        <f>VLOOKUP(B1523,Sheet2!$A:$O,8,0)</f>
        <v>40196</v>
      </c>
    </row>
    <row r="1524" spans="1:4">
      <c r="A1524" s="8" t="s">
        <v>401</v>
      </c>
      <c r="B1524" s="2">
        <v>1700103</v>
      </c>
      <c r="C1524" s="2" t="s">
        <v>363</v>
      </c>
      <c r="D1524" s="3">
        <f>VLOOKUP(B1524,Sheet2!$A:$O,8,0)</f>
        <v>9000</v>
      </c>
    </row>
    <row r="1525" spans="1:4">
      <c r="A1525" s="8" t="s">
        <v>401</v>
      </c>
      <c r="B1525" s="2">
        <v>1700104</v>
      </c>
      <c r="C1525" s="2" t="s">
        <v>364</v>
      </c>
      <c r="D1525" s="3">
        <f>VLOOKUP(B1525,Sheet2!$A:$O,8,0)</f>
        <v>22620</v>
      </c>
    </row>
    <row r="1526" spans="1:4">
      <c r="A1526" s="8" t="s">
        <v>401</v>
      </c>
      <c r="B1526" s="2">
        <v>1700105</v>
      </c>
      <c r="C1526" s="2" t="s">
        <v>365</v>
      </c>
      <c r="D1526" s="3">
        <f>VLOOKUP(B1526,Sheet2!$A:$O,8,0)</f>
        <v>10588</v>
      </c>
    </row>
    <row r="1527" spans="1:4">
      <c r="A1527" s="8" t="s">
        <v>401</v>
      </c>
      <c r="B1527" s="2">
        <v>1700106</v>
      </c>
      <c r="C1527" s="2" t="s">
        <v>366</v>
      </c>
      <c r="D1527" s="3">
        <f>VLOOKUP(B1527,Sheet2!$A:$O,8,0)</f>
        <v>14020</v>
      </c>
    </row>
    <row r="1528" spans="1:4">
      <c r="A1528" s="8" t="s">
        <v>401</v>
      </c>
      <c r="B1528" s="2">
        <v>1700107</v>
      </c>
      <c r="C1528" s="2" t="s">
        <v>367</v>
      </c>
      <c r="D1528" s="3">
        <f>VLOOKUP(B1528,Sheet2!$A:$O,8,0)</f>
        <v>9020</v>
      </c>
    </row>
    <row r="1529" spans="1:4">
      <c r="A1529" s="8" t="s">
        <v>401</v>
      </c>
      <c r="B1529" s="2">
        <v>1800002</v>
      </c>
      <c r="C1529" s="2" t="s">
        <v>368</v>
      </c>
      <c r="D1529" s="3">
        <f>VLOOKUP(B1529,Sheet2!$A:$O,8,0)</f>
        <v>9520</v>
      </c>
    </row>
    <row r="1530" spans="1:4">
      <c r="A1530" s="8" t="s">
        <v>401</v>
      </c>
      <c r="B1530" s="2">
        <v>1800004</v>
      </c>
      <c r="C1530" s="2" t="s">
        <v>369</v>
      </c>
      <c r="D1530" s="3">
        <f>VLOOKUP(B1530,Sheet2!$A:$O,8,0)</f>
        <v>0</v>
      </c>
    </row>
    <row r="1531" spans="1:4">
      <c r="A1531" s="8" t="s">
        <v>401</v>
      </c>
      <c r="B1531" s="2">
        <v>1800005</v>
      </c>
      <c r="C1531" s="2" t="s">
        <v>370</v>
      </c>
      <c r="D1531" s="3">
        <f>VLOOKUP(B1531,Sheet2!$A:$O,8,0)</f>
        <v>0</v>
      </c>
    </row>
    <row r="1532" spans="1:4">
      <c r="A1532" s="8" t="s">
        <v>401</v>
      </c>
      <c r="B1532" s="2">
        <v>1800006</v>
      </c>
      <c r="C1532" s="2" t="s">
        <v>371</v>
      </c>
      <c r="D1532" s="3">
        <f>VLOOKUP(B1532,Sheet2!$A:$O,8,0)</f>
        <v>0</v>
      </c>
    </row>
    <row r="1533" spans="1:4">
      <c r="A1533" s="8" t="s">
        <v>401</v>
      </c>
      <c r="B1533" s="2">
        <v>1800007</v>
      </c>
      <c r="C1533" s="2" t="s">
        <v>372</v>
      </c>
      <c r="D1533" s="3">
        <f>VLOOKUP(B1533,Sheet2!$A:$O,8,0)</f>
        <v>10000</v>
      </c>
    </row>
    <row r="1534" spans="1:4">
      <c r="A1534" s="8" t="s">
        <v>401</v>
      </c>
      <c r="B1534" s="2">
        <v>1800008</v>
      </c>
      <c r="C1534" s="2" t="s">
        <v>373</v>
      </c>
      <c r="D1534" s="3">
        <f>VLOOKUP(B1534,Sheet2!$A:$O,8,0)</f>
        <v>10110</v>
      </c>
    </row>
    <row r="1535" spans="1:4">
      <c r="A1535" s="8" t="s">
        <v>401</v>
      </c>
      <c r="B1535" s="2">
        <v>1800009</v>
      </c>
      <c r="C1535" s="2" t="s">
        <v>374</v>
      </c>
      <c r="D1535" s="3">
        <f>VLOOKUP(B1535,Sheet2!$A:$O,8,0)</f>
        <v>11800</v>
      </c>
    </row>
    <row r="1536" spans="1:4">
      <c r="A1536" s="8" t="s">
        <v>401</v>
      </c>
      <c r="B1536" s="2">
        <v>1800010</v>
      </c>
      <c r="C1536" s="2" t="s">
        <v>375</v>
      </c>
      <c r="D1536" s="3">
        <f>VLOOKUP(B1536,Sheet2!$A:$O,8,0)</f>
        <v>5784</v>
      </c>
    </row>
    <row r="1537" spans="1:4">
      <c r="A1537" s="8" t="s">
        <v>401</v>
      </c>
      <c r="B1537" s="2">
        <v>1800011</v>
      </c>
      <c r="C1537" s="2" t="s">
        <v>376</v>
      </c>
      <c r="D1537" s="3">
        <f>VLOOKUP(B1537,Sheet2!$A:$O,8,0)</f>
        <v>9363</v>
      </c>
    </row>
    <row r="1538" spans="1:4">
      <c r="A1538" s="8" t="s">
        <v>401</v>
      </c>
      <c r="B1538" s="2">
        <v>1800012</v>
      </c>
      <c r="C1538" s="2" t="s">
        <v>377</v>
      </c>
      <c r="D1538" s="3">
        <f>VLOOKUP(B1538,Sheet2!$A:$O,8,0)</f>
        <v>5725</v>
      </c>
    </row>
    <row r="1539" spans="1:4">
      <c r="A1539" s="8" t="s">
        <v>401</v>
      </c>
      <c r="B1539" s="2">
        <v>1800013</v>
      </c>
      <c r="C1539" s="2" t="s">
        <v>378</v>
      </c>
      <c r="D1539" s="3">
        <f>VLOOKUP(B1539,Sheet2!$A:$O,8,0)</f>
        <v>49100</v>
      </c>
    </row>
    <row r="1540" spans="1:4">
      <c r="A1540" s="8" t="s">
        <v>401</v>
      </c>
      <c r="B1540" s="2">
        <v>1800014</v>
      </c>
      <c r="C1540" s="2" t="s">
        <v>379</v>
      </c>
      <c r="D1540" s="3">
        <f>VLOOKUP(B1540,Sheet2!$A:$O,8,0)</f>
        <v>70000</v>
      </c>
    </row>
    <row r="1541" spans="1:4">
      <c r="A1541" s="8" t="s">
        <v>401</v>
      </c>
      <c r="B1541" s="2">
        <v>1800015</v>
      </c>
      <c r="C1541" s="2" t="s">
        <v>380</v>
      </c>
      <c r="D1541" s="3">
        <f>VLOOKUP(B1541,Sheet2!$A:$O,8,0)</f>
        <v>66700</v>
      </c>
    </row>
    <row r="1542" spans="1:4">
      <c r="A1542" s="8" t="s">
        <v>401</v>
      </c>
      <c r="B1542" s="2">
        <v>1900013</v>
      </c>
      <c r="C1542" s="2" t="s">
        <v>381</v>
      </c>
      <c r="D1542" s="3">
        <f>VLOOKUP(B1542,Sheet2!$A:$O,8,0)</f>
        <v>0</v>
      </c>
    </row>
    <row r="1543" spans="1:4">
      <c r="A1543" s="8" t="s">
        <v>401</v>
      </c>
      <c r="B1543" s="2">
        <v>1900018</v>
      </c>
      <c r="C1543" s="2" t="s">
        <v>382</v>
      </c>
      <c r="D1543" s="3">
        <f>VLOOKUP(B1543,Sheet2!$A:$O,8,0)</f>
        <v>0</v>
      </c>
    </row>
    <row r="1544" spans="1:4">
      <c r="A1544" s="8" t="s">
        <v>402</v>
      </c>
      <c r="B1544" s="2">
        <v>1010101</v>
      </c>
      <c r="C1544" s="2" t="s">
        <v>5</v>
      </c>
      <c r="D1544" s="3">
        <f>VLOOKUP(B1544,Sheet2!$A:$O,9,0)</f>
        <v>697</v>
      </c>
    </row>
    <row r="1545" spans="1:4">
      <c r="A1545" s="8" t="s">
        <v>402</v>
      </c>
      <c r="B1545" s="2">
        <v>1010111</v>
      </c>
      <c r="C1545" s="2" t="s">
        <v>9</v>
      </c>
      <c r="D1545" s="3">
        <f>VLOOKUP(B1545,Sheet2!$A:$O,9,0)</f>
        <v>19100</v>
      </c>
    </row>
    <row r="1546" spans="1:4">
      <c r="A1546" s="8" t="s">
        <v>402</v>
      </c>
      <c r="B1546" s="2">
        <v>1010201</v>
      </c>
      <c r="C1546" s="2" t="s">
        <v>11</v>
      </c>
      <c r="D1546" s="3">
        <f>VLOOKUP(B1546,Sheet2!$A:$O,9,0)</f>
        <v>882</v>
      </c>
    </row>
    <row r="1547" spans="1:4">
      <c r="A1547" s="8" t="s">
        <v>402</v>
      </c>
      <c r="B1547" s="2">
        <v>1010300</v>
      </c>
      <c r="C1547" s="2" t="s">
        <v>213</v>
      </c>
      <c r="D1547" s="3">
        <f>VLOOKUP(B1547,Sheet2!$A:$O,9,0)</f>
        <v>5490</v>
      </c>
    </row>
    <row r="1548" spans="1:4">
      <c r="A1548" s="8" t="s">
        <v>402</v>
      </c>
      <c r="B1548" s="2">
        <v>1010301</v>
      </c>
      <c r="C1548" s="2" t="s">
        <v>214</v>
      </c>
      <c r="D1548" s="3">
        <f>VLOOKUP(B1548,Sheet2!$A:$O,9,0)</f>
        <v>5882</v>
      </c>
    </row>
    <row r="1549" spans="1:4">
      <c r="A1549" s="8" t="s">
        <v>402</v>
      </c>
      <c r="B1549" s="2">
        <v>1010302</v>
      </c>
      <c r="C1549" s="2" t="s">
        <v>16</v>
      </c>
      <c r="D1549" s="3">
        <f>VLOOKUP(B1549,Sheet2!$A:$O,9,0)</f>
        <v>4216</v>
      </c>
    </row>
    <row r="1550" spans="1:4">
      <c r="A1550" s="8" t="s">
        <v>402</v>
      </c>
      <c r="B1550" s="2">
        <v>1010303</v>
      </c>
      <c r="C1550" s="2" t="s">
        <v>18</v>
      </c>
      <c r="D1550" s="3">
        <f>VLOOKUP(B1550,Sheet2!$A:$O,9,0)</f>
        <v>882</v>
      </c>
    </row>
    <row r="1551" spans="1:4">
      <c r="A1551" s="8" t="s">
        <v>402</v>
      </c>
      <c r="B1551" s="2">
        <v>1010304</v>
      </c>
      <c r="C1551" s="2" t="s">
        <v>215</v>
      </c>
      <c r="D1551" s="3">
        <f>VLOOKUP(B1551,Sheet2!$A:$O,9,0)</f>
        <v>1225</v>
      </c>
    </row>
    <row r="1552" spans="1:4">
      <c r="A1552" s="8" t="s">
        <v>402</v>
      </c>
      <c r="B1552" s="2">
        <v>1010401</v>
      </c>
      <c r="C1552" s="2" t="s">
        <v>20</v>
      </c>
      <c r="D1552" s="3">
        <f>VLOOKUP(B1552,Sheet2!$A:$O,9,0)</f>
        <v>3627</v>
      </c>
    </row>
    <row r="1553" spans="1:4">
      <c r="A1553" s="8" t="s">
        <v>402</v>
      </c>
      <c r="B1553" s="2">
        <v>1010405</v>
      </c>
      <c r="C1553" s="2" t="s">
        <v>22</v>
      </c>
      <c r="D1553" s="3">
        <f>VLOOKUP(B1553,Sheet2!$A:$O,9,0)</f>
        <v>9975</v>
      </c>
    </row>
    <row r="1554" spans="1:4">
      <c r="A1554" s="8" t="s">
        <v>402</v>
      </c>
      <c r="B1554" s="2">
        <v>1010501</v>
      </c>
      <c r="C1554" s="2" t="s">
        <v>24</v>
      </c>
      <c r="D1554" s="3">
        <f>VLOOKUP(B1554,Sheet2!$A:$O,9,0)</f>
        <v>980</v>
      </c>
    </row>
    <row r="1555" spans="1:4">
      <c r="A1555" s="8" t="s">
        <v>402</v>
      </c>
      <c r="B1555" s="2">
        <v>1010502</v>
      </c>
      <c r="C1555" s="2" t="s">
        <v>216</v>
      </c>
      <c r="D1555" s="3">
        <f>VLOOKUP(B1555,Sheet2!$A:$O,9,0)</f>
        <v>0</v>
      </c>
    </row>
    <row r="1556" spans="1:4">
      <c r="A1556" s="8" t="s">
        <v>402</v>
      </c>
      <c r="B1556" s="2">
        <v>1010601</v>
      </c>
      <c r="C1556" s="2" t="s">
        <v>26</v>
      </c>
      <c r="D1556" s="3">
        <f>VLOOKUP(B1556,Sheet2!$A:$O,9,0)</f>
        <v>0</v>
      </c>
    </row>
    <row r="1557" spans="1:4">
      <c r="A1557" s="8" t="s">
        <v>402</v>
      </c>
      <c r="B1557" s="2">
        <v>1010701</v>
      </c>
      <c r="C1557" s="2" t="s">
        <v>28</v>
      </c>
      <c r="D1557" s="3">
        <f>VLOOKUP(B1557,Sheet2!$A:$O,9,0)</f>
        <v>686</v>
      </c>
    </row>
    <row r="1558" spans="1:4">
      <c r="A1558" s="8" t="s">
        <v>402</v>
      </c>
      <c r="B1558" s="2">
        <v>1010801</v>
      </c>
      <c r="C1558" s="2" t="s">
        <v>30</v>
      </c>
      <c r="D1558" s="3">
        <f>VLOOKUP(B1558,Sheet2!$A:$O,9,0)</f>
        <v>7157</v>
      </c>
    </row>
    <row r="1559" spans="1:4">
      <c r="A1559" s="8" t="s">
        <v>402</v>
      </c>
      <c r="B1559" s="2">
        <v>1010901</v>
      </c>
      <c r="C1559" s="2" t="s">
        <v>32</v>
      </c>
      <c r="D1559" s="3">
        <f>VLOOKUP(B1559,Sheet2!$A:$O,9,0)</f>
        <v>4902</v>
      </c>
    </row>
    <row r="1560" spans="1:4">
      <c r="A1560" s="8" t="s">
        <v>402</v>
      </c>
      <c r="B1560" s="2">
        <v>1020101</v>
      </c>
      <c r="C1560" s="2" t="s">
        <v>34</v>
      </c>
      <c r="D1560" s="3">
        <f>VLOOKUP(B1560,Sheet2!$A:$O,9,0)</f>
        <v>17451</v>
      </c>
    </row>
    <row r="1561" spans="1:4">
      <c r="A1561" s="8" t="s">
        <v>402</v>
      </c>
      <c r="B1561" s="2">
        <v>1020201</v>
      </c>
      <c r="C1561" s="2" t="s">
        <v>217</v>
      </c>
      <c r="D1561" s="3">
        <f>VLOOKUP(B1561,Sheet2!$A:$O,9,0)</f>
        <v>5600</v>
      </c>
    </row>
    <row r="1562" spans="1:4">
      <c r="A1562" s="8" t="s">
        <v>402</v>
      </c>
      <c r="B1562" s="2">
        <v>1020301</v>
      </c>
      <c r="C1562" s="2" t="s">
        <v>38</v>
      </c>
      <c r="D1562" s="3">
        <f>VLOOKUP(B1562,Sheet2!$A:$O,9,0)</f>
        <v>2100</v>
      </c>
    </row>
    <row r="1563" spans="1:4">
      <c r="A1563" s="8" t="s">
        <v>402</v>
      </c>
      <c r="B1563" s="2">
        <v>1020401</v>
      </c>
      <c r="C1563" s="2" t="s">
        <v>40</v>
      </c>
      <c r="D1563" s="3">
        <f>VLOOKUP(B1563,Sheet2!$A:$O,9,0)</f>
        <v>3500</v>
      </c>
    </row>
    <row r="1564" spans="1:4">
      <c r="A1564" s="8" t="s">
        <v>402</v>
      </c>
      <c r="B1564" s="2">
        <v>1030102</v>
      </c>
      <c r="C1564" s="2" t="s">
        <v>218</v>
      </c>
      <c r="D1564" s="3">
        <f>VLOOKUP(B1564,Sheet2!$A:$O,9,0)</f>
        <v>0</v>
      </c>
    </row>
    <row r="1565" spans="1:4">
      <c r="A1565" s="8" t="s">
        <v>402</v>
      </c>
      <c r="B1565" s="2">
        <v>1030201</v>
      </c>
      <c r="C1565" s="2" t="s">
        <v>42</v>
      </c>
      <c r="D1565" s="3">
        <f>VLOOKUP(B1565,Sheet2!$A:$O,9,0)</f>
        <v>2377</v>
      </c>
    </row>
    <row r="1566" spans="1:4">
      <c r="A1566" s="8" t="s">
        <v>402</v>
      </c>
      <c r="B1566" s="2">
        <v>1030203</v>
      </c>
      <c r="C1566" s="2" t="s">
        <v>219</v>
      </c>
      <c r="D1566" s="3">
        <f>VLOOKUP(B1566,Sheet2!$A:$O,9,0)</f>
        <v>0</v>
      </c>
    </row>
    <row r="1567" spans="1:4">
      <c r="A1567" s="8" t="s">
        <v>402</v>
      </c>
      <c r="B1567" s="2">
        <v>1030204</v>
      </c>
      <c r="C1567" s="2" t="s">
        <v>220</v>
      </c>
      <c r="D1567" s="3">
        <f>VLOOKUP(B1567,Sheet2!$A:$O,9,0)</f>
        <v>0</v>
      </c>
    </row>
    <row r="1568" spans="1:4">
      <c r="A1568" s="8" t="s">
        <v>402</v>
      </c>
      <c r="B1568" s="2">
        <v>1030205</v>
      </c>
      <c r="C1568" s="2" t="s">
        <v>44</v>
      </c>
      <c r="D1568" s="3">
        <f>VLOOKUP(B1568,Sheet2!$A:$O,9,0)</f>
        <v>5000</v>
      </c>
    </row>
    <row r="1569" spans="1:4">
      <c r="A1569" s="8" t="s">
        <v>402</v>
      </c>
      <c r="B1569" s="2">
        <v>1030206</v>
      </c>
      <c r="C1569" s="2" t="s">
        <v>46</v>
      </c>
      <c r="D1569" s="3">
        <f>VLOOKUP(B1569,Sheet2!$A:$O,9,0)</f>
        <v>6200</v>
      </c>
    </row>
    <row r="1570" spans="1:4">
      <c r="A1570" s="8" t="s">
        <v>402</v>
      </c>
      <c r="B1570" s="2">
        <v>1030207</v>
      </c>
      <c r="C1570" s="2" t="s">
        <v>48</v>
      </c>
      <c r="D1570" s="3">
        <f>VLOOKUP(B1570,Sheet2!$A:$O,9,0)</f>
        <v>4400</v>
      </c>
    </row>
    <row r="1571" spans="1:4">
      <c r="A1571" s="8" t="s">
        <v>402</v>
      </c>
      <c r="B1571" s="2">
        <v>1030501</v>
      </c>
      <c r="C1571" s="2" t="s">
        <v>50</v>
      </c>
      <c r="D1571" s="3">
        <f>VLOOKUP(B1571,Sheet2!$A:$O,9,0)</f>
        <v>1127</v>
      </c>
    </row>
    <row r="1572" spans="1:4">
      <c r="A1572" s="8" t="s">
        <v>402</v>
      </c>
      <c r="B1572" s="2">
        <v>1030601</v>
      </c>
      <c r="C1572" s="2" t="s">
        <v>52</v>
      </c>
      <c r="D1572" s="3">
        <f>VLOOKUP(B1572,Sheet2!$A:$O,9,0)</f>
        <v>3000</v>
      </c>
    </row>
    <row r="1573" spans="1:4">
      <c r="A1573" s="8" t="s">
        <v>402</v>
      </c>
      <c r="B1573" s="2">
        <v>1030701</v>
      </c>
      <c r="C1573" s="2" t="s">
        <v>221</v>
      </c>
      <c r="D1573" s="3">
        <f>VLOOKUP(B1573,Sheet2!$A:$O,9,0)</f>
        <v>3000</v>
      </c>
    </row>
    <row r="1574" spans="1:4">
      <c r="A1574" s="8" t="s">
        <v>402</v>
      </c>
      <c r="B1574" s="2">
        <v>1030705</v>
      </c>
      <c r="C1574" s="2" t="s">
        <v>222</v>
      </c>
      <c r="D1574" s="3">
        <f>VLOOKUP(B1574,Sheet2!$A:$O,9,0)</f>
        <v>0</v>
      </c>
    </row>
    <row r="1575" spans="1:4">
      <c r="A1575" s="8" t="s">
        <v>402</v>
      </c>
      <c r="B1575" s="2">
        <v>1030801</v>
      </c>
      <c r="C1575" s="2" t="s">
        <v>54</v>
      </c>
      <c r="D1575" s="3">
        <f>VLOOKUP(B1575,Sheet2!$A:$O,9,0)</f>
        <v>1373</v>
      </c>
    </row>
    <row r="1576" spans="1:4">
      <c r="A1576" s="8" t="s">
        <v>402</v>
      </c>
      <c r="B1576" s="2">
        <v>1030901</v>
      </c>
      <c r="C1576" s="2" t="s">
        <v>223</v>
      </c>
      <c r="D1576" s="3">
        <f>VLOOKUP(B1576,Sheet2!$A:$O,9,0)</f>
        <v>0</v>
      </c>
    </row>
    <row r="1577" spans="1:4">
      <c r="A1577" s="8" t="s">
        <v>402</v>
      </c>
      <c r="B1577" s="2">
        <v>1040201</v>
      </c>
      <c r="C1577" s="2" t="s">
        <v>56</v>
      </c>
      <c r="D1577" s="3">
        <f>VLOOKUP(B1577,Sheet2!$A:$O,9,0)</f>
        <v>1469</v>
      </c>
    </row>
    <row r="1578" spans="1:4">
      <c r="A1578" s="8" t="s">
        <v>402</v>
      </c>
      <c r="B1578" s="2">
        <v>1040202</v>
      </c>
      <c r="C1578" s="2" t="s">
        <v>224</v>
      </c>
      <c r="D1578" s="3">
        <f>VLOOKUP(B1578,Sheet2!$A:$O,9,0)</f>
        <v>0</v>
      </c>
    </row>
    <row r="1579" spans="1:4">
      <c r="A1579" s="8" t="s">
        <v>402</v>
      </c>
      <c r="B1579" s="2">
        <v>1040203</v>
      </c>
      <c r="C1579" s="2" t="s">
        <v>225</v>
      </c>
      <c r="D1579" s="3">
        <f>VLOOKUP(B1579,Sheet2!$A:$O,9,0)</f>
        <v>0</v>
      </c>
    </row>
    <row r="1580" spans="1:4">
      <c r="A1580" s="8" t="s">
        <v>402</v>
      </c>
      <c r="B1580" s="2">
        <v>1040204</v>
      </c>
      <c r="C1580" s="2" t="s">
        <v>226</v>
      </c>
      <c r="D1580" s="3">
        <f>VLOOKUP(B1580,Sheet2!$A:$O,9,0)</f>
        <v>7917</v>
      </c>
    </row>
    <row r="1581" spans="1:4">
      <c r="A1581" s="8" t="s">
        <v>402</v>
      </c>
      <c r="B1581" s="2">
        <v>1040301</v>
      </c>
      <c r="C1581" s="2" t="s">
        <v>58</v>
      </c>
      <c r="D1581" s="3">
        <f>VLOOKUP(B1581,Sheet2!$A:$O,9,0)</f>
        <v>1650</v>
      </c>
    </row>
    <row r="1582" spans="1:4">
      <c r="A1582" s="8" t="s">
        <v>402</v>
      </c>
      <c r="B1582" s="2">
        <v>1040401</v>
      </c>
      <c r="C1582" s="2" t="s">
        <v>227</v>
      </c>
      <c r="D1582" s="3">
        <f>VLOOKUP(B1582,Sheet2!$A:$O,9,0)</f>
        <v>0</v>
      </c>
    </row>
    <row r="1583" spans="1:4">
      <c r="A1583" s="8" t="s">
        <v>402</v>
      </c>
      <c r="B1583" s="2">
        <v>1050102</v>
      </c>
      <c r="C1583" s="2" t="s">
        <v>60</v>
      </c>
      <c r="D1583" s="3">
        <f>VLOOKUP(B1583,Sheet2!$A:$O,9,0)</f>
        <v>29500</v>
      </c>
    </row>
    <row r="1584" spans="1:4">
      <c r="A1584" s="8" t="s">
        <v>402</v>
      </c>
      <c r="B1584" s="2">
        <v>1050103</v>
      </c>
      <c r="C1584" s="2" t="s">
        <v>228</v>
      </c>
      <c r="D1584" s="3">
        <f>VLOOKUP(B1584,Sheet2!$A:$O,9,0)</f>
        <v>11275</v>
      </c>
    </row>
    <row r="1585" spans="1:4">
      <c r="A1585" s="8" t="s">
        <v>402</v>
      </c>
      <c r="B1585" s="2">
        <v>1050301</v>
      </c>
      <c r="C1585" s="2" t="s">
        <v>62</v>
      </c>
      <c r="D1585" s="3">
        <f>VLOOKUP(B1585,Sheet2!$A:$O,9,0)</f>
        <v>9804</v>
      </c>
    </row>
    <row r="1586" spans="1:4">
      <c r="A1586" s="8" t="s">
        <v>402</v>
      </c>
      <c r="B1586" s="2">
        <v>1050401</v>
      </c>
      <c r="C1586" s="2" t="s">
        <v>64</v>
      </c>
      <c r="D1586" s="3">
        <f>VLOOKUP(B1586,Sheet2!$A:$O,9,0)</f>
        <v>8824</v>
      </c>
    </row>
    <row r="1587" spans="1:4">
      <c r="A1587" s="8" t="s">
        <v>402</v>
      </c>
      <c r="B1587" s="2">
        <v>1050501</v>
      </c>
      <c r="C1587" s="2" t="s">
        <v>66</v>
      </c>
      <c r="D1587" s="3">
        <f>VLOOKUP(B1587,Sheet2!$A:$O,9,0)</f>
        <v>10784</v>
      </c>
    </row>
    <row r="1588" spans="1:4">
      <c r="A1588" s="8" t="s">
        <v>402</v>
      </c>
      <c r="B1588" s="2">
        <v>1050511</v>
      </c>
      <c r="C1588" s="2" t="s">
        <v>68</v>
      </c>
      <c r="D1588" s="3">
        <f>VLOOKUP(B1588,Sheet2!$A:$O,9,0)</f>
        <v>18000</v>
      </c>
    </row>
    <row r="1589" spans="1:4">
      <c r="A1589" s="8" t="s">
        <v>402</v>
      </c>
      <c r="B1589" s="2">
        <v>1050512</v>
      </c>
      <c r="C1589" s="2" t="s">
        <v>229</v>
      </c>
      <c r="D1589" s="3">
        <f>VLOOKUP(B1589,Sheet2!$A:$O,9,0)</f>
        <v>0</v>
      </c>
    </row>
    <row r="1590" spans="1:4">
      <c r="A1590" s="8" t="s">
        <v>402</v>
      </c>
      <c r="B1590" s="2">
        <v>1050521</v>
      </c>
      <c r="C1590" s="2" t="s">
        <v>70</v>
      </c>
      <c r="D1590" s="3">
        <f>VLOOKUP(B1590,Sheet2!$A:$O,9,0)</f>
        <v>14706</v>
      </c>
    </row>
    <row r="1591" spans="1:4">
      <c r="A1591" s="8" t="s">
        <v>402</v>
      </c>
      <c r="B1591" s="2">
        <v>1050531</v>
      </c>
      <c r="C1591" s="2" t="s">
        <v>72</v>
      </c>
      <c r="D1591" s="3">
        <f>VLOOKUP(B1591,Sheet2!$A:$O,9,0)</f>
        <v>21000</v>
      </c>
    </row>
    <row r="1592" spans="1:4">
      <c r="A1592" s="8" t="s">
        <v>402</v>
      </c>
      <c r="B1592" s="2">
        <v>1050541</v>
      </c>
      <c r="C1592" s="2" t="s">
        <v>74</v>
      </c>
      <c r="D1592" s="3">
        <f>VLOOKUP(B1592,Sheet2!$A:$O,9,0)</f>
        <v>11000</v>
      </c>
    </row>
    <row r="1593" spans="1:4">
      <c r="A1593" s="8" t="s">
        <v>402</v>
      </c>
      <c r="B1593" s="2">
        <v>1050551</v>
      </c>
      <c r="C1593" s="2" t="s">
        <v>76</v>
      </c>
      <c r="D1593" s="3">
        <f>VLOOKUP(B1593,Sheet2!$A:$O,9,0)</f>
        <v>54000</v>
      </c>
    </row>
    <row r="1594" spans="1:4">
      <c r="A1594" s="8" t="s">
        <v>402</v>
      </c>
      <c r="B1594" s="2">
        <v>1050561</v>
      </c>
      <c r="C1594" s="2" t="s">
        <v>78</v>
      </c>
      <c r="D1594" s="3">
        <f>VLOOKUP(B1594,Sheet2!$A:$O,9,0)</f>
        <v>98000</v>
      </c>
    </row>
    <row r="1595" spans="1:4">
      <c r="A1595" s="8" t="s">
        <v>402</v>
      </c>
      <c r="B1595" s="2">
        <v>1050571</v>
      </c>
      <c r="C1595" s="2" t="s">
        <v>80</v>
      </c>
      <c r="D1595" s="3">
        <f>VLOOKUP(B1595,Sheet2!$A:$O,9,0)</f>
        <v>58000</v>
      </c>
    </row>
    <row r="1596" spans="1:4">
      <c r="A1596" s="8" t="s">
        <v>402</v>
      </c>
      <c r="B1596" s="2">
        <v>1050581</v>
      </c>
      <c r="C1596" s="2" t="s">
        <v>82</v>
      </c>
      <c r="D1596" s="3">
        <f>VLOOKUP(B1596,Sheet2!$A:$O,9,0)</f>
        <v>57000</v>
      </c>
    </row>
    <row r="1597" spans="1:4">
      <c r="A1597" s="8" t="s">
        <v>402</v>
      </c>
      <c r="B1597" s="2">
        <v>1050591</v>
      </c>
      <c r="C1597" s="2" t="s">
        <v>84</v>
      </c>
      <c r="D1597" s="3">
        <f>VLOOKUP(B1597,Sheet2!$A:$O,9,0)</f>
        <v>97750</v>
      </c>
    </row>
    <row r="1598" spans="1:4">
      <c r="A1598" s="8" t="s">
        <v>402</v>
      </c>
      <c r="B1598" s="2">
        <v>1050601</v>
      </c>
      <c r="C1598" s="2" t="s">
        <v>86</v>
      </c>
      <c r="D1598" s="3">
        <f>VLOOKUP(B1598,Sheet2!$A:$O,9,0)</f>
        <v>5900</v>
      </c>
    </row>
    <row r="1599" spans="1:4">
      <c r="A1599" s="8" t="s">
        <v>402</v>
      </c>
      <c r="B1599" s="2">
        <v>1050701</v>
      </c>
      <c r="C1599" s="2" t="s">
        <v>88</v>
      </c>
      <c r="D1599" s="3">
        <f>VLOOKUP(B1599,Sheet2!$A:$O,9,0)</f>
        <v>5700</v>
      </c>
    </row>
    <row r="1600" spans="1:4">
      <c r="A1600" s="8" t="s">
        <v>402</v>
      </c>
      <c r="B1600" s="2">
        <v>1050702</v>
      </c>
      <c r="C1600" s="2" t="s">
        <v>90</v>
      </c>
      <c r="D1600" s="3">
        <f>VLOOKUP(B1600,Sheet2!$A:$O,9,0)</f>
        <v>5700</v>
      </c>
    </row>
    <row r="1601" spans="1:4">
      <c r="A1601" s="8" t="s">
        <v>402</v>
      </c>
      <c r="B1601" s="2">
        <v>1050711</v>
      </c>
      <c r="C1601" s="2" t="s">
        <v>92</v>
      </c>
      <c r="D1601" s="3">
        <f>VLOOKUP(B1601,Sheet2!$A:$O,9,0)</f>
        <v>2900</v>
      </c>
    </row>
    <row r="1602" spans="1:4">
      <c r="A1602" s="8" t="s">
        <v>402</v>
      </c>
      <c r="B1602" s="2">
        <v>1050721</v>
      </c>
      <c r="C1602" s="2" t="s">
        <v>94</v>
      </c>
      <c r="D1602" s="3">
        <f>VLOOKUP(B1602,Sheet2!$A:$O,9,0)</f>
        <v>14800</v>
      </c>
    </row>
    <row r="1603" spans="1:4">
      <c r="A1603" s="8" t="s">
        <v>402</v>
      </c>
      <c r="B1603" s="2">
        <v>1050801</v>
      </c>
      <c r="C1603" s="2" t="s">
        <v>7</v>
      </c>
      <c r="D1603" s="3">
        <f>VLOOKUP(B1603,Sheet2!$A:$O,9,0)</f>
        <v>1044</v>
      </c>
    </row>
    <row r="1604" spans="1:4">
      <c r="A1604" s="8" t="s">
        <v>402</v>
      </c>
      <c r="B1604" s="2">
        <v>1050901</v>
      </c>
      <c r="C1604" s="2" t="s">
        <v>96</v>
      </c>
      <c r="D1604" s="3">
        <f>VLOOKUP(B1604,Sheet2!$A:$O,9,0)</f>
        <v>1402</v>
      </c>
    </row>
    <row r="1605" spans="1:4">
      <c r="A1605" s="8" t="s">
        <v>402</v>
      </c>
      <c r="B1605" s="2">
        <v>1060101</v>
      </c>
      <c r="C1605" s="2" t="s">
        <v>98</v>
      </c>
      <c r="D1605" s="3">
        <f>VLOOKUP(B1605,Sheet2!$A:$O,9,0)</f>
        <v>2183</v>
      </c>
    </row>
    <row r="1606" spans="1:4">
      <c r="A1606" s="8" t="s">
        <v>402</v>
      </c>
      <c r="B1606" s="2">
        <v>1060401</v>
      </c>
      <c r="C1606" s="2" t="s">
        <v>100</v>
      </c>
      <c r="D1606" s="3">
        <f>VLOOKUP(B1606,Sheet2!$A:$O,9,0)</f>
        <v>71000</v>
      </c>
    </row>
    <row r="1607" spans="1:4">
      <c r="A1607" s="8" t="s">
        <v>402</v>
      </c>
      <c r="B1607" s="2">
        <v>1060412</v>
      </c>
      <c r="C1607" s="2" t="s">
        <v>230</v>
      </c>
      <c r="D1607" s="3">
        <f>VLOOKUP(B1607,Sheet2!$A:$O,9,0)</f>
        <v>33000</v>
      </c>
    </row>
    <row r="1608" spans="1:4">
      <c r="A1608" s="8" t="s">
        <v>402</v>
      </c>
      <c r="B1608" s="2">
        <v>1060421</v>
      </c>
      <c r="C1608" s="2" t="s">
        <v>104</v>
      </c>
      <c r="D1608" s="3">
        <f>VLOOKUP(B1608,Sheet2!$A:$O,9,0)</f>
        <v>76000</v>
      </c>
    </row>
    <row r="1609" spans="1:4">
      <c r="A1609" s="8" t="s">
        <v>402</v>
      </c>
      <c r="B1609" s="2">
        <v>1060441</v>
      </c>
      <c r="C1609" s="2" t="s">
        <v>106</v>
      </c>
      <c r="D1609" s="3">
        <f>VLOOKUP(B1609,Sheet2!$A:$O,9,0)</f>
        <v>5200</v>
      </c>
    </row>
    <row r="1610" spans="1:4">
      <c r="A1610" s="8" t="s">
        <v>402</v>
      </c>
      <c r="B1610" s="2">
        <v>1060451</v>
      </c>
      <c r="C1610" s="2" t="s">
        <v>108</v>
      </c>
      <c r="D1610" s="3">
        <f>VLOOKUP(B1610,Sheet2!$A:$O,9,0)</f>
        <v>38235</v>
      </c>
    </row>
    <row r="1611" spans="1:4">
      <c r="A1611" s="8" t="s">
        <v>402</v>
      </c>
      <c r="B1611" s="2">
        <v>1070101</v>
      </c>
      <c r="C1611" s="2" t="s">
        <v>110</v>
      </c>
      <c r="D1611" s="3">
        <f>VLOOKUP(B1611,Sheet2!$A:$O,9,0)</f>
        <v>4000</v>
      </c>
    </row>
    <row r="1612" spans="1:4">
      <c r="A1612" s="8" t="s">
        <v>402</v>
      </c>
      <c r="B1612" s="2">
        <v>1070301</v>
      </c>
      <c r="C1612" s="2" t="s">
        <v>112</v>
      </c>
      <c r="D1612" s="3">
        <f>VLOOKUP(B1612,Sheet2!$A:$O,9,0)</f>
        <v>37000</v>
      </c>
    </row>
    <row r="1613" spans="1:4">
      <c r="A1613" s="8" t="s">
        <v>402</v>
      </c>
      <c r="B1613" s="2">
        <v>1070401</v>
      </c>
      <c r="C1613" s="2" t="s">
        <v>114</v>
      </c>
      <c r="D1613" s="3">
        <f>VLOOKUP(B1613,Sheet2!$A:$O,9,0)</f>
        <v>12000</v>
      </c>
    </row>
    <row r="1614" spans="1:4">
      <c r="A1614" s="8" t="s">
        <v>402</v>
      </c>
      <c r="B1614" s="2">
        <v>1070501</v>
      </c>
      <c r="C1614" s="2" t="s">
        <v>231</v>
      </c>
      <c r="D1614" s="3">
        <f>VLOOKUP(B1614,Sheet2!$A:$O,9,0)</f>
        <v>5500</v>
      </c>
    </row>
    <row r="1615" spans="1:4">
      <c r="A1615" s="8" t="s">
        <v>402</v>
      </c>
      <c r="B1615" s="2">
        <v>1070701</v>
      </c>
      <c r="C1615" s="2" t="s">
        <v>118</v>
      </c>
      <c r="D1615" s="3">
        <f>VLOOKUP(B1615,Sheet2!$A:$O,9,0)</f>
        <v>36000</v>
      </c>
    </row>
    <row r="1616" spans="1:4">
      <c r="A1616" s="8" t="s">
        <v>402</v>
      </c>
      <c r="B1616" s="2">
        <v>1070801</v>
      </c>
      <c r="C1616" s="2" t="s">
        <v>232</v>
      </c>
      <c r="D1616" s="3">
        <f>VLOOKUP(B1616,Sheet2!$A:$O,9,0)</f>
        <v>35000</v>
      </c>
    </row>
    <row r="1617" spans="1:4">
      <c r="A1617" s="8" t="s">
        <v>402</v>
      </c>
      <c r="B1617" s="2">
        <v>1080101</v>
      </c>
      <c r="C1617" s="2" t="s">
        <v>120</v>
      </c>
      <c r="D1617" s="3">
        <f>VLOOKUP(B1617,Sheet2!$A:$O,9,0)</f>
        <v>11000</v>
      </c>
    </row>
    <row r="1618" spans="1:4">
      <c r="A1618" s="8" t="s">
        <v>402</v>
      </c>
      <c r="B1618" s="2">
        <v>1080201</v>
      </c>
      <c r="C1618" s="2" t="s">
        <v>122</v>
      </c>
      <c r="D1618" s="3">
        <f>VLOOKUP(B1618,Sheet2!$A:$O,9,0)</f>
        <v>540</v>
      </c>
    </row>
    <row r="1619" spans="1:4">
      <c r="A1619" s="8" t="s">
        <v>402</v>
      </c>
      <c r="B1619" s="2">
        <v>1080301</v>
      </c>
      <c r="C1619" s="2" t="s">
        <v>124</v>
      </c>
      <c r="D1619" s="3">
        <f>VLOOKUP(B1619,Sheet2!$A:$O,9,0)</f>
        <v>1550</v>
      </c>
    </row>
    <row r="1620" spans="1:4">
      <c r="A1620" s="8" t="s">
        <v>402</v>
      </c>
      <c r="B1620" s="2">
        <v>1080401</v>
      </c>
      <c r="C1620" s="2" t="s">
        <v>233</v>
      </c>
      <c r="D1620" s="3">
        <f>VLOOKUP(B1620,Sheet2!$A:$O,9,0)</f>
        <v>3300</v>
      </c>
    </row>
    <row r="1621" spans="1:4">
      <c r="A1621" s="8" t="s">
        <v>402</v>
      </c>
      <c r="B1621" s="2">
        <v>1080411</v>
      </c>
      <c r="C1621" s="2" t="s">
        <v>128</v>
      </c>
      <c r="D1621" s="3">
        <f>VLOOKUP(B1621,Sheet2!$A:$O,9,0)</f>
        <v>3300</v>
      </c>
    </row>
    <row r="1622" spans="1:4">
      <c r="A1622" s="8" t="s">
        <v>402</v>
      </c>
      <c r="B1622" s="2">
        <v>1080501</v>
      </c>
      <c r="C1622" s="2" t="s">
        <v>130</v>
      </c>
      <c r="D1622" s="3">
        <f>VLOOKUP(B1622,Sheet2!$A:$O,9,0)</f>
        <v>3800</v>
      </c>
    </row>
    <row r="1623" spans="1:4">
      <c r="A1623" s="8" t="s">
        <v>402</v>
      </c>
      <c r="B1623" s="2">
        <v>1080602</v>
      </c>
      <c r="C1623" s="2" t="s">
        <v>234</v>
      </c>
      <c r="D1623" s="3">
        <f>VLOOKUP(B1623,Sheet2!$A:$O,9,0)</f>
        <v>37600</v>
      </c>
    </row>
    <row r="1624" spans="1:4">
      <c r="A1624" s="8" t="s">
        <v>402</v>
      </c>
      <c r="B1624" s="2">
        <v>1080604</v>
      </c>
      <c r="C1624" s="2" t="s">
        <v>235</v>
      </c>
      <c r="D1624" s="3">
        <f>VLOOKUP(B1624,Sheet2!$A:$O,9,0)</f>
        <v>0</v>
      </c>
    </row>
    <row r="1625" spans="1:4">
      <c r="A1625" s="8" t="s">
        <v>402</v>
      </c>
      <c r="B1625" s="2">
        <v>1080702</v>
      </c>
      <c r="C1625" s="2" t="s">
        <v>236</v>
      </c>
      <c r="D1625" s="3">
        <f>VLOOKUP(B1625,Sheet2!$A:$O,9,0)</f>
        <v>42500</v>
      </c>
    </row>
    <row r="1626" spans="1:4">
      <c r="A1626" s="8" t="s">
        <v>402</v>
      </c>
      <c r="B1626" s="2">
        <v>1080704</v>
      </c>
      <c r="C1626" s="2" t="s">
        <v>237</v>
      </c>
      <c r="D1626" s="3">
        <f>VLOOKUP(B1626,Sheet2!$A:$O,9,0)</f>
        <v>0</v>
      </c>
    </row>
    <row r="1627" spans="1:4">
      <c r="A1627" s="8" t="s">
        <v>402</v>
      </c>
      <c r="B1627" s="2">
        <v>1090104</v>
      </c>
      <c r="C1627" s="2" t="s">
        <v>136</v>
      </c>
      <c r="D1627" s="3">
        <f>VLOOKUP(B1627,Sheet2!$A:$O,9,0)</f>
        <v>40000</v>
      </c>
    </row>
    <row r="1628" spans="1:4">
      <c r="A1628" s="8" t="s">
        <v>402</v>
      </c>
      <c r="B1628" s="2">
        <v>1090112</v>
      </c>
      <c r="C1628" s="2" t="s">
        <v>138</v>
      </c>
      <c r="D1628" s="3">
        <f>VLOOKUP(B1628,Sheet2!$A:$O,9,0)</f>
        <v>35000</v>
      </c>
    </row>
    <row r="1629" spans="1:4">
      <c r="A1629" s="8" t="s">
        <v>402</v>
      </c>
      <c r="B1629" s="2">
        <v>1090201</v>
      </c>
      <c r="C1629" s="2" t="s">
        <v>140</v>
      </c>
      <c r="D1629" s="3">
        <f>VLOOKUP(B1629,Sheet2!$A:$O,9,0)</f>
        <v>15800</v>
      </c>
    </row>
    <row r="1630" spans="1:4">
      <c r="A1630" s="8" t="s">
        <v>402</v>
      </c>
      <c r="B1630" s="2">
        <v>1090202</v>
      </c>
      <c r="C1630" s="2" t="s">
        <v>142</v>
      </c>
      <c r="D1630" s="3">
        <f>VLOOKUP(B1630,Sheet2!$A:$O,9,0)</f>
        <v>98000</v>
      </c>
    </row>
    <row r="1631" spans="1:4">
      <c r="A1631" s="8" t="s">
        <v>402</v>
      </c>
      <c r="B1631" s="2">
        <v>1090203</v>
      </c>
      <c r="C1631" s="2" t="s">
        <v>144</v>
      </c>
      <c r="D1631" s="3">
        <f>VLOOKUP(B1631,Sheet2!$A:$O,9,0)</f>
        <v>23000</v>
      </c>
    </row>
    <row r="1632" spans="1:4">
      <c r="A1632" s="8" t="s">
        <v>402</v>
      </c>
      <c r="B1632" s="2">
        <v>1090211</v>
      </c>
      <c r="C1632" s="2" t="s">
        <v>146</v>
      </c>
      <c r="D1632" s="3">
        <f>VLOOKUP(B1632,Sheet2!$A:$O,9,0)</f>
        <v>67647</v>
      </c>
    </row>
    <row r="1633" spans="1:4">
      <c r="A1633" s="8" t="s">
        <v>402</v>
      </c>
      <c r="B1633" s="2">
        <v>1090301</v>
      </c>
      <c r="C1633" s="2" t="s">
        <v>238</v>
      </c>
      <c r="D1633" s="3">
        <f>VLOOKUP(B1633,Sheet2!$A:$O,9,0)</f>
        <v>32000</v>
      </c>
    </row>
    <row r="1634" spans="1:4">
      <c r="A1634" s="8" t="s">
        <v>402</v>
      </c>
      <c r="B1634" s="2">
        <v>1090311</v>
      </c>
      <c r="C1634" s="2" t="s">
        <v>150</v>
      </c>
      <c r="D1634" s="3">
        <f>VLOOKUP(B1634,Sheet2!$A:$O,9,0)</f>
        <v>37000</v>
      </c>
    </row>
    <row r="1635" spans="1:4">
      <c r="A1635" s="8" t="s">
        <v>402</v>
      </c>
      <c r="B1635" s="2">
        <v>1090321</v>
      </c>
      <c r="C1635" s="2" t="s">
        <v>152</v>
      </c>
      <c r="D1635" s="3">
        <f>VLOOKUP(B1635,Sheet2!$A:$O,9,0)</f>
        <v>75000</v>
      </c>
    </row>
    <row r="1636" spans="1:4">
      <c r="A1636" s="8" t="s">
        <v>402</v>
      </c>
      <c r="B1636" s="2">
        <v>1090401</v>
      </c>
      <c r="C1636" s="2" t="s">
        <v>154</v>
      </c>
      <c r="D1636" s="3">
        <f>VLOOKUP(B1636,Sheet2!$A:$O,9,0)</f>
        <v>8300</v>
      </c>
    </row>
    <row r="1637" spans="1:4">
      <c r="A1637" s="8" t="s">
        <v>402</v>
      </c>
      <c r="B1637" s="2">
        <v>1090411</v>
      </c>
      <c r="C1637" s="2" t="s">
        <v>156</v>
      </c>
      <c r="D1637" s="3">
        <f>VLOOKUP(B1637,Sheet2!$A:$O,9,0)</f>
        <v>45000</v>
      </c>
    </row>
    <row r="1638" spans="1:4">
      <c r="A1638" s="8" t="s">
        <v>402</v>
      </c>
      <c r="B1638" s="2">
        <v>1090421</v>
      </c>
      <c r="C1638" s="2" t="s">
        <v>158</v>
      </c>
      <c r="D1638" s="3">
        <f>VLOOKUP(B1638,Sheet2!$A:$O,9,0)</f>
        <v>36000</v>
      </c>
    </row>
    <row r="1639" spans="1:4">
      <c r="A1639" s="8" t="s">
        <v>402</v>
      </c>
      <c r="B1639" s="2">
        <v>1090551</v>
      </c>
      <c r="C1639" s="2" t="s">
        <v>239</v>
      </c>
      <c r="D1639" s="3">
        <f>VLOOKUP(B1639,Sheet2!$A:$O,9,0)</f>
        <v>4900</v>
      </c>
    </row>
    <row r="1640" spans="1:4">
      <c r="A1640" s="8" t="s">
        <v>402</v>
      </c>
      <c r="B1640" s="2">
        <v>1090602</v>
      </c>
      <c r="C1640" s="2" t="s">
        <v>162</v>
      </c>
      <c r="D1640" s="3">
        <f>VLOOKUP(B1640,Sheet2!$A:$O,9,0)</f>
        <v>5130</v>
      </c>
    </row>
    <row r="1641" spans="1:4">
      <c r="A1641" s="8" t="s">
        <v>402</v>
      </c>
      <c r="B1641" s="2">
        <v>1090611</v>
      </c>
      <c r="C1641" s="2" t="s">
        <v>164</v>
      </c>
      <c r="D1641" s="3">
        <f>VLOOKUP(B1641,Sheet2!$A:$O,9,0)</f>
        <v>4203</v>
      </c>
    </row>
    <row r="1642" spans="1:4">
      <c r="A1642" s="8" t="s">
        <v>402</v>
      </c>
      <c r="B1642" s="2">
        <v>1090701</v>
      </c>
      <c r="C1642" s="2" t="s">
        <v>166</v>
      </c>
      <c r="D1642" s="3">
        <f>VLOOKUP(B1642,Sheet2!$A:$O,9,0)</f>
        <v>21000</v>
      </c>
    </row>
    <row r="1643" spans="1:4">
      <c r="A1643" s="8" t="s">
        <v>402</v>
      </c>
      <c r="B1643" s="2">
        <v>1090901</v>
      </c>
      <c r="C1643" s="2" t="s">
        <v>168</v>
      </c>
      <c r="D1643" s="3">
        <f>VLOOKUP(B1643,Sheet2!$A:$O,9,0)</f>
        <v>4300</v>
      </c>
    </row>
    <row r="1644" spans="1:4">
      <c r="A1644" s="8" t="s">
        <v>402</v>
      </c>
      <c r="B1644" s="2">
        <v>1091001</v>
      </c>
      <c r="C1644" s="2" t="s">
        <v>170</v>
      </c>
      <c r="D1644" s="3">
        <f>VLOOKUP(B1644,Sheet2!$A:$O,9,0)</f>
        <v>7000</v>
      </c>
    </row>
    <row r="1645" spans="1:4">
      <c r="A1645" s="8" t="s">
        <v>402</v>
      </c>
      <c r="B1645" s="2">
        <v>1091002</v>
      </c>
      <c r="C1645" s="2" t="s">
        <v>172</v>
      </c>
      <c r="D1645" s="3">
        <f>VLOOKUP(B1645,Sheet2!$A:$O,9,0)</f>
        <v>6373</v>
      </c>
    </row>
    <row r="1646" spans="1:4">
      <c r="A1646" s="8" t="s">
        <v>402</v>
      </c>
      <c r="B1646" s="2">
        <v>1091003</v>
      </c>
      <c r="C1646" s="2" t="s">
        <v>174</v>
      </c>
      <c r="D1646" s="3">
        <f>VLOOKUP(B1646,Sheet2!$A:$O,9,0)</f>
        <v>9784</v>
      </c>
    </row>
    <row r="1647" spans="1:4">
      <c r="A1647" s="8" t="s">
        <v>402</v>
      </c>
      <c r="B1647" s="2">
        <v>1091004</v>
      </c>
      <c r="C1647" s="2" t="s">
        <v>240</v>
      </c>
      <c r="D1647" s="3">
        <f>VLOOKUP(B1647,Sheet2!$A:$O,9,0)</f>
        <v>0</v>
      </c>
    </row>
    <row r="1648" spans="1:4">
      <c r="A1648" s="8" t="s">
        <v>402</v>
      </c>
      <c r="B1648" s="2">
        <v>1091005</v>
      </c>
      <c r="C1648" s="2" t="s">
        <v>241</v>
      </c>
      <c r="D1648" s="3">
        <f>VLOOKUP(B1648,Sheet2!$A:$O,9,0)</f>
        <v>0</v>
      </c>
    </row>
    <row r="1649" spans="1:4">
      <c r="A1649" s="8" t="s">
        <v>402</v>
      </c>
      <c r="B1649" s="2">
        <v>1091006</v>
      </c>
      <c r="C1649" s="2" t="s">
        <v>242</v>
      </c>
      <c r="D1649" s="3">
        <f>VLOOKUP(B1649,Sheet2!$A:$O,9,0)</f>
        <v>0</v>
      </c>
    </row>
    <row r="1650" spans="1:4">
      <c r="A1650" s="8" t="s">
        <v>402</v>
      </c>
      <c r="B1650" s="2">
        <v>1091007</v>
      </c>
      <c r="C1650" s="2" t="s">
        <v>243</v>
      </c>
      <c r="D1650" s="3">
        <f>VLOOKUP(B1650,Sheet2!$A:$O,9,0)</f>
        <v>2640</v>
      </c>
    </row>
    <row r="1651" spans="1:4">
      <c r="A1651" s="8" t="s">
        <v>402</v>
      </c>
      <c r="B1651" s="2">
        <v>1091008</v>
      </c>
      <c r="C1651" s="2" t="s">
        <v>176</v>
      </c>
      <c r="D1651" s="3">
        <f>VLOOKUP(B1651,Sheet2!$A:$O,9,0)</f>
        <v>0</v>
      </c>
    </row>
    <row r="1652" spans="1:4">
      <c r="A1652" s="8" t="s">
        <v>402</v>
      </c>
      <c r="B1652" s="2">
        <v>1091009</v>
      </c>
      <c r="C1652" s="2" t="s">
        <v>178</v>
      </c>
      <c r="D1652" s="3">
        <f>VLOOKUP(B1652,Sheet2!$A:$O,9,0)</f>
        <v>0</v>
      </c>
    </row>
    <row r="1653" spans="1:4">
      <c r="A1653" s="8" t="s">
        <v>402</v>
      </c>
      <c r="B1653" s="2">
        <v>1091010</v>
      </c>
      <c r="C1653" s="2" t="s">
        <v>180</v>
      </c>
      <c r="D1653" s="3">
        <f>VLOOKUP(B1653,Sheet2!$A:$O,9,0)</f>
        <v>27000</v>
      </c>
    </row>
    <row r="1654" spans="1:4">
      <c r="A1654" s="8" t="s">
        <v>402</v>
      </c>
      <c r="B1654" s="2">
        <v>1091011</v>
      </c>
      <c r="C1654" s="2" t="s">
        <v>182</v>
      </c>
      <c r="D1654" s="3">
        <f>VLOOKUP(B1654,Sheet2!$A:$O,9,0)</f>
        <v>33000</v>
      </c>
    </row>
    <row r="1655" spans="1:4">
      <c r="A1655" s="8" t="s">
        <v>402</v>
      </c>
      <c r="B1655" s="2">
        <v>1091012</v>
      </c>
      <c r="C1655" s="2" t="s">
        <v>184</v>
      </c>
      <c r="D1655" s="3">
        <f>VLOOKUP(B1655,Sheet2!$A:$O,9,0)</f>
        <v>47000</v>
      </c>
    </row>
    <row r="1656" spans="1:4">
      <c r="A1656" s="8" t="s">
        <v>402</v>
      </c>
      <c r="B1656" s="2">
        <v>1091013</v>
      </c>
      <c r="C1656" s="2" t="s">
        <v>186</v>
      </c>
      <c r="D1656" s="3">
        <f>VLOOKUP(B1656,Sheet2!$A:$O,9,0)</f>
        <v>33000</v>
      </c>
    </row>
    <row r="1657" spans="1:4">
      <c r="A1657" s="8" t="s">
        <v>402</v>
      </c>
      <c r="B1657" s="2">
        <v>1091014</v>
      </c>
      <c r="C1657" s="2" t="s">
        <v>244</v>
      </c>
      <c r="D1657" s="3">
        <f>VLOOKUP(B1657,Sheet2!$A:$O,9,0)</f>
        <v>6961</v>
      </c>
    </row>
    <row r="1658" spans="1:4">
      <c r="A1658" s="8" t="s">
        <v>402</v>
      </c>
      <c r="B1658" s="2">
        <v>1091015</v>
      </c>
      <c r="C1658" s="2" t="s">
        <v>245</v>
      </c>
      <c r="D1658" s="3">
        <f>VLOOKUP(B1658,Sheet2!$A:$O,9,0)</f>
        <v>28000</v>
      </c>
    </row>
    <row r="1659" spans="1:4">
      <c r="A1659" s="8" t="s">
        <v>402</v>
      </c>
      <c r="B1659" s="2">
        <v>1091016</v>
      </c>
      <c r="C1659" s="2" t="s">
        <v>246</v>
      </c>
      <c r="D1659" s="3">
        <f>VLOOKUP(B1659,Sheet2!$A:$O,9,0)</f>
        <v>54594</v>
      </c>
    </row>
    <row r="1660" spans="1:4">
      <c r="A1660" s="8" t="s">
        <v>402</v>
      </c>
      <c r="B1660" s="2">
        <v>1091017</v>
      </c>
      <c r="C1660" s="2" t="s">
        <v>247</v>
      </c>
      <c r="D1660" s="3">
        <f>VLOOKUP(B1660,Sheet2!$A:$O,9,0)</f>
        <v>0</v>
      </c>
    </row>
    <row r="1661" spans="1:4">
      <c r="A1661" s="8" t="s">
        <v>402</v>
      </c>
      <c r="B1661" s="2">
        <v>1091018</v>
      </c>
      <c r="C1661" s="2" t="s">
        <v>248</v>
      </c>
      <c r="D1661" s="3">
        <f>VLOOKUP(B1661,Sheet2!$A:$O,9,0)</f>
        <v>0</v>
      </c>
    </row>
    <row r="1662" spans="1:4">
      <c r="A1662" s="8" t="s">
        <v>402</v>
      </c>
      <c r="B1662" s="2">
        <v>1091019</v>
      </c>
      <c r="C1662" s="2" t="s">
        <v>249</v>
      </c>
      <c r="D1662" s="3">
        <f>VLOOKUP(B1662,Sheet2!$A:$O,9,0)</f>
        <v>53387</v>
      </c>
    </row>
    <row r="1663" spans="1:4">
      <c r="A1663" s="8" t="s">
        <v>402</v>
      </c>
      <c r="B1663" s="2">
        <v>1091020</v>
      </c>
      <c r="C1663" s="2" t="s">
        <v>250</v>
      </c>
      <c r="D1663" s="3">
        <f>VLOOKUP(B1663,Sheet2!$A:$O,9,0)</f>
        <v>62745</v>
      </c>
    </row>
    <row r="1664" spans="1:4">
      <c r="A1664" s="8" t="s">
        <v>402</v>
      </c>
      <c r="B1664" s="2">
        <v>1091021</v>
      </c>
      <c r="C1664" s="2" t="s">
        <v>251</v>
      </c>
      <c r="D1664" s="3">
        <f>VLOOKUP(B1664,Sheet2!$A:$O,9,0)</f>
        <v>53922</v>
      </c>
    </row>
    <row r="1665" spans="1:4">
      <c r="A1665" s="8" t="s">
        <v>402</v>
      </c>
      <c r="B1665" s="2">
        <v>1091022</v>
      </c>
      <c r="C1665" s="2" t="s">
        <v>252</v>
      </c>
      <c r="D1665" s="3">
        <f>VLOOKUP(B1665,Sheet2!$A:$O,9,0)</f>
        <v>3235</v>
      </c>
    </row>
    <row r="1666" spans="1:4">
      <c r="A1666" s="8" t="s">
        <v>402</v>
      </c>
      <c r="B1666" s="2">
        <v>1091023</v>
      </c>
      <c r="C1666" s="2" t="s">
        <v>253</v>
      </c>
      <c r="D1666" s="3">
        <f>VLOOKUP(B1666,Sheet2!$A:$O,9,0)</f>
        <v>4412</v>
      </c>
    </row>
    <row r="1667" spans="1:4">
      <c r="A1667" s="8" t="s">
        <v>402</v>
      </c>
      <c r="B1667" s="2">
        <v>1091024</v>
      </c>
      <c r="C1667" s="2" t="s">
        <v>254</v>
      </c>
      <c r="D1667" s="3">
        <f>VLOOKUP(B1667,Sheet2!$A:$O,9,0)</f>
        <v>3922</v>
      </c>
    </row>
    <row r="1668" spans="1:4">
      <c r="A1668" s="8" t="s">
        <v>402</v>
      </c>
      <c r="B1668" s="2">
        <v>1091025</v>
      </c>
      <c r="C1668" s="2" t="s">
        <v>255</v>
      </c>
      <c r="D1668" s="3">
        <f>VLOOKUP(B1668,Sheet2!$A:$O,9,0)</f>
        <v>6275</v>
      </c>
    </row>
    <row r="1669" spans="1:4">
      <c r="A1669" s="8" t="s">
        <v>402</v>
      </c>
      <c r="B1669" s="2">
        <v>1091026</v>
      </c>
      <c r="C1669" s="2" t="s">
        <v>256</v>
      </c>
      <c r="D1669" s="3">
        <f>VLOOKUP(B1669,Sheet2!$A:$O,9,0)</f>
        <v>30196</v>
      </c>
    </row>
    <row r="1670" spans="1:4">
      <c r="A1670" s="8" t="s">
        <v>402</v>
      </c>
      <c r="B1670" s="2">
        <v>1600101</v>
      </c>
      <c r="C1670" s="2" t="s">
        <v>188</v>
      </c>
      <c r="D1670" s="3">
        <f>VLOOKUP(B1670,Sheet2!$A:$O,9,0)</f>
        <v>2402</v>
      </c>
    </row>
    <row r="1671" spans="1:4">
      <c r="A1671" s="8" t="s">
        <v>402</v>
      </c>
      <c r="B1671" s="2">
        <v>1600102</v>
      </c>
      <c r="C1671" s="2" t="s">
        <v>257</v>
      </c>
      <c r="D1671" s="3">
        <f>VLOOKUP(B1671,Sheet2!$A:$O,9,0)</f>
        <v>17648</v>
      </c>
    </row>
    <row r="1672" spans="1:4">
      <c r="A1672" s="8" t="s">
        <v>402</v>
      </c>
      <c r="B1672" s="2">
        <v>1600103</v>
      </c>
      <c r="C1672" s="2" t="s">
        <v>258</v>
      </c>
      <c r="D1672" s="3">
        <f>VLOOKUP(B1672,Sheet2!$A:$O,9,0)</f>
        <v>19800</v>
      </c>
    </row>
    <row r="1673" spans="1:4">
      <c r="A1673" s="8" t="s">
        <v>402</v>
      </c>
      <c r="B1673" s="2">
        <v>1600104</v>
      </c>
      <c r="C1673" s="2" t="s">
        <v>259</v>
      </c>
      <c r="D1673" s="3">
        <f>VLOOKUP(B1673,Sheet2!$A:$O,9,0)</f>
        <v>65000</v>
      </c>
    </row>
    <row r="1674" spans="1:4">
      <c r="A1674" s="8" t="s">
        <v>402</v>
      </c>
      <c r="B1674" s="2">
        <v>1600105</v>
      </c>
      <c r="C1674" s="2" t="s">
        <v>260</v>
      </c>
      <c r="D1674" s="3">
        <f>VLOOKUP(B1674,Sheet2!$A:$O,9,0)</f>
        <v>73000</v>
      </c>
    </row>
    <row r="1675" spans="1:4">
      <c r="A1675" s="8" t="s">
        <v>402</v>
      </c>
      <c r="B1675" s="2">
        <v>1600106</v>
      </c>
      <c r="C1675" s="2" t="s">
        <v>261</v>
      </c>
      <c r="D1675" s="3">
        <f>VLOOKUP(B1675,Sheet2!$A:$O,9,0)</f>
        <v>66667</v>
      </c>
    </row>
    <row r="1676" spans="1:4">
      <c r="A1676" s="8" t="s">
        <v>402</v>
      </c>
      <c r="B1676" s="2">
        <v>1600107</v>
      </c>
      <c r="C1676" s="2" t="s">
        <v>262</v>
      </c>
      <c r="D1676" s="3">
        <f>VLOOKUP(B1676,Sheet2!$A:$O,9,0)</f>
        <v>67647</v>
      </c>
    </row>
    <row r="1677" spans="1:4">
      <c r="A1677" s="8" t="s">
        <v>402</v>
      </c>
      <c r="B1677" s="2">
        <v>1600108</v>
      </c>
      <c r="C1677" s="2" t="s">
        <v>263</v>
      </c>
      <c r="D1677" s="3">
        <f>VLOOKUP(B1677,Sheet2!$A:$O,9,0)</f>
        <v>67647</v>
      </c>
    </row>
    <row r="1678" spans="1:4">
      <c r="A1678" s="8" t="s">
        <v>402</v>
      </c>
      <c r="B1678" s="2">
        <v>1600109</v>
      </c>
      <c r="C1678" s="2" t="s">
        <v>264</v>
      </c>
      <c r="D1678" s="3">
        <f>VLOOKUP(B1678,Sheet2!$A:$O,9,0)</f>
        <v>5882</v>
      </c>
    </row>
    <row r="1679" spans="1:4">
      <c r="A1679" s="8" t="s">
        <v>402</v>
      </c>
      <c r="B1679" s="2">
        <v>1600110</v>
      </c>
      <c r="C1679" s="2" t="s">
        <v>265</v>
      </c>
      <c r="D1679" s="3">
        <f>VLOOKUP(B1679,Sheet2!$A:$O,9,0)</f>
        <v>7917</v>
      </c>
    </row>
    <row r="1680" spans="1:4">
      <c r="A1680" s="8" t="s">
        <v>402</v>
      </c>
      <c r="B1680" s="2">
        <v>1600111</v>
      </c>
      <c r="C1680" s="2" t="s">
        <v>266</v>
      </c>
      <c r="D1680" s="3">
        <f>VLOOKUP(B1680,Sheet2!$A:$O,9,0)</f>
        <v>2266</v>
      </c>
    </row>
    <row r="1681" spans="1:4">
      <c r="A1681" s="8" t="s">
        <v>402</v>
      </c>
      <c r="B1681" s="2">
        <v>1600112</v>
      </c>
      <c r="C1681" s="2" t="s">
        <v>190</v>
      </c>
      <c r="D1681" s="3">
        <f>VLOOKUP(B1681,Sheet2!$A:$O,9,0)</f>
        <v>4800</v>
      </c>
    </row>
    <row r="1682" spans="1:4">
      <c r="A1682" s="8" t="s">
        <v>402</v>
      </c>
      <c r="B1682" s="2">
        <v>1600113</v>
      </c>
      <c r="C1682" s="2" t="s">
        <v>267</v>
      </c>
      <c r="D1682" s="3">
        <f>VLOOKUP(B1682,Sheet2!$A:$O,9,0)</f>
        <v>0</v>
      </c>
    </row>
    <row r="1683" spans="1:4">
      <c r="A1683" s="8" t="s">
        <v>402</v>
      </c>
      <c r="B1683" s="2">
        <v>1600114</v>
      </c>
      <c r="C1683" s="2" t="s">
        <v>268</v>
      </c>
      <c r="D1683" s="3">
        <f>VLOOKUP(B1683,Sheet2!$A:$O,9,0)</f>
        <v>10140</v>
      </c>
    </row>
    <row r="1684" spans="1:4">
      <c r="A1684" s="8" t="s">
        <v>402</v>
      </c>
      <c r="B1684" s="2">
        <v>1700001</v>
      </c>
      <c r="C1684" s="2" t="s">
        <v>269</v>
      </c>
      <c r="D1684" s="3">
        <f>VLOOKUP(B1684,Sheet2!$A:$O,9,0)</f>
        <v>4167</v>
      </c>
    </row>
    <row r="1685" spans="1:4">
      <c r="A1685" s="8" t="s">
        <v>402</v>
      </c>
      <c r="B1685" s="2">
        <v>1700002</v>
      </c>
      <c r="C1685" s="2" t="s">
        <v>270</v>
      </c>
      <c r="D1685" s="3">
        <f>VLOOKUP(B1685,Sheet2!$A:$O,9,0)</f>
        <v>3726</v>
      </c>
    </row>
    <row r="1686" spans="1:4">
      <c r="A1686" s="8" t="s">
        <v>402</v>
      </c>
      <c r="B1686" s="2">
        <v>1700003</v>
      </c>
      <c r="C1686" s="2" t="s">
        <v>271</v>
      </c>
      <c r="D1686" s="3">
        <f>VLOOKUP(B1686,Sheet2!$A:$O,9,0)</f>
        <v>4902</v>
      </c>
    </row>
    <row r="1687" spans="1:4">
      <c r="A1687" s="8" t="s">
        <v>402</v>
      </c>
      <c r="B1687" s="2">
        <v>1700004</v>
      </c>
      <c r="C1687" s="2" t="s">
        <v>272</v>
      </c>
      <c r="D1687" s="3">
        <f>VLOOKUP(B1687,Sheet2!$A:$O,9,0)</f>
        <v>13137</v>
      </c>
    </row>
    <row r="1688" spans="1:4">
      <c r="A1688" s="8" t="s">
        <v>402</v>
      </c>
      <c r="B1688" s="2">
        <v>1700005</v>
      </c>
      <c r="C1688" s="2" t="s">
        <v>192</v>
      </c>
      <c r="D1688" s="3">
        <f>VLOOKUP(B1688,Sheet2!$A:$O,9,0)</f>
        <v>1784</v>
      </c>
    </row>
    <row r="1689" spans="1:4">
      <c r="A1689" s="8" t="s">
        <v>402</v>
      </c>
      <c r="B1689" s="2">
        <v>1700006</v>
      </c>
      <c r="C1689" s="2" t="s">
        <v>273</v>
      </c>
      <c r="D1689" s="3">
        <f>VLOOKUP(B1689,Sheet2!$A:$O,9,0)</f>
        <v>10382</v>
      </c>
    </row>
    <row r="1690" spans="1:4">
      <c r="A1690" s="8" t="s">
        <v>402</v>
      </c>
      <c r="B1690" s="2">
        <v>1700007</v>
      </c>
      <c r="C1690" s="2" t="s">
        <v>274</v>
      </c>
      <c r="D1690" s="3">
        <f>VLOOKUP(B1690,Sheet2!$A:$O,9,0)</f>
        <v>0</v>
      </c>
    </row>
    <row r="1691" spans="1:4">
      <c r="A1691" s="8" t="s">
        <v>402</v>
      </c>
      <c r="B1691" s="2">
        <v>1700008</v>
      </c>
      <c r="C1691" s="2" t="s">
        <v>275</v>
      </c>
      <c r="D1691" s="3">
        <f>VLOOKUP(B1691,Sheet2!$A:$O,9,0)</f>
        <v>0</v>
      </c>
    </row>
    <row r="1692" spans="1:4">
      <c r="A1692" s="8" t="s">
        <v>402</v>
      </c>
      <c r="B1692" s="2">
        <v>1700009</v>
      </c>
      <c r="C1692" s="2" t="s">
        <v>276</v>
      </c>
      <c r="D1692" s="3">
        <f>VLOOKUP(B1692,Sheet2!$A:$O,9,0)</f>
        <v>0</v>
      </c>
    </row>
    <row r="1693" spans="1:4">
      <c r="A1693" s="8" t="s">
        <v>402</v>
      </c>
      <c r="B1693" s="2">
        <v>1700010</v>
      </c>
      <c r="C1693" s="2" t="s">
        <v>277</v>
      </c>
      <c r="D1693" s="3">
        <f>VLOOKUP(B1693,Sheet2!$A:$O,9,0)</f>
        <v>3630</v>
      </c>
    </row>
    <row r="1694" spans="1:4">
      <c r="A1694" s="8" t="s">
        <v>402</v>
      </c>
      <c r="B1694" s="2">
        <v>1700011</v>
      </c>
      <c r="C1694" s="2" t="s">
        <v>278</v>
      </c>
      <c r="D1694" s="3">
        <f>VLOOKUP(B1694,Sheet2!$A:$O,9,0)</f>
        <v>11961</v>
      </c>
    </row>
    <row r="1695" spans="1:4">
      <c r="A1695" s="8" t="s">
        <v>402</v>
      </c>
      <c r="B1695" s="2">
        <v>1700012</v>
      </c>
      <c r="C1695" s="2" t="s">
        <v>279</v>
      </c>
      <c r="D1695" s="3">
        <f>VLOOKUP(B1695,Sheet2!$A:$O,9,0)</f>
        <v>12255</v>
      </c>
    </row>
    <row r="1696" spans="1:4">
      <c r="A1696" s="8" t="s">
        <v>402</v>
      </c>
      <c r="B1696" s="2">
        <v>1700013</v>
      </c>
      <c r="C1696" s="2" t="s">
        <v>280</v>
      </c>
      <c r="D1696" s="3">
        <f>VLOOKUP(B1696,Sheet2!$A:$O,9,0)</f>
        <v>18137</v>
      </c>
    </row>
    <row r="1697" spans="1:4">
      <c r="A1697" s="8" t="s">
        <v>402</v>
      </c>
      <c r="B1697" s="2">
        <v>1700014</v>
      </c>
      <c r="C1697" s="2" t="s">
        <v>194</v>
      </c>
      <c r="D1697" s="3">
        <f>VLOOKUP(B1697,Sheet2!$A:$O,9,0)</f>
        <v>2255</v>
      </c>
    </row>
    <row r="1698" spans="1:4">
      <c r="A1698" s="8" t="s">
        <v>402</v>
      </c>
      <c r="B1698" s="2">
        <v>1700015</v>
      </c>
      <c r="C1698" s="2" t="s">
        <v>281</v>
      </c>
      <c r="D1698" s="3">
        <f>VLOOKUP(B1698,Sheet2!$A:$O,9,0)</f>
        <v>2552</v>
      </c>
    </row>
    <row r="1699" spans="1:4">
      <c r="A1699" s="8" t="s">
        <v>402</v>
      </c>
      <c r="B1699" s="2">
        <v>1700016</v>
      </c>
      <c r="C1699" s="2" t="s">
        <v>282</v>
      </c>
      <c r="D1699" s="3">
        <f>VLOOKUP(B1699,Sheet2!$A:$O,9,0)</f>
        <v>3510</v>
      </c>
    </row>
    <row r="1700" spans="1:4">
      <c r="A1700" s="8" t="s">
        <v>402</v>
      </c>
      <c r="B1700" s="2">
        <v>1700017</v>
      </c>
      <c r="C1700" s="2" t="s">
        <v>283</v>
      </c>
      <c r="D1700" s="3">
        <f>VLOOKUP(B1700,Sheet2!$A:$O,9,0)</f>
        <v>9804</v>
      </c>
    </row>
    <row r="1701" spans="1:4">
      <c r="A1701" s="8" t="s">
        <v>402</v>
      </c>
      <c r="B1701" s="2">
        <v>1700018</v>
      </c>
      <c r="C1701" s="2" t="s">
        <v>284</v>
      </c>
      <c r="D1701" s="3">
        <f>VLOOKUP(B1701,Sheet2!$A:$O,9,0)</f>
        <v>4140</v>
      </c>
    </row>
    <row r="1702" spans="1:4">
      <c r="A1702" s="8" t="s">
        <v>402</v>
      </c>
      <c r="B1702" s="2">
        <v>1700019</v>
      </c>
      <c r="C1702" s="2" t="s">
        <v>285</v>
      </c>
      <c r="D1702" s="3">
        <f>VLOOKUP(B1702,Sheet2!$A:$O,9,0)</f>
        <v>0</v>
      </c>
    </row>
    <row r="1703" spans="1:4">
      <c r="A1703" s="8" t="s">
        <v>402</v>
      </c>
      <c r="B1703" s="2">
        <v>1700020</v>
      </c>
      <c r="C1703" s="2" t="s">
        <v>286</v>
      </c>
      <c r="D1703" s="3">
        <f>VLOOKUP(B1703,Sheet2!$A:$O,9,0)</f>
        <v>49412</v>
      </c>
    </row>
    <row r="1704" spans="1:4">
      <c r="A1704" s="8" t="s">
        <v>402</v>
      </c>
      <c r="B1704" s="2">
        <v>1700021</v>
      </c>
      <c r="C1704" s="2" t="s">
        <v>287</v>
      </c>
      <c r="D1704" s="3">
        <f>VLOOKUP(B1704,Sheet2!$A:$O,9,0)</f>
        <v>77069</v>
      </c>
    </row>
    <row r="1705" spans="1:4">
      <c r="A1705" s="8" t="s">
        <v>402</v>
      </c>
      <c r="B1705" s="2">
        <v>1700022</v>
      </c>
      <c r="C1705" s="2" t="s">
        <v>288</v>
      </c>
      <c r="D1705" s="3">
        <f>VLOOKUP(B1705,Sheet2!$A:$O,9,0)</f>
        <v>33706</v>
      </c>
    </row>
    <row r="1706" spans="1:4">
      <c r="A1706" s="8" t="s">
        <v>402</v>
      </c>
      <c r="B1706" s="2">
        <v>1700023</v>
      </c>
      <c r="C1706" s="2" t="s">
        <v>289</v>
      </c>
      <c r="D1706" s="3">
        <f>VLOOKUP(B1706,Sheet2!$A:$O,9,0)</f>
        <v>6343</v>
      </c>
    </row>
    <row r="1707" spans="1:4">
      <c r="A1707" s="8" t="s">
        <v>402</v>
      </c>
      <c r="B1707" s="2">
        <v>1700024</v>
      </c>
      <c r="C1707" s="2" t="s">
        <v>290</v>
      </c>
      <c r="D1707" s="3">
        <f>VLOOKUP(B1707,Sheet2!$A:$O,9,0)</f>
        <v>0</v>
      </c>
    </row>
    <row r="1708" spans="1:4">
      <c r="A1708" s="8" t="s">
        <v>402</v>
      </c>
      <c r="B1708" s="2">
        <v>1700025</v>
      </c>
      <c r="C1708" s="2" t="s">
        <v>291</v>
      </c>
      <c r="D1708" s="3">
        <f>VLOOKUP(B1708,Sheet2!$A:$O,9,0)</f>
        <v>1961</v>
      </c>
    </row>
    <row r="1709" spans="1:4">
      <c r="A1709" s="8" t="s">
        <v>402</v>
      </c>
      <c r="B1709" s="2">
        <v>1700026</v>
      </c>
      <c r="C1709" s="2" t="s">
        <v>292</v>
      </c>
      <c r="D1709" s="3">
        <f>VLOOKUP(B1709,Sheet2!$A:$O,9,0)</f>
        <v>4412</v>
      </c>
    </row>
    <row r="1710" spans="1:4">
      <c r="A1710" s="8" t="s">
        <v>402</v>
      </c>
      <c r="B1710" s="2">
        <v>1700027</v>
      </c>
      <c r="C1710" s="2" t="s">
        <v>293</v>
      </c>
      <c r="D1710" s="3">
        <f>VLOOKUP(B1710,Sheet2!$A:$O,9,0)</f>
        <v>4412</v>
      </c>
    </row>
    <row r="1711" spans="1:4">
      <c r="A1711" s="8" t="s">
        <v>402</v>
      </c>
      <c r="B1711" s="2">
        <v>1700028</v>
      </c>
      <c r="C1711" s="2" t="s">
        <v>294</v>
      </c>
      <c r="D1711" s="3">
        <f>VLOOKUP(B1711,Sheet2!$A:$O,9,0)</f>
        <v>9500</v>
      </c>
    </row>
    <row r="1712" spans="1:4">
      <c r="A1712" s="8" t="s">
        <v>402</v>
      </c>
      <c r="B1712" s="2">
        <v>1700029</v>
      </c>
      <c r="C1712" s="2" t="s">
        <v>295</v>
      </c>
      <c r="D1712" s="3">
        <f>VLOOKUP(B1712,Sheet2!$A:$O,9,0)</f>
        <v>10670</v>
      </c>
    </row>
    <row r="1713" spans="1:4">
      <c r="A1713" s="8" t="s">
        <v>402</v>
      </c>
      <c r="B1713" s="2">
        <v>1700030</v>
      </c>
      <c r="C1713" s="2" t="s">
        <v>296</v>
      </c>
      <c r="D1713" s="3">
        <f>VLOOKUP(B1713,Sheet2!$A:$O,9,0)</f>
        <v>12720</v>
      </c>
    </row>
    <row r="1714" spans="1:4">
      <c r="A1714" s="8" t="s">
        <v>402</v>
      </c>
      <c r="B1714" s="2">
        <v>1700031</v>
      </c>
      <c r="C1714" s="2" t="s">
        <v>196</v>
      </c>
      <c r="D1714" s="3">
        <f>VLOOKUP(B1714,Sheet2!$A:$O,9,0)</f>
        <v>1961</v>
      </c>
    </row>
    <row r="1715" spans="1:4">
      <c r="A1715" s="8" t="s">
        <v>402</v>
      </c>
      <c r="B1715" s="2">
        <v>1700032</v>
      </c>
      <c r="C1715" s="2" t="s">
        <v>297</v>
      </c>
      <c r="D1715" s="3">
        <f>VLOOKUP(B1715,Sheet2!$A:$O,9,0)</f>
        <v>0</v>
      </c>
    </row>
    <row r="1716" spans="1:4">
      <c r="A1716" s="8" t="s">
        <v>402</v>
      </c>
      <c r="B1716" s="2">
        <v>1700033</v>
      </c>
      <c r="C1716" s="2" t="s">
        <v>298</v>
      </c>
      <c r="D1716" s="3">
        <f>VLOOKUP(B1716,Sheet2!$A:$O,9,0)</f>
        <v>0</v>
      </c>
    </row>
    <row r="1717" spans="1:4">
      <c r="A1717" s="8" t="s">
        <v>402</v>
      </c>
      <c r="B1717" s="2">
        <v>1700034</v>
      </c>
      <c r="C1717" s="2" t="s">
        <v>299</v>
      </c>
      <c r="D1717" s="3">
        <f>VLOOKUP(B1717,Sheet2!$A:$O,9,0)</f>
        <v>15125</v>
      </c>
    </row>
    <row r="1718" spans="1:4">
      <c r="A1718" s="8" t="s">
        <v>402</v>
      </c>
      <c r="B1718" s="2">
        <v>1700035</v>
      </c>
      <c r="C1718" s="2" t="s">
        <v>300</v>
      </c>
      <c r="D1718" s="3">
        <f>VLOOKUP(B1718,Sheet2!$A:$O,9,0)</f>
        <v>64367</v>
      </c>
    </row>
    <row r="1719" spans="1:4">
      <c r="A1719" s="8" t="s">
        <v>402</v>
      </c>
      <c r="B1719" s="2">
        <v>1700036</v>
      </c>
      <c r="C1719" s="2" t="s">
        <v>301</v>
      </c>
      <c r="D1719" s="3">
        <f>VLOOKUP(B1719,Sheet2!$A:$O,9,0)</f>
        <v>5200</v>
      </c>
    </row>
    <row r="1720" spans="1:4">
      <c r="A1720" s="8" t="s">
        <v>402</v>
      </c>
      <c r="B1720" s="2">
        <v>1700037</v>
      </c>
      <c r="C1720" s="2" t="s">
        <v>302</v>
      </c>
      <c r="D1720" s="3">
        <f>VLOOKUP(B1720,Sheet2!$A:$O,9,0)</f>
        <v>7533</v>
      </c>
    </row>
    <row r="1721" spans="1:4">
      <c r="A1721" s="8" t="s">
        <v>402</v>
      </c>
      <c r="B1721" s="2">
        <v>1700038</v>
      </c>
      <c r="C1721" s="2" t="s">
        <v>303</v>
      </c>
      <c r="D1721" s="3">
        <f>VLOOKUP(B1721,Sheet2!$A:$O,9,0)</f>
        <v>2500</v>
      </c>
    </row>
    <row r="1722" spans="1:4">
      <c r="A1722" s="8" t="s">
        <v>402</v>
      </c>
      <c r="B1722" s="2">
        <v>1700039</v>
      </c>
      <c r="C1722" s="2" t="s">
        <v>304</v>
      </c>
      <c r="D1722" s="3">
        <f>VLOOKUP(B1722,Sheet2!$A:$O,9,0)</f>
        <v>2431</v>
      </c>
    </row>
    <row r="1723" spans="1:4">
      <c r="A1723" s="8" t="s">
        <v>402</v>
      </c>
      <c r="B1723" s="2">
        <v>1700040</v>
      </c>
      <c r="C1723" s="2" t="s">
        <v>305</v>
      </c>
      <c r="D1723" s="3">
        <f>VLOOKUP(B1723,Sheet2!$A:$O,9,0)</f>
        <v>1967</v>
      </c>
    </row>
    <row r="1724" spans="1:4">
      <c r="A1724" s="8" t="s">
        <v>402</v>
      </c>
      <c r="B1724" s="2">
        <v>1700041</v>
      </c>
      <c r="C1724" s="2" t="s">
        <v>306</v>
      </c>
      <c r="D1724" s="3">
        <f>VLOOKUP(B1724,Sheet2!$A:$O,9,0)</f>
        <v>3000</v>
      </c>
    </row>
    <row r="1725" spans="1:4">
      <c r="A1725" s="8" t="s">
        <v>402</v>
      </c>
      <c r="B1725" s="2">
        <v>1700042</v>
      </c>
      <c r="C1725" s="2" t="s">
        <v>307</v>
      </c>
      <c r="D1725" s="3">
        <f>VLOOKUP(B1725,Sheet2!$A:$O,9,0)</f>
        <v>3268</v>
      </c>
    </row>
    <row r="1726" spans="1:4">
      <c r="A1726" s="8" t="s">
        <v>402</v>
      </c>
      <c r="B1726" s="2">
        <v>1700043</v>
      </c>
      <c r="C1726" s="2" t="s">
        <v>308</v>
      </c>
      <c r="D1726" s="3">
        <f>VLOOKUP(B1726,Sheet2!$A:$O,9,0)</f>
        <v>4026</v>
      </c>
    </row>
    <row r="1727" spans="1:4">
      <c r="A1727" s="8" t="s">
        <v>402</v>
      </c>
      <c r="B1727" s="2">
        <v>1700044</v>
      </c>
      <c r="C1727" s="2" t="s">
        <v>309</v>
      </c>
      <c r="D1727" s="3">
        <f>VLOOKUP(B1727,Sheet2!$A:$O,9,0)</f>
        <v>7000</v>
      </c>
    </row>
    <row r="1728" spans="1:4">
      <c r="A1728" s="8" t="s">
        <v>402</v>
      </c>
      <c r="B1728" s="2">
        <v>1700045</v>
      </c>
      <c r="C1728" s="2" t="s">
        <v>310</v>
      </c>
      <c r="D1728" s="3">
        <f>VLOOKUP(B1728,Sheet2!$A:$O,9,0)</f>
        <v>3417</v>
      </c>
    </row>
    <row r="1729" spans="1:4">
      <c r="A1729" s="8" t="s">
        <v>402</v>
      </c>
      <c r="B1729" s="2">
        <v>1700046</v>
      </c>
      <c r="C1729" s="2" t="s">
        <v>311</v>
      </c>
      <c r="D1729" s="3">
        <f>VLOOKUP(B1729,Sheet2!$A:$O,9,0)</f>
        <v>6863</v>
      </c>
    </row>
    <row r="1730" spans="1:4">
      <c r="A1730" s="8" t="s">
        <v>402</v>
      </c>
      <c r="B1730" s="2">
        <v>1700047</v>
      </c>
      <c r="C1730" s="2" t="s">
        <v>312</v>
      </c>
      <c r="D1730" s="3">
        <f>VLOOKUP(B1730,Sheet2!$A:$O,9,0)</f>
        <v>22150</v>
      </c>
    </row>
    <row r="1731" spans="1:4">
      <c r="A1731" s="8" t="s">
        <v>402</v>
      </c>
      <c r="B1731" s="2">
        <v>1700048</v>
      </c>
      <c r="C1731" s="2" t="s">
        <v>313</v>
      </c>
      <c r="D1731" s="3">
        <f>VLOOKUP(B1731,Sheet2!$A:$O,9,0)</f>
        <v>13330</v>
      </c>
    </row>
    <row r="1732" spans="1:4">
      <c r="A1732" s="8" t="s">
        <v>402</v>
      </c>
      <c r="B1732" s="2">
        <v>1700049</v>
      </c>
      <c r="C1732" s="2" t="s">
        <v>314</v>
      </c>
      <c r="D1732" s="3">
        <f>VLOOKUP(B1732,Sheet2!$A:$O,9,0)</f>
        <v>5785</v>
      </c>
    </row>
    <row r="1733" spans="1:4">
      <c r="A1733" s="8" t="s">
        <v>402</v>
      </c>
      <c r="B1733" s="2">
        <v>1700050</v>
      </c>
      <c r="C1733" s="2" t="s">
        <v>315</v>
      </c>
      <c r="D1733" s="3">
        <f>VLOOKUP(B1733,Sheet2!$A:$O,9,0)</f>
        <v>39000</v>
      </c>
    </row>
    <row r="1734" spans="1:4">
      <c r="A1734" s="8" t="s">
        <v>402</v>
      </c>
      <c r="B1734" s="2">
        <v>1700051</v>
      </c>
      <c r="C1734" s="2" t="s">
        <v>316</v>
      </c>
      <c r="D1734" s="3">
        <f>VLOOKUP(B1734,Sheet2!$A:$O,9,0)</f>
        <v>11500</v>
      </c>
    </row>
    <row r="1735" spans="1:4">
      <c r="A1735" s="8" t="s">
        <v>402</v>
      </c>
      <c r="B1735" s="2">
        <v>1700052</v>
      </c>
      <c r="C1735" s="2" t="s">
        <v>317</v>
      </c>
      <c r="D1735" s="3">
        <f>VLOOKUP(B1735,Sheet2!$A:$O,9,0)</f>
        <v>3444</v>
      </c>
    </row>
    <row r="1736" spans="1:4">
      <c r="A1736" s="8" t="s">
        <v>402</v>
      </c>
      <c r="B1736" s="2">
        <v>1700053</v>
      </c>
      <c r="C1736" s="2" t="s">
        <v>318</v>
      </c>
      <c r="D1736" s="3">
        <f>VLOOKUP(B1736,Sheet2!$A:$O,9,0)</f>
        <v>15530</v>
      </c>
    </row>
    <row r="1737" spans="1:4">
      <c r="A1737" s="8" t="s">
        <v>402</v>
      </c>
      <c r="B1737" s="2">
        <v>1700054</v>
      </c>
      <c r="C1737" s="2" t="s">
        <v>319</v>
      </c>
      <c r="D1737" s="3">
        <f>VLOOKUP(B1737,Sheet2!$A:$O,9,0)</f>
        <v>11670</v>
      </c>
    </row>
    <row r="1738" spans="1:4">
      <c r="A1738" s="8" t="s">
        <v>402</v>
      </c>
      <c r="B1738" s="2">
        <v>1700055</v>
      </c>
      <c r="C1738" s="2" t="s">
        <v>320</v>
      </c>
      <c r="D1738" s="3">
        <f>VLOOKUP(B1738,Sheet2!$A:$O,9,0)</f>
        <v>11940</v>
      </c>
    </row>
    <row r="1739" spans="1:4">
      <c r="A1739" s="8" t="s">
        <v>402</v>
      </c>
      <c r="B1739" s="2">
        <v>1700056</v>
      </c>
      <c r="C1739" s="2" t="s">
        <v>321</v>
      </c>
      <c r="D1739" s="3">
        <f>VLOOKUP(B1739,Sheet2!$A:$O,9,0)</f>
        <v>5603</v>
      </c>
    </row>
    <row r="1740" spans="1:4">
      <c r="A1740" s="8" t="s">
        <v>402</v>
      </c>
      <c r="B1740" s="2">
        <v>1700057</v>
      </c>
      <c r="C1740" s="2" t="s">
        <v>322</v>
      </c>
      <c r="D1740" s="3">
        <f>VLOOKUP(B1740,Sheet2!$A:$O,9,0)</f>
        <v>2098</v>
      </c>
    </row>
    <row r="1741" spans="1:4">
      <c r="A1741" s="8" t="s">
        <v>402</v>
      </c>
      <c r="B1741" s="2">
        <v>1700058</v>
      </c>
      <c r="C1741" s="2" t="s">
        <v>323</v>
      </c>
      <c r="D1741" s="3">
        <f>VLOOKUP(B1741,Sheet2!$A:$O,9,0)</f>
        <v>5800</v>
      </c>
    </row>
    <row r="1742" spans="1:4">
      <c r="A1742" s="8" t="s">
        <v>402</v>
      </c>
      <c r="B1742" s="2">
        <v>1700059</v>
      </c>
      <c r="C1742" s="2" t="s">
        <v>324</v>
      </c>
      <c r="D1742" s="3">
        <f>VLOOKUP(B1742,Sheet2!$A:$O,9,0)</f>
        <v>27667</v>
      </c>
    </row>
    <row r="1743" spans="1:4">
      <c r="A1743" s="8" t="s">
        <v>402</v>
      </c>
      <c r="B1743" s="2">
        <v>1700060</v>
      </c>
      <c r="C1743" s="2" t="s">
        <v>325</v>
      </c>
      <c r="D1743" s="3">
        <f>VLOOKUP(B1743,Sheet2!$A:$O,9,0)</f>
        <v>3402</v>
      </c>
    </row>
    <row r="1744" spans="1:4">
      <c r="A1744" s="8" t="s">
        <v>402</v>
      </c>
      <c r="B1744" s="2">
        <v>1700061</v>
      </c>
      <c r="C1744" s="2" t="s">
        <v>326</v>
      </c>
      <c r="D1744" s="3">
        <f>VLOOKUP(B1744,Sheet2!$A:$O,9,0)</f>
        <v>8920</v>
      </c>
    </row>
    <row r="1745" spans="1:4">
      <c r="A1745" s="8" t="s">
        <v>402</v>
      </c>
      <c r="B1745" s="2">
        <v>1700062</v>
      </c>
      <c r="C1745" s="2" t="s">
        <v>327</v>
      </c>
      <c r="D1745" s="3">
        <f>VLOOKUP(B1745,Sheet2!$A:$O,9,0)</f>
        <v>10520</v>
      </c>
    </row>
    <row r="1746" spans="1:4">
      <c r="A1746" s="8" t="s">
        <v>402</v>
      </c>
      <c r="B1746" s="2">
        <v>1700063</v>
      </c>
      <c r="C1746" s="2" t="s">
        <v>328</v>
      </c>
      <c r="D1746" s="3">
        <f>VLOOKUP(B1746,Sheet2!$A:$O,9,0)</f>
        <v>10550</v>
      </c>
    </row>
    <row r="1747" spans="1:4">
      <c r="A1747" s="8" t="s">
        <v>402</v>
      </c>
      <c r="B1747" s="2">
        <v>1700064</v>
      </c>
      <c r="C1747" s="2" t="s">
        <v>329</v>
      </c>
      <c r="D1747" s="3">
        <f>VLOOKUP(B1747,Sheet2!$A:$O,9,0)</f>
        <v>11060</v>
      </c>
    </row>
    <row r="1748" spans="1:4">
      <c r="A1748" s="8" t="s">
        <v>402</v>
      </c>
      <c r="B1748" s="2">
        <v>1700065</v>
      </c>
      <c r="C1748" s="2" t="s">
        <v>330</v>
      </c>
      <c r="D1748" s="3">
        <f>VLOOKUP(B1748,Sheet2!$A:$O,9,0)</f>
        <v>12760</v>
      </c>
    </row>
    <row r="1749" spans="1:4">
      <c r="A1749" s="8" t="s">
        <v>402</v>
      </c>
      <c r="B1749" s="2">
        <v>1700066</v>
      </c>
      <c r="C1749" s="2" t="s">
        <v>331</v>
      </c>
      <c r="D1749" s="3">
        <f>VLOOKUP(B1749,Sheet2!$A:$O,9,0)</f>
        <v>13200</v>
      </c>
    </row>
    <row r="1750" spans="1:4">
      <c r="A1750" s="8" t="s">
        <v>402</v>
      </c>
      <c r="B1750" s="2">
        <v>1700067</v>
      </c>
      <c r="C1750" s="2" t="s">
        <v>332</v>
      </c>
      <c r="D1750" s="3">
        <f>VLOOKUP(B1750,Sheet2!$A:$O,9,0)</f>
        <v>10720</v>
      </c>
    </row>
    <row r="1751" spans="1:4">
      <c r="A1751" s="8" t="s">
        <v>402</v>
      </c>
      <c r="B1751" s="2">
        <v>1700068</v>
      </c>
      <c r="C1751" s="2" t="s">
        <v>333</v>
      </c>
      <c r="D1751" s="3">
        <f>VLOOKUP(B1751,Sheet2!$A:$O,9,0)</f>
        <v>12720</v>
      </c>
    </row>
    <row r="1752" spans="1:4">
      <c r="A1752" s="8" t="s">
        <v>402</v>
      </c>
      <c r="B1752" s="2">
        <v>1700069</v>
      </c>
      <c r="C1752" s="2" t="s">
        <v>334</v>
      </c>
      <c r="D1752" s="3">
        <f>VLOOKUP(B1752,Sheet2!$A:$O,9,0)</f>
        <v>14000</v>
      </c>
    </row>
    <row r="1753" spans="1:4">
      <c r="A1753" s="8" t="s">
        <v>402</v>
      </c>
      <c r="B1753" s="2">
        <v>1700070</v>
      </c>
      <c r="C1753" s="2" t="s">
        <v>335</v>
      </c>
      <c r="D1753" s="3">
        <f>VLOOKUP(B1753,Sheet2!$A:$O,9,0)</f>
        <v>1618</v>
      </c>
    </row>
    <row r="1754" spans="1:4">
      <c r="A1754" s="8" t="s">
        <v>402</v>
      </c>
      <c r="B1754" s="2">
        <v>1700071</v>
      </c>
      <c r="C1754" s="2" t="s">
        <v>336</v>
      </c>
      <c r="D1754" s="3">
        <f>VLOOKUP(B1754,Sheet2!$A:$O,9,0)</f>
        <v>12190</v>
      </c>
    </row>
    <row r="1755" spans="1:4">
      <c r="A1755" s="8" t="s">
        <v>402</v>
      </c>
      <c r="B1755" s="2">
        <v>1700072</v>
      </c>
      <c r="C1755" s="2" t="s">
        <v>337</v>
      </c>
      <c r="D1755" s="3">
        <f>VLOOKUP(B1755,Sheet2!$A:$O,9,0)</f>
        <v>10180</v>
      </c>
    </row>
    <row r="1756" spans="1:4">
      <c r="A1756" s="8" t="s">
        <v>402</v>
      </c>
      <c r="B1756" s="2">
        <v>1700073</v>
      </c>
      <c r="C1756" s="2" t="s">
        <v>338</v>
      </c>
      <c r="D1756" s="3">
        <f>VLOOKUP(B1756,Sheet2!$A:$O,9,0)</f>
        <v>9020</v>
      </c>
    </row>
    <row r="1757" spans="1:4">
      <c r="A1757" s="8" t="s">
        <v>402</v>
      </c>
      <c r="B1757" s="2">
        <v>1700076</v>
      </c>
      <c r="C1757" s="2" t="s">
        <v>339</v>
      </c>
      <c r="D1757" s="3">
        <f>VLOOKUP(B1757,Sheet2!$A:$O,9,0)</f>
        <v>2451</v>
      </c>
    </row>
    <row r="1758" spans="1:4">
      <c r="A1758" s="8" t="s">
        <v>402</v>
      </c>
      <c r="B1758" s="2">
        <v>1700077</v>
      </c>
      <c r="C1758" s="2" t="s">
        <v>340</v>
      </c>
      <c r="D1758" s="3">
        <f>VLOOKUP(B1758,Sheet2!$A:$O,9,0)</f>
        <v>2353</v>
      </c>
    </row>
    <row r="1759" spans="1:4">
      <c r="A1759" s="8" t="s">
        <v>402</v>
      </c>
      <c r="B1759" s="2">
        <v>1700078</v>
      </c>
      <c r="C1759" s="2" t="s">
        <v>341</v>
      </c>
      <c r="D1759" s="3">
        <f>VLOOKUP(B1759,Sheet2!$A:$O,9,0)</f>
        <v>4284</v>
      </c>
    </row>
    <row r="1760" spans="1:4">
      <c r="A1760" s="8" t="s">
        <v>402</v>
      </c>
      <c r="B1760" s="2">
        <v>1700080</v>
      </c>
      <c r="C1760" s="2" t="s">
        <v>342</v>
      </c>
      <c r="D1760" s="3">
        <f>VLOOKUP(B1760,Sheet2!$A:$O,9,0)</f>
        <v>3529</v>
      </c>
    </row>
    <row r="1761" spans="1:4">
      <c r="A1761" s="8" t="s">
        <v>402</v>
      </c>
      <c r="B1761" s="2">
        <v>1700083</v>
      </c>
      <c r="C1761" s="2" t="s">
        <v>343</v>
      </c>
      <c r="D1761" s="3">
        <f>VLOOKUP(B1761,Sheet2!$A:$O,9,0)</f>
        <v>8333</v>
      </c>
    </row>
    <row r="1762" spans="1:4">
      <c r="A1762" s="8" t="s">
        <v>402</v>
      </c>
      <c r="B1762" s="2">
        <v>1700084</v>
      </c>
      <c r="C1762" s="2" t="s">
        <v>344</v>
      </c>
      <c r="D1762" s="3">
        <f>VLOOKUP(B1762,Sheet2!$A:$O,9,0)</f>
        <v>6282</v>
      </c>
    </row>
    <row r="1763" spans="1:4">
      <c r="A1763" s="8" t="s">
        <v>402</v>
      </c>
      <c r="B1763" s="2">
        <v>1700085</v>
      </c>
      <c r="C1763" s="2" t="s">
        <v>345</v>
      </c>
      <c r="D1763" s="3">
        <f>VLOOKUP(B1763,Sheet2!$A:$O,9,0)</f>
        <v>7860</v>
      </c>
    </row>
    <row r="1764" spans="1:4">
      <c r="A1764" s="8" t="s">
        <v>402</v>
      </c>
      <c r="B1764" s="2">
        <v>1700086</v>
      </c>
      <c r="C1764" s="2" t="s">
        <v>346</v>
      </c>
      <c r="D1764" s="3">
        <f>VLOOKUP(B1764,Sheet2!$A:$O,9,0)</f>
        <v>1814</v>
      </c>
    </row>
    <row r="1765" spans="1:4">
      <c r="A1765" s="8" t="s">
        <v>402</v>
      </c>
      <c r="B1765" s="2">
        <v>1700087</v>
      </c>
      <c r="C1765" s="2" t="s">
        <v>347</v>
      </c>
      <c r="D1765" s="3">
        <f>VLOOKUP(B1765,Sheet2!$A:$O,9,0)</f>
        <v>4660</v>
      </c>
    </row>
    <row r="1766" spans="1:4">
      <c r="A1766" s="8" t="s">
        <v>402</v>
      </c>
      <c r="B1766" s="2">
        <v>1700088</v>
      </c>
      <c r="C1766" s="2" t="s">
        <v>348</v>
      </c>
      <c r="D1766" s="3">
        <f>VLOOKUP(B1766,Sheet2!$A:$O,9,0)</f>
        <v>15500</v>
      </c>
    </row>
    <row r="1767" spans="1:4">
      <c r="A1767" s="8" t="s">
        <v>402</v>
      </c>
      <c r="B1767" s="2">
        <v>1700089</v>
      </c>
      <c r="C1767" s="2" t="s">
        <v>349</v>
      </c>
      <c r="D1767" s="3">
        <f>VLOOKUP(B1767,Sheet2!$A:$O,9,0)</f>
        <v>18500</v>
      </c>
    </row>
    <row r="1768" spans="1:4">
      <c r="A1768" s="8" t="s">
        <v>402</v>
      </c>
      <c r="B1768" s="2">
        <v>1700090</v>
      </c>
      <c r="C1768" s="2" t="s">
        <v>350</v>
      </c>
      <c r="D1768" s="3">
        <f>VLOOKUP(B1768,Sheet2!$A:$O,9,0)</f>
        <v>25490</v>
      </c>
    </row>
    <row r="1769" spans="1:4">
      <c r="A1769" s="8" t="s">
        <v>402</v>
      </c>
      <c r="B1769" s="2">
        <v>1700091</v>
      </c>
      <c r="C1769" s="2" t="s">
        <v>351</v>
      </c>
      <c r="D1769" s="3">
        <f>VLOOKUP(B1769,Sheet2!$A:$O,9,0)</f>
        <v>18000</v>
      </c>
    </row>
    <row r="1770" spans="1:4">
      <c r="A1770" s="8" t="s">
        <v>402</v>
      </c>
      <c r="B1770" s="2">
        <v>1700092</v>
      </c>
      <c r="C1770" s="2" t="s">
        <v>352</v>
      </c>
      <c r="D1770" s="3">
        <f>VLOOKUP(B1770,Sheet2!$A:$O,9,0)</f>
        <v>2284</v>
      </c>
    </row>
    <row r="1771" spans="1:4">
      <c r="A1771" s="8" t="s">
        <v>402</v>
      </c>
      <c r="B1771" s="2">
        <v>1700093</v>
      </c>
      <c r="C1771" s="2" t="s">
        <v>353</v>
      </c>
      <c r="D1771" s="3">
        <f>VLOOKUP(B1771,Sheet2!$A:$O,9,0)</f>
        <v>11180</v>
      </c>
    </row>
    <row r="1772" spans="1:4">
      <c r="A1772" s="8" t="s">
        <v>402</v>
      </c>
      <c r="B1772" s="2">
        <v>1700094</v>
      </c>
      <c r="C1772" s="2" t="s">
        <v>354</v>
      </c>
      <c r="D1772" s="3">
        <f>VLOOKUP(B1772,Sheet2!$A:$O,9,0)</f>
        <v>13529</v>
      </c>
    </row>
    <row r="1773" spans="1:4">
      <c r="A1773" s="8" t="s">
        <v>402</v>
      </c>
      <c r="B1773" s="2">
        <v>1700095</v>
      </c>
      <c r="C1773" s="2" t="s">
        <v>355</v>
      </c>
      <c r="D1773" s="3">
        <f>VLOOKUP(B1773,Sheet2!$A:$O,9,0)</f>
        <v>4500</v>
      </c>
    </row>
    <row r="1774" spans="1:4">
      <c r="A1774" s="8" t="s">
        <v>402</v>
      </c>
      <c r="B1774" s="2">
        <v>1700096</v>
      </c>
      <c r="C1774" s="2" t="s">
        <v>356</v>
      </c>
      <c r="D1774" s="3">
        <f>VLOOKUP(B1774,Sheet2!$A:$O,9,0)</f>
        <v>24510</v>
      </c>
    </row>
    <row r="1775" spans="1:4">
      <c r="A1775" s="8" t="s">
        <v>402</v>
      </c>
      <c r="B1775" s="2">
        <v>1700097</v>
      </c>
      <c r="C1775" s="2" t="s">
        <v>357</v>
      </c>
      <c r="D1775" s="3">
        <f>VLOOKUP(B1775,Sheet2!$A:$O,9,0)</f>
        <v>19608</v>
      </c>
    </row>
    <row r="1776" spans="1:4">
      <c r="A1776" s="8" t="s">
        <v>402</v>
      </c>
      <c r="B1776" s="2">
        <v>1700098</v>
      </c>
      <c r="C1776" s="2" t="s">
        <v>358</v>
      </c>
      <c r="D1776" s="3">
        <f>VLOOKUP(B1776,Sheet2!$A:$O,9,0)</f>
        <v>19608</v>
      </c>
    </row>
    <row r="1777" spans="1:4">
      <c r="A1777" s="8" t="s">
        <v>402</v>
      </c>
      <c r="B1777" s="2">
        <v>1700099</v>
      </c>
      <c r="C1777" s="2" t="s">
        <v>359</v>
      </c>
      <c r="D1777" s="3">
        <f>VLOOKUP(B1777,Sheet2!$A:$O,9,0)</f>
        <v>9000</v>
      </c>
    </row>
    <row r="1778" spans="1:4">
      <c r="A1778" s="8" t="s">
        <v>402</v>
      </c>
      <c r="B1778" s="2">
        <v>1700100</v>
      </c>
      <c r="C1778" s="2" t="s">
        <v>360</v>
      </c>
      <c r="D1778" s="3">
        <f>VLOOKUP(B1778,Sheet2!$A:$O,9,0)</f>
        <v>3029</v>
      </c>
    </row>
    <row r="1779" spans="1:4">
      <c r="A1779" s="8" t="s">
        <v>402</v>
      </c>
      <c r="B1779" s="2">
        <v>1700101</v>
      </c>
      <c r="C1779" s="2" t="s">
        <v>361</v>
      </c>
      <c r="D1779" s="3">
        <f>VLOOKUP(B1779,Sheet2!$A:$O,9,0)</f>
        <v>8647</v>
      </c>
    </row>
    <row r="1780" spans="1:4">
      <c r="A1780" s="8" t="s">
        <v>402</v>
      </c>
      <c r="B1780" s="2">
        <v>1700102</v>
      </c>
      <c r="C1780" s="2" t="s">
        <v>362</v>
      </c>
      <c r="D1780" s="3">
        <f>VLOOKUP(B1780,Sheet2!$A:$O,9,0)</f>
        <v>40196</v>
      </c>
    </row>
    <row r="1781" spans="1:4">
      <c r="A1781" s="8" t="s">
        <v>402</v>
      </c>
      <c r="B1781" s="2">
        <v>1700103</v>
      </c>
      <c r="C1781" s="2" t="s">
        <v>363</v>
      </c>
      <c r="D1781" s="3">
        <f>VLOOKUP(B1781,Sheet2!$A:$O,9,0)</f>
        <v>9000</v>
      </c>
    </row>
    <row r="1782" spans="1:4">
      <c r="A1782" s="8" t="s">
        <v>402</v>
      </c>
      <c r="B1782" s="2">
        <v>1700104</v>
      </c>
      <c r="C1782" s="2" t="s">
        <v>364</v>
      </c>
      <c r="D1782" s="3">
        <f>VLOOKUP(B1782,Sheet2!$A:$O,9,0)</f>
        <v>22620</v>
      </c>
    </row>
    <row r="1783" spans="1:4">
      <c r="A1783" s="8" t="s">
        <v>402</v>
      </c>
      <c r="B1783" s="2">
        <v>1700105</v>
      </c>
      <c r="C1783" s="2" t="s">
        <v>365</v>
      </c>
      <c r="D1783" s="3">
        <f>VLOOKUP(B1783,Sheet2!$A:$O,9,0)</f>
        <v>10588</v>
      </c>
    </row>
    <row r="1784" spans="1:4">
      <c r="A1784" s="8" t="s">
        <v>402</v>
      </c>
      <c r="B1784" s="2">
        <v>1700106</v>
      </c>
      <c r="C1784" s="2" t="s">
        <v>366</v>
      </c>
      <c r="D1784" s="3">
        <f>VLOOKUP(B1784,Sheet2!$A:$O,9,0)</f>
        <v>14020</v>
      </c>
    </row>
    <row r="1785" spans="1:4">
      <c r="A1785" s="8" t="s">
        <v>402</v>
      </c>
      <c r="B1785" s="2">
        <v>1700107</v>
      </c>
      <c r="C1785" s="2" t="s">
        <v>367</v>
      </c>
      <c r="D1785" s="3">
        <f>VLOOKUP(B1785,Sheet2!$A:$O,9,0)</f>
        <v>9020</v>
      </c>
    </row>
    <row r="1786" spans="1:4">
      <c r="A1786" s="8" t="s">
        <v>402</v>
      </c>
      <c r="B1786" s="2">
        <v>1800002</v>
      </c>
      <c r="C1786" s="2" t="s">
        <v>368</v>
      </c>
      <c r="D1786" s="3">
        <f>VLOOKUP(B1786,Sheet2!$A:$O,9,0)</f>
        <v>9520</v>
      </c>
    </row>
    <row r="1787" spans="1:4">
      <c r="A1787" s="8" t="s">
        <v>402</v>
      </c>
      <c r="B1787" s="2">
        <v>1800004</v>
      </c>
      <c r="C1787" s="2" t="s">
        <v>369</v>
      </c>
      <c r="D1787" s="3">
        <f>VLOOKUP(B1787,Sheet2!$A:$O,9,0)</f>
        <v>0</v>
      </c>
    </row>
    <row r="1788" spans="1:4">
      <c r="A1788" s="8" t="s">
        <v>402</v>
      </c>
      <c r="B1788" s="2">
        <v>1800005</v>
      </c>
      <c r="C1788" s="2" t="s">
        <v>370</v>
      </c>
      <c r="D1788" s="3">
        <f>VLOOKUP(B1788,Sheet2!$A:$O,9,0)</f>
        <v>0</v>
      </c>
    </row>
    <row r="1789" spans="1:4">
      <c r="A1789" s="8" t="s">
        <v>402</v>
      </c>
      <c r="B1789" s="2">
        <v>1800006</v>
      </c>
      <c r="C1789" s="2" t="s">
        <v>371</v>
      </c>
      <c r="D1789" s="3">
        <f>VLOOKUP(B1789,Sheet2!$A:$O,9,0)</f>
        <v>0</v>
      </c>
    </row>
    <row r="1790" spans="1:4">
      <c r="A1790" s="8" t="s">
        <v>402</v>
      </c>
      <c r="B1790" s="2">
        <v>1800007</v>
      </c>
      <c r="C1790" s="2" t="s">
        <v>372</v>
      </c>
      <c r="D1790" s="3">
        <f>VLOOKUP(B1790,Sheet2!$A:$O,9,0)</f>
        <v>10000</v>
      </c>
    </row>
    <row r="1791" spans="1:4">
      <c r="A1791" s="8" t="s">
        <v>402</v>
      </c>
      <c r="B1791" s="2">
        <v>1800008</v>
      </c>
      <c r="C1791" s="2" t="s">
        <v>373</v>
      </c>
      <c r="D1791" s="3">
        <f>VLOOKUP(B1791,Sheet2!$A:$O,9,0)</f>
        <v>10110</v>
      </c>
    </row>
    <row r="1792" spans="1:4">
      <c r="A1792" s="8" t="s">
        <v>402</v>
      </c>
      <c r="B1792" s="2">
        <v>1800009</v>
      </c>
      <c r="C1792" s="2" t="s">
        <v>374</v>
      </c>
      <c r="D1792" s="3">
        <f>VLOOKUP(B1792,Sheet2!$A:$O,9,0)</f>
        <v>11800</v>
      </c>
    </row>
    <row r="1793" spans="1:4">
      <c r="A1793" s="8" t="s">
        <v>402</v>
      </c>
      <c r="B1793" s="2">
        <v>1800010</v>
      </c>
      <c r="C1793" s="2" t="s">
        <v>375</v>
      </c>
      <c r="D1793" s="3">
        <f>VLOOKUP(B1793,Sheet2!$A:$O,9,0)</f>
        <v>5784</v>
      </c>
    </row>
    <row r="1794" spans="1:4">
      <c r="A1794" s="8" t="s">
        <v>402</v>
      </c>
      <c r="B1794" s="2">
        <v>1800011</v>
      </c>
      <c r="C1794" s="2" t="s">
        <v>376</v>
      </c>
      <c r="D1794" s="3">
        <f>VLOOKUP(B1794,Sheet2!$A:$O,9,0)</f>
        <v>9363</v>
      </c>
    </row>
    <row r="1795" spans="1:4">
      <c r="A1795" s="8" t="s">
        <v>402</v>
      </c>
      <c r="B1795" s="2">
        <v>1800012</v>
      </c>
      <c r="C1795" s="2" t="s">
        <v>377</v>
      </c>
      <c r="D1795" s="3">
        <f>VLOOKUP(B1795,Sheet2!$A:$O,9,0)</f>
        <v>5725</v>
      </c>
    </row>
    <row r="1796" spans="1:4">
      <c r="A1796" s="8" t="s">
        <v>402</v>
      </c>
      <c r="B1796" s="2">
        <v>1800013</v>
      </c>
      <c r="C1796" s="2" t="s">
        <v>378</v>
      </c>
      <c r="D1796" s="3">
        <f>VLOOKUP(B1796,Sheet2!$A:$O,9,0)</f>
        <v>49100</v>
      </c>
    </row>
    <row r="1797" spans="1:4">
      <c r="A1797" s="8" t="s">
        <v>402</v>
      </c>
      <c r="B1797" s="2">
        <v>1800014</v>
      </c>
      <c r="C1797" s="2" t="s">
        <v>379</v>
      </c>
      <c r="D1797" s="3">
        <f>VLOOKUP(B1797,Sheet2!$A:$O,9,0)</f>
        <v>70000</v>
      </c>
    </row>
    <row r="1798" spans="1:4">
      <c r="A1798" s="8" t="s">
        <v>402</v>
      </c>
      <c r="B1798" s="2">
        <v>1800015</v>
      </c>
      <c r="C1798" s="2" t="s">
        <v>380</v>
      </c>
      <c r="D1798" s="3">
        <f>VLOOKUP(B1798,Sheet2!$A:$O,9,0)</f>
        <v>66700</v>
      </c>
    </row>
    <row r="1799" spans="1:4">
      <c r="A1799" s="8" t="s">
        <v>402</v>
      </c>
      <c r="B1799" s="2">
        <v>1900013</v>
      </c>
      <c r="C1799" s="2" t="s">
        <v>381</v>
      </c>
      <c r="D1799" s="3">
        <f>VLOOKUP(B1799,Sheet2!$A:$O,9,0)</f>
        <v>0</v>
      </c>
    </row>
    <row r="1800" spans="1:4">
      <c r="A1800" s="8" t="s">
        <v>402</v>
      </c>
      <c r="B1800" s="2">
        <v>1900018</v>
      </c>
      <c r="C1800" s="2" t="s">
        <v>382</v>
      </c>
      <c r="D1800" s="3">
        <f>VLOOKUP(B1800,Sheet2!$A:$O,9,0)</f>
        <v>0</v>
      </c>
    </row>
    <row r="1801" spans="1:4">
      <c r="A1801" s="8" t="s">
        <v>403</v>
      </c>
      <c r="B1801" s="5">
        <v>1010101</v>
      </c>
      <c r="C1801" s="5" t="s">
        <v>5</v>
      </c>
      <c r="D1801" s="3">
        <f>VLOOKUP(B1801,Sheet2!$A:$O,10,0)</f>
        <v>698</v>
      </c>
    </row>
    <row r="1802" spans="1:4">
      <c r="A1802" s="8" t="s">
        <v>403</v>
      </c>
      <c r="B1802" s="5">
        <v>1010111</v>
      </c>
      <c r="C1802" s="5" t="s">
        <v>9</v>
      </c>
      <c r="D1802" s="3">
        <f>VLOOKUP(B1802,Sheet2!$A:$O,10,0)</f>
        <v>19100</v>
      </c>
    </row>
    <row r="1803" spans="1:4">
      <c r="A1803" s="8" t="s">
        <v>403</v>
      </c>
      <c r="B1803" s="5">
        <v>1010201</v>
      </c>
      <c r="C1803" s="5" t="s">
        <v>11</v>
      </c>
      <c r="D1803" s="3">
        <f>VLOOKUP(B1803,Sheet2!$A:$O,10,0)</f>
        <v>838</v>
      </c>
    </row>
    <row r="1804" spans="1:4">
      <c r="A1804" s="8" t="s">
        <v>403</v>
      </c>
      <c r="B1804" s="5">
        <v>1010300</v>
      </c>
      <c r="C1804" s="5" t="s">
        <v>213</v>
      </c>
      <c r="D1804" s="3">
        <f>VLOOKUP(B1804,Sheet2!$A:$O,10,0)</f>
        <v>5490</v>
      </c>
    </row>
    <row r="1805" spans="1:4">
      <c r="A1805" s="8" t="s">
        <v>403</v>
      </c>
      <c r="B1805" s="5">
        <v>1010301</v>
      </c>
      <c r="C1805" s="5" t="s">
        <v>214</v>
      </c>
      <c r="D1805" s="3">
        <f>VLOOKUP(B1805,Sheet2!$A:$O,10,0)</f>
        <v>5882</v>
      </c>
    </row>
    <row r="1806" spans="1:4">
      <c r="A1806" s="8" t="s">
        <v>403</v>
      </c>
      <c r="B1806" s="5">
        <v>1010302</v>
      </c>
      <c r="C1806" s="5" t="s">
        <v>16</v>
      </c>
      <c r="D1806" s="3">
        <f>VLOOKUP(B1806,Sheet2!$A:$O,10,0)</f>
        <v>4216</v>
      </c>
    </row>
    <row r="1807" spans="1:4">
      <c r="A1807" s="8" t="s">
        <v>403</v>
      </c>
      <c r="B1807" s="5">
        <v>1010303</v>
      </c>
      <c r="C1807" s="5" t="s">
        <v>18</v>
      </c>
      <c r="D1807" s="3">
        <f>VLOOKUP(B1807,Sheet2!$A:$O,10,0)</f>
        <v>882</v>
      </c>
    </row>
    <row r="1808" spans="1:4">
      <c r="A1808" s="8" t="s">
        <v>403</v>
      </c>
      <c r="B1808" s="5">
        <v>1010304</v>
      </c>
      <c r="C1808" s="5" t="s">
        <v>215</v>
      </c>
      <c r="D1808" s="3">
        <f>VLOOKUP(B1808,Sheet2!$A:$O,10,0)</f>
        <v>1225</v>
      </c>
    </row>
    <row r="1809" spans="1:4">
      <c r="A1809" s="8" t="s">
        <v>403</v>
      </c>
      <c r="B1809" s="5">
        <v>1010401</v>
      </c>
      <c r="C1809" s="5" t="s">
        <v>20</v>
      </c>
      <c r="D1809" s="3">
        <f>VLOOKUP(B1809,Sheet2!$A:$O,10,0)</f>
        <v>3627</v>
      </c>
    </row>
    <row r="1810" spans="1:4">
      <c r="A1810" s="8" t="s">
        <v>403</v>
      </c>
      <c r="B1810" s="5">
        <v>1010405</v>
      </c>
      <c r="C1810" s="5" t="s">
        <v>22</v>
      </c>
      <c r="D1810" s="3">
        <f>VLOOKUP(B1810,Sheet2!$A:$O,10,0)</f>
        <v>9975</v>
      </c>
    </row>
    <row r="1811" spans="1:4">
      <c r="A1811" s="8" t="s">
        <v>403</v>
      </c>
      <c r="B1811" s="5">
        <v>1010501</v>
      </c>
      <c r="C1811" s="5" t="s">
        <v>24</v>
      </c>
      <c r="D1811" s="3">
        <f>VLOOKUP(B1811,Sheet2!$A:$O,10,0)</f>
        <v>980</v>
      </c>
    </row>
    <row r="1812" spans="1:4">
      <c r="A1812" s="8" t="s">
        <v>403</v>
      </c>
      <c r="B1812" s="5">
        <v>1010502</v>
      </c>
      <c r="C1812" s="5" t="s">
        <v>216</v>
      </c>
      <c r="D1812" s="3">
        <f>VLOOKUP(B1812,Sheet2!$A:$O,10,0)</f>
        <v>0</v>
      </c>
    </row>
    <row r="1813" spans="1:4">
      <c r="A1813" s="8" t="s">
        <v>403</v>
      </c>
      <c r="B1813" s="5">
        <v>1010601</v>
      </c>
      <c r="C1813" s="5" t="s">
        <v>26</v>
      </c>
      <c r="D1813" s="3">
        <f>VLOOKUP(B1813,Sheet2!$A:$O,10,0)</f>
        <v>4412</v>
      </c>
    </row>
    <row r="1814" spans="1:4">
      <c r="A1814" s="8" t="s">
        <v>403</v>
      </c>
      <c r="B1814" s="5">
        <v>1010701</v>
      </c>
      <c r="C1814" s="5" t="s">
        <v>28</v>
      </c>
      <c r="D1814" s="3">
        <f>VLOOKUP(B1814,Sheet2!$A:$O,10,0)</f>
        <v>686</v>
      </c>
    </row>
    <row r="1815" spans="1:4">
      <c r="A1815" s="8" t="s">
        <v>403</v>
      </c>
      <c r="B1815" s="5">
        <v>1010801</v>
      </c>
      <c r="C1815" s="5" t="s">
        <v>30</v>
      </c>
      <c r="D1815" s="3">
        <f>VLOOKUP(B1815,Sheet2!$A:$O,10,0)</f>
        <v>7157</v>
      </c>
    </row>
    <row r="1816" spans="1:4">
      <c r="A1816" s="8" t="s">
        <v>403</v>
      </c>
      <c r="B1816" s="5">
        <v>1010901</v>
      </c>
      <c r="C1816" s="5" t="s">
        <v>32</v>
      </c>
      <c r="D1816" s="3">
        <f>VLOOKUP(B1816,Sheet2!$A:$O,10,0)</f>
        <v>4902</v>
      </c>
    </row>
    <row r="1817" spans="1:4">
      <c r="A1817" s="8" t="s">
        <v>403</v>
      </c>
      <c r="B1817" s="5">
        <v>1020101</v>
      </c>
      <c r="C1817" s="5" t="s">
        <v>34</v>
      </c>
      <c r="D1817" s="3">
        <f>VLOOKUP(B1817,Sheet2!$A:$O,10,0)</f>
        <v>17451</v>
      </c>
    </row>
    <row r="1818" spans="1:4">
      <c r="A1818" s="8" t="s">
        <v>403</v>
      </c>
      <c r="B1818" s="5">
        <v>1020201</v>
      </c>
      <c r="C1818" s="5" t="s">
        <v>217</v>
      </c>
      <c r="D1818" s="3">
        <f>VLOOKUP(B1818,Sheet2!$A:$O,10,0)</f>
        <v>5600</v>
      </c>
    </row>
    <row r="1819" spans="1:4">
      <c r="A1819" s="8" t="s">
        <v>403</v>
      </c>
      <c r="B1819" s="5">
        <v>1020301</v>
      </c>
      <c r="C1819" s="5" t="s">
        <v>38</v>
      </c>
      <c r="D1819" s="3">
        <f>VLOOKUP(B1819,Sheet2!$A:$O,10,0)</f>
        <v>2100</v>
      </c>
    </row>
    <row r="1820" spans="1:4">
      <c r="A1820" s="8" t="s">
        <v>403</v>
      </c>
      <c r="B1820" s="5">
        <v>1020401</v>
      </c>
      <c r="C1820" s="5" t="s">
        <v>40</v>
      </c>
      <c r="D1820" s="3">
        <f>VLOOKUP(B1820,Sheet2!$A:$O,10,0)</f>
        <v>3500</v>
      </c>
    </row>
    <row r="1821" spans="1:4">
      <c r="A1821" s="8" t="s">
        <v>403</v>
      </c>
      <c r="B1821" s="5">
        <v>1030102</v>
      </c>
      <c r="C1821" s="5" t="s">
        <v>218</v>
      </c>
      <c r="D1821" s="3">
        <f>VLOOKUP(B1821,Sheet2!$A:$O,10,0)</f>
        <v>0</v>
      </c>
    </row>
    <row r="1822" spans="1:4">
      <c r="A1822" s="8" t="s">
        <v>403</v>
      </c>
      <c r="B1822" s="5">
        <v>1030201</v>
      </c>
      <c r="C1822" s="5" t="s">
        <v>42</v>
      </c>
      <c r="D1822" s="3">
        <f>VLOOKUP(B1822,Sheet2!$A:$O,10,0)</f>
        <v>2451</v>
      </c>
    </row>
    <row r="1823" spans="1:4">
      <c r="A1823" s="8" t="s">
        <v>403</v>
      </c>
      <c r="B1823" s="5">
        <v>1030203</v>
      </c>
      <c r="C1823" s="5" t="s">
        <v>219</v>
      </c>
      <c r="D1823" s="3">
        <f>VLOOKUP(B1823,Sheet2!$A:$O,10,0)</f>
        <v>0</v>
      </c>
    </row>
    <row r="1824" spans="1:4">
      <c r="A1824" s="8" t="s">
        <v>403</v>
      </c>
      <c r="B1824" s="5">
        <v>1030204</v>
      </c>
      <c r="C1824" s="5" t="s">
        <v>220</v>
      </c>
      <c r="D1824" s="3">
        <f>VLOOKUP(B1824,Sheet2!$A:$O,10,0)</f>
        <v>0</v>
      </c>
    </row>
    <row r="1825" spans="1:4">
      <c r="A1825" s="8" t="s">
        <v>403</v>
      </c>
      <c r="B1825" s="5">
        <v>1030205</v>
      </c>
      <c r="C1825" s="5" t="s">
        <v>44</v>
      </c>
      <c r="D1825" s="3">
        <f>VLOOKUP(B1825,Sheet2!$A:$O,10,0)</f>
        <v>5000</v>
      </c>
    </row>
    <row r="1826" spans="1:4">
      <c r="A1826" s="8" t="s">
        <v>403</v>
      </c>
      <c r="B1826" s="5">
        <v>1030206</v>
      </c>
      <c r="C1826" s="5" t="s">
        <v>46</v>
      </c>
      <c r="D1826" s="3">
        <f>VLOOKUP(B1826,Sheet2!$A:$O,10,0)</f>
        <v>6200</v>
      </c>
    </row>
    <row r="1827" spans="1:4">
      <c r="A1827" s="8" t="s">
        <v>403</v>
      </c>
      <c r="B1827" s="5">
        <v>1030207</v>
      </c>
      <c r="C1827" s="5" t="s">
        <v>48</v>
      </c>
      <c r="D1827" s="3">
        <f>VLOOKUP(B1827,Sheet2!$A:$O,10,0)</f>
        <v>4400</v>
      </c>
    </row>
    <row r="1828" spans="1:4">
      <c r="A1828" s="8" t="s">
        <v>403</v>
      </c>
      <c r="B1828" s="5">
        <v>1030501</v>
      </c>
      <c r="C1828" s="5" t="s">
        <v>50</v>
      </c>
      <c r="D1828" s="3">
        <f>VLOOKUP(B1828,Sheet2!$A:$O,10,0)</f>
        <v>1127</v>
      </c>
    </row>
    <row r="1829" spans="1:4">
      <c r="A1829" s="8" t="s">
        <v>403</v>
      </c>
      <c r="B1829" s="5">
        <v>1030601</v>
      </c>
      <c r="C1829" s="5" t="s">
        <v>52</v>
      </c>
      <c r="D1829" s="3">
        <f>VLOOKUP(B1829,Sheet2!$A:$O,10,0)</f>
        <v>3000</v>
      </c>
    </row>
    <row r="1830" spans="1:4">
      <c r="A1830" s="8" t="s">
        <v>403</v>
      </c>
      <c r="B1830" s="5">
        <v>1030701</v>
      </c>
      <c r="C1830" s="5" t="s">
        <v>221</v>
      </c>
      <c r="D1830" s="3">
        <f>VLOOKUP(B1830,Sheet2!$A:$O,10,0)</f>
        <v>3000</v>
      </c>
    </row>
    <row r="1831" spans="1:4">
      <c r="A1831" s="8" t="s">
        <v>403</v>
      </c>
      <c r="B1831" s="5">
        <v>1030705</v>
      </c>
      <c r="C1831" s="5" t="s">
        <v>222</v>
      </c>
      <c r="D1831" s="3">
        <f>VLOOKUP(B1831,Sheet2!$A:$O,10,0)</f>
        <v>0</v>
      </c>
    </row>
    <row r="1832" spans="1:4">
      <c r="A1832" s="8" t="s">
        <v>403</v>
      </c>
      <c r="B1832" s="5">
        <v>1030801</v>
      </c>
      <c r="C1832" s="5" t="s">
        <v>54</v>
      </c>
      <c r="D1832" s="3">
        <f>VLOOKUP(B1832,Sheet2!$A:$O,10,0)</f>
        <v>1373</v>
      </c>
    </row>
    <row r="1833" spans="1:4">
      <c r="A1833" s="8" t="s">
        <v>403</v>
      </c>
      <c r="B1833" s="5">
        <v>1030901</v>
      </c>
      <c r="C1833" s="5" t="s">
        <v>223</v>
      </c>
      <c r="D1833" s="3">
        <f>VLOOKUP(B1833,Sheet2!$A:$O,10,0)</f>
        <v>0</v>
      </c>
    </row>
    <row r="1834" spans="1:4">
      <c r="A1834" s="8" t="s">
        <v>403</v>
      </c>
      <c r="B1834" s="5">
        <v>1040201</v>
      </c>
      <c r="C1834" s="5" t="s">
        <v>56</v>
      </c>
      <c r="D1834" s="3">
        <f>VLOOKUP(B1834,Sheet2!$A:$O,10,0)</f>
        <v>1477</v>
      </c>
    </row>
    <row r="1835" spans="1:4">
      <c r="A1835" s="8" t="s">
        <v>403</v>
      </c>
      <c r="B1835" s="5">
        <v>1040202</v>
      </c>
      <c r="C1835" s="5" t="s">
        <v>224</v>
      </c>
      <c r="D1835" s="3">
        <f>VLOOKUP(B1835,Sheet2!$A:$O,10,0)</f>
        <v>0</v>
      </c>
    </row>
    <row r="1836" spans="1:4">
      <c r="A1836" s="8" t="s">
        <v>403</v>
      </c>
      <c r="B1836" s="5">
        <v>1040203</v>
      </c>
      <c r="C1836" s="5" t="s">
        <v>225</v>
      </c>
      <c r="D1836" s="3">
        <f>VLOOKUP(B1836,Sheet2!$A:$O,10,0)</f>
        <v>0</v>
      </c>
    </row>
    <row r="1837" spans="1:4">
      <c r="A1837" s="8" t="s">
        <v>403</v>
      </c>
      <c r="B1837" s="5">
        <v>1040204</v>
      </c>
      <c r="C1837" s="5" t="s">
        <v>226</v>
      </c>
      <c r="D1837" s="3">
        <f>VLOOKUP(B1837,Sheet2!$A:$O,10,0)</f>
        <v>7917</v>
      </c>
    </row>
    <row r="1838" spans="1:4">
      <c r="A1838" s="8" t="s">
        <v>403</v>
      </c>
      <c r="B1838" s="5">
        <v>1040301</v>
      </c>
      <c r="C1838" s="5" t="s">
        <v>58</v>
      </c>
      <c r="D1838" s="3">
        <f>VLOOKUP(B1838,Sheet2!$A:$O,10,0)</f>
        <v>1650</v>
      </c>
    </row>
    <row r="1839" spans="1:4">
      <c r="A1839" s="8" t="s">
        <v>403</v>
      </c>
      <c r="B1839" s="5">
        <v>1040401</v>
      </c>
      <c r="C1839" s="5" t="s">
        <v>227</v>
      </c>
      <c r="D1839" s="3">
        <f>VLOOKUP(B1839,Sheet2!$A:$O,10,0)</f>
        <v>0</v>
      </c>
    </row>
    <row r="1840" spans="1:4">
      <c r="A1840" s="8" t="s">
        <v>403</v>
      </c>
      <c r="B1840" s="5">
        <v>1050102</v>
      </c>
      <c r="C1840" s="5" t="s">
        <v>60</v>
      </c>
      <c r="D1840" s="3">
        <f>VLOOKUP(B1840,Sheet2!$A:$O,10,0)</f>
        <v>29500</v>
      </c>
    </row>
    <row r="1841" spans="1:4">
      <c r="A1841" s="8" t="s">
        <v>403</v>
      </c>
      <c r="B1841" s="5">
        <v>1050103</v>
      </c>
      <c r="C1841" s="5" t="s">
        <v>228</v>
      </c>
      <c r="D1841" s="3">
        <f>VLOOKUP(B1841,Sheet2!$A:$O,10,0)</f>
        <v>11275</v>
      </c>
    </row>
    <row r="1842" spans="1:4">
      <c r="A1842" s="8" t="s">
        <v>403</v>
      </c>
      <c r="B1842" s="5">
        <v>1050301</v>
      </c>
      <c r="C1842" s="5" t="s">
        <v>62</v>
      </c>
      <c r="D1842" s="3">
        <f>VLOOKUP(B1842,Sheet2!$A:$O,10,0)</f>
        <v>9804</v>
      </c>
    </row>
    <row r="1843" spans="1:4">
      <c r="A1843" s="8" t="s">
        <v>403</v>
      </c>
      <c r="B1843" s="5">
        <v>1050401</v>
      </c>
      <c r="C1843" s="5" t="s">
        <v>64</v>
      </c>
      <c r="D1843" s="3">
        <f>VLOOKUP(B1843,Sheet2!$A:$O,10,0)</f>
        <v>8824</v>
      </c>
    </row>
    <row r="1844" spans="1:4">
      <c r="A1844" s="8" t="s">
        <v>403</v>
      </c>
      <c r="B1844" s="5">
        <v>1050501</v>
      </c>
      <c r="C1844" s="5" t="s">
        <v>66</v>
      </c>
      <c r="D1844" s="3">
        <f>VLOOKUP(B1844,Sheet2!$A:$O,10,0)</f>
        <v>10784</v>
      </c>
    </row>
    <row r="1845" spans="1:4">
      <c r="A1845" s="8" t="s">
        <v>403</v>
      </c>
      <c r="B1845" s="5">
        <v>1050511</v>
      </c>
      <c r="C1845" s="5" t="s">
        <v>68</v>
      </c>
      <c r="D1845" s="3">
        <f>VLOOKUP(B1845,Sheet2!$A:$O,10,0)</f>
        <v>18000</v>
      </c>
    </row>
    <row r="1846" spans="1:4">
      <c r="A1846" s="8" t="s">
        <v>403</v>
      </c>
      <c r="B1846" s="5">
        <v>1050512</v>
      </c>
      <c r="C1846" s="5" t="s">
        <v>229</v>
      </c>
      <c r="D1846" s="3">
        <f>VLOOKUP(B1846,Sheet2!$A:$O,10,0)</f>
        <v>0</v>
      </c>
    </row>
    <row r="1847" spans="1:4">
      <c r="A1847" s="8" t="s">
        <v>403</v>
      </c>
      <c r="B1847" s="5">
        <v>1050521</v>
      </c>
      <c r="C1847" s="5" t="s">
        <v>70</v>
      </c>
      <c r="D1847" s="3">
        <f>VLOOKUP(B1847,Sheet2!$A:$O,10,0)</f>
        <v>14706</v>
      </c>
    </row>
    <row r="1848" spans="1:4">
      <c r="A1848" s="8" t="s">
        <v>403</v>
      </c>
      <c r="B1848" s="5">
        <v>1050531</v>
      </c>
      <c r="C1848" s="5" t="s">
        <v>72</v>
      </c>
      <c r="D1848" s="3">
        <f>VLOOKUP(B1848,Sheet2!$A:$O,10,0)</f>
        <v>21000</v>
      </c>
    </row>
    <row r="1849" spans="1:4">
      <c r="A1849" s="8" t="s">
        <v>403</v>
      </c>
      <c r="B1849" s="5">
        <v>1050541</v>
      </c>
      <c r="C1849" s="5" t="s">
        <v>74</v>
      </c>
      <c r="D1849" s="3">
        <f>VLOOKUP(B1849,Sheet2!$A:$O,10,0)</f>
        <v>11000</v>
      </c>
    </row>
    <row r="1850" spans="1:4">
      <c r="A1850" s="8" t="s">
        <v>403</v>
      </c>
      <c r="B1850" s="5">
        <v>1050551</v>
      </c>
      <c r="C1850" s="5" t="s">
        <v>76</v>
      </c>
      <c r="D1850" s="3">
        <f>VLOOKUP(B1850,Sheet2!$A:$O,10,0)</f>
        <v>54000</v>
      </c>
    </row>
    <row r="1851" spans="1:4">
      <c r="A1851" s="8" t="s">
        <v>403</v>
      </c>
      <c r="B1851" s="5">
        <v>1050561</v>
      </c>
      <c r="C1851" s="5" t="s">
        <v>78</v>
      </c>
      <c r="D1851" s="3">
        <f>VLOOKUP(B1851,Sheet2!$A:$O,10,0)</f>
        <v>98000</v>
      </c>
    </row>
    <row r="1852" spans="1:4">
      <c r="A1852" s="8" t="s">
        <v>403</v>
      </c>
      <c r="B1852" s="5">
        <v>1050571</v>
      </c>
      <c r="C1852" s="5" t="s">
        <v>80</v>
      </c>
      <c r="D1852" s="3">
        <f>VLOOKUP(B1852,Sheet2!$A:$O,10,0)</f>
        <v>58000</v>
      </c>
    </row>
    <row r="1853" spans="1:4">
      <c r="A1853" s="8" t="s">
        <v>403</v>
      </c>
      <c r="B1853" s="5">
        <v>1050581</v>
      </c>
      <c r="C1853" s="5" t="s">
        <v>82</v>
      </c>
      <c r="D1853" s="3">
        <f>VLOOKUP(B1853,Sheet2!$A:$O,10,0)</f>
        <v>57000</v>
      </c>
    </row>
    <row r="1854" spans="1:4">
      <c r="A1854" s="8" t="s">
        <v>403</v>
      </c>
      <c r="B1854" s="5">
        <v>1050591</v>
      </c>
      <c r="C1854" s="5" t="s">
        <v>84</v>
      </c>
      <c r="D1854" s="3">
        <f>VLOOKUP(B1854,Sheet2!$A:$O,10,0)</f>
        <v>97750</v>
      </c>
    </row>
    <row r="1855" spans="1:4">
      <c r="A1855" s="8" t="s">
        <v>403</v>
      </c>
      <c r="B1855" s="5">
        <v>1050601</v>
      </c>
      <c r="C1855" s="5" t="s">
        <v>86</v>
      </c>
      <c r="D1855" s="3">
        <f>VLOOKUP(B1855,Sheet2!$A:$O,10,0)</f>
        <v>5900</v>
      </c>
    </row>
    <row r="1856" spans="1:4">
      <c r="A1856" s="8" t="s">
        <v>403</v>
      </c>
      <c r="B1856" s="5">
        <v>1050701</v>
      </c>
      <c r="C1856" s="5" t="s">
        <v>88</v>
      </c>
      <c r="D1856" s="3">
        <f>VLOOKUP(B1856,Sheet2!$A:$O,10,0)</f>
        <v>5700</v>
      </c>
    </row>
    <row r="1857" spans="1:4">
      <c r="A1857" s="8" t="s">
        <v>403</v>
      </c>
      <c r="B1857" s="5">
        <v>1050702</v>
      </c>
      <c r="C1857" s="5" t="s">
        <v>90</v>
      </c>
      <c r="D1857" s="3">
        <f>VLOOKUP(B1857,Sheet2!$A:$O,10,0)</f>
        <v>5700</v>
      </c>
    </row>
    <row r="1858" spans="1:4">
      <c r="A1858" s="8" t="s">
        <v>403</v>
      </c>
      <c r="B1858" s="5">
        <v>1050711</v>
      </c>
      <c r="C1858" s="5" t="s">
        <v>92</v>
      </c>
      <c r="D1858" s="3">
        <f>VLOOKUP(B1858,Sheet2!$A:$O,10,0)</f>
        <v>2900</v>
      </c>
    </row>
    <row r="1859" spans="1:4">
      <c r="A1859" s="8" t="s">
        <v>403</v>
      </c>
      <c r="B1859" s="5">
        <v>1050721</v>
      </c>
      <c r="C1859" s="5" t="s">
        <v>94</v>
      </c>
      <c r="D1859" s="3">
        <f>VLOOKUP(B1859,Sheet2!$A:$O,10,0)</f>
        <v>14800</v>
      </c>
    </row>
    <row r="1860" spans="1:4">
      <c r="A1860" s="8" t="s">
        <v>403</v>
      </c>
      <c r="B1860" s="5">
        <v>1050801</v>
      </c>
      <c r="C1860" s="5" t="s">
        <v>7</v>
      </c>
      <c r="D1860" s="3">
        <f>VLOOKUP(B1860,Sheet2!$A:$O,10,0)</f>
        <v>1016</v>
      </c>
    </row>
    <row r="1861" spans="1:4">
      <c r="A1861" s="8" t="s">
        <v>403</v>
      </c>
      <c r="B1861" s="5">
        <v>1050901</v>
      </c>
      <c r="C1861" s="5" t="s">
        <v>96</v>
      </c>
      <c r="D1861" s="3">
        <f>VLOOKUP(B1861,Sheet2!$A:$O,10,0)</f>
        <v>1322</v>
      </c>
    </row>
    <row r="1862" spans="1:4">
      <c r="A1862" s="8" t="s">
        <v>403</v>
      </c>
      <c r="B1862" s="5">
        <v>1060101</v>
      </c>
      <c r="C1862" s="5" t="s">
        <v>98</v>
      </c>
      <c r="D1862" s="3">
        <f>VLOOKUP(B1862,Sheet2!$A:$O,10,0)</f>
        <v>2168</v>
      </c>
    </row>
    <row r="1863" spans="1:4">
      <c r="A1863" s="8" t="s">
        <v>403</v>
      </c>
      <c r="B1863" s="5">
        <v>1060401</v>
      </c>
      <c r="C1863" s="5" t="s">
        <v>100</v>
      </c>
      <c r="D1863" s="3">
        <f>VLOOKUP(B1863,Sheet2!$A:$O,10,0)</f>
        <v>71000</v>
      </c>
    </row>
    <row r="1864" spans="1:4">
      <c r="A1864" s="8" t="s">
        <v>403</v>
      </c>
      <c r="B1864" s="5">
        <v>1060412</v>
      </c>
      <c r="C1864" s="5" t="s">
        <v>230</v>
      </c>
      <c r="D1864" s="3">
        <f>VLOOKUP(B1864,Sheet2!$A:$O,10,0)</f>
        <v>33000</v>
      </c>
    </row>
    <row r="1865" spans="1:4">
      <c r="A1865" s="8" t="s">
        <v>403</v>
      </c>
      <c r="B1865" s="5">
        <v>1060421</v>
      </c>
      <c r="C1865" s="5" t="s">
        <v>104</v>
      </c>
      <c r="D1865" s="3">
        <f>VLOOKUP(B1865,Sheet2!$A:$O,10,0)</f>
        <v>76000</v>
      </c>
    </row>
    <row r="1866" spans="1:4">
      <c r="A1866" s="8" t="s">
        <v>403</v>
      </c>
      <c r="B1866" s="5">
        <v>1060441</v>
      </c>
      <c r="C1866" s="5" t="s">
        <v>106</v>
      </c>
      <c r="D1866" s="3">
        <f>VLOOKUP(B1866,Sheet2!$A:$O,10,0)</f>
        <v>6700</v>
      </c>
    </row>
    <row r="1867" spans="1:4">
      <c r="A1867" s="8" t="s">
        <v>403</v>
      </c>
      <c r="B1867" s="5">
        <v>1060451</v>
      </c>
      <c r="C1867" s="5" t="s">
        <v>108</v>
      </c>
      <c r="D1867" s="3">
        <f>VLOOKUP(B1867,Sheet2!$A:$O,10,0)</f>
        <v>38235</v>
      </c>
    </row>
    <row r="1868" spans="1:4">
      <c r="A1868" s="8" t="s">
        <v>403</v>
      </c>
      <c r="B1868" s="5">
        <v>1070101</v>
      </c>
      <c r="C1868" s="5" t="s">
        <v>110</v>
      </c>
      <c r="D1868" s="3">
        <f>VLOOKUP(B1868,Sheet2!$A:$O,10,0)</f>
        <v>3240</v>
      </c>
    </row>
    <row r="1869" spans="1:4">
      <c r="A1869" s="8" t="s">
        <v>403</v>
      </c>
      <c r="B1869" s="5">
        <v>1070301</v>
      </c>
      <c r="C1869" s="5" t="s">
        <v>112</v>
      </c>
      <c r="D1869" s="3">
        <f>VLOOKUP(B1869,Sheet2!$A:$O,10,0)</f>
        <v>37000</v>
      </c>
    </row>
    <row r="1870" spans="1:4">
      <c r="A1870" s="8" t="s">
        <v>403</v>
      </c>
      <c r="B1870" s="5">
        <v>1070401</v>
      </c>
      <c r="C1870" s="5" t="s">
        <v>114</v>
      </c>
      <c r="D1870" s="3">
        <f>VLOOKUP(B1870,Sheet2!$A:$O,10,0)</f>
        <v>12000</v>
      </c>
    </row>
    <row r="1871" spans="1:4">
      <c r="A1871" s="8" t="s">
        <v>403</v>
      </c>
      <c r="B1871" s="5">
        <v>1070501</v>
      </c>
      <c r="C1871" s="5" t="s">
        <v>231</v>
      </c>
      <c r="D1871" s="3">
        <f>VLOOKUP(B1871,Sheet2!$A:$O,10,0)</f>
        <v>5500</v>
      </c>
    </row>
    <row r="1872" spans="1:4">
      <c r="A1872" s="8" t="s">
        <v>403</v>
      </c>
      <c r="B1872" s="5">
        <v>1070701</v>
      </c>
      <c r="C1872" s="5" t="s">
        <v>118</v>
      </c>
      <c r="D1872" s="3">
        <f>VLOOKUP(B1872,Sheet2!$A:$O,10,0)</f>
        <v>36000</v>
      </c>
    </row>
    <row r="1873" spans="1:4">
      <c r="A1873" s="8" t="s">
        <v>403</v>
      </c>
      <c r="B1873" s="5">
        <v>1070801</v>
      </c>
      <c r="C1873" s="5" t="s">
        <v>232</v>
      </c>
      <c r="D1873" s="3">
        <f>VLOOKUP(B1873,Sheet2!$A:$O,10,0)</f>
        <v>35000</v>
      </c>
    </row>
    <row r="1874" spans="1:4">
      <c r="A1874" s="8" t="s">
        <v>403</v>
      </c>
      <c r="B1874" s="5">
        <v>1080101</v>
      </c>
      <c r="C1874" s="5" t="s">
        <v>120</v>
      </c>
      <c r="D1874" s="3">
        <f>VLOOKUP(B1874,Sheet2!$A:$O,10,0)</f>
        <v>11000</v>
      </c>
    </row>
    <row r="1875" spans="1:4">
      <c r="A1875" s="8" t="s">
        <v>403</v>
      </c>
      <c r="B1875" s="5">
        <v>1080201</v>
      </c>
      <c r="C1875" s="5" t="s">
        <v>122</v>
      </c>
      <c r="D1875" s="3">
        <f>VLOOKUP(B1875,Sheet2!$A:$O,10,0)</f>
        <v>540</v>
      </c>
    </row>
    <row r="1876" spans="1:4">
      <c r="A1876" s="8" t="s">
        <v>403</v>
      </c>
      <c r="B1876" s="5">
        <v>1080301</v>
      </c>
      <c r="C1876" s="5" t="s">
        <v>124</v>
      </c>
      <c r="D1876" s="3">
        <f>VLOOKUP(B1876,Sheet2!$A:$O,10,0)</f>
        <v>1550</v>
      </c>
    </row>
    <row r="1877" spans="1:4">
      <c r="A1877" s="8" t="s">
        <v>403</v>
      </c>
      <c r="B1877" s="5">
        <v>1080401</v>
      </c>
      <c r="C1877" s="5" t="s">
        <v>233</v>
      </c>
      <c r="D1877" s="3">
        <f>VLOOKUP(B1877,Sheet2!$A:$O,10,0)</f>
        <v>3300</v>
      </c>
    </row>
    <row r="1878" spans="1:4">
      <c r="A1878" s="8" t="s">
        <v>403</v>
      </c>
      <c r="B1878" s="5">
        <v>1080411</v>
      </c>
      <c r="C1878" s="5" t="s">
        <v>128</v>
      </c>
      <c r="D1878" s="3">
        <f>VLOOKUP(B1878,Sheet2!$A:$O,10,0)</f>
        <v>3300</v>
      </c>
    </row>
    <row r="1879" spans="1:4">
      <c r="A1879" s="8" t="s">
        <v>403</v>
      </c>
      <c r="B1879" s="5">
        <v>1080501</v>
      </c>
      <c r="C1879" s="5" t="s">
        <v>130</v>
      </c>
      <c r="D1879" s="3">
        <f>VLOOKUP(B1879,Sheet2!$A:$O,10,0)</f>
        <v>3800</v>
      </c>
    </row>
    <row r="1880" spans="1:4">
      <c r="A1880" s="8" t="s">
        <v>403</v>
      </c>
      <c r="B1880" s="5">
        <v>1080602</v>
      </c>
      <c r="C1880" s="5" t="s">
        <v>234</v>
      </c>
      <c r="D1880" s="3">
        <f>VLOOKUP(B1880,Sheet2!$A:$O,10,0)</f>
        <v>38600</v>
      </c>
    </row>
    <row r="1881" spans="1:4">
      <c r="A1881" s="8" t="s">
        <v>403</v>
      </c>
      <c r="B1881" s="5">
        <v>1080604</v>
      </c>
      <c r="C1881" s="5" t="s">
        <v>235</v>
      </c>
      <c r="D1881" s="3">
        <f>VLOOKUP(B1881,Sheet2!$A:$O,10,0)</f>
        <v>0</v>
      </c>
    </row>
    <row r="1882" spans="1:4">
      <c r="A1882" s="8" t="s">
        <v>403</v>
      </c>
      <c r="B1882" s="5">
        <v>1080702</v>
      </c>
      <c r="C1882" s="5" t="s">
        <v>236</v>
      </c>
      <c r="D1882" s="3">
        <f>VLOOKUP(B1882,Sheet2!$A:$O,10,0)</f>
        <v>43500</v>
      </c>
    </row>
    <row r="1883" spans="1:4">
      <c r="A1883" s="8" t="s">
        <v>403</v>
      </c>
      <c r="B1883" s="5">
        <v>1080704</v>
      </c>
      <c r="C1883" s="5" t="s">
        <v>237</v>
      </c>
      <c r="D1883" s="3">
        <f>VLOOKUP(B1883,Sheet2!$A:$O,10,0)</f>
        <v>0</v>
      </c>
    </row>
    <row r="1884" spans="1:4">
      <c r="A1884" s="8" t="s">
        <v>403</v>
      </c>
      <c r="B1884" s="5">
        <v>1090104</v>
      </c>
      <c r="C1884" s="5" t="s">
        <v>136</v>
      </c>
      <c r="D1884" s="3">
        <f>VLOOKUP(B1884,Sheet2!$A:$O,10,0)</f>
        <v>40000</v>
      </c>
    </row>
    <row r="1885" spans="1:4">
      <c r="A1885" s="8" t="s">
        <v>403</v>
      </c>
      <c r="B1885" s="5">
        <v>1090112</v>
      </c>
      <c r="C1885" s="5" t="s">
        <v>138</v>
      </c>
      <c r="D1885" s="3">
        <f>VLOOKUP(B1885,Sheet2!$A:$O,10,0)</f>
        <v>35000</v>
      </c>
    </row>
    <row r="1886" spans="1:4">
      <c r="A1886" s="8" t="s">
        <v>403</v>
      </c>
      <c r="B1886" s="5">
        <v>1090201</v>
      </c>
      <c r="C1886" s="5" t="s">
        <v>140</v>
      </c>
      <c r="D1886" s="3">
        <f>VLOOKUP(B1886,Sheet2!$A:$O,10,0)</f>
        <v>15800</v>
      </c>
    </row>
    <row r="1887" spans="1:4">
      <c r="A1887" s="8" t="s">
        <v>403</v>
      </c>
      <c r="B1887" s="5">
        <v>1090202</v>
      </c>
      <c r="C1887" s="5" t="s">
        <v>142</v>
      </c>
      <c r="D1887" s="3">
        <f>VLOOKUP(B1887,Sheet2!$A:$O,10,0)</f>
        <v>98000</v>
      </c>
    </row>
    <row r="1888" spans="1:4">
      <c r="A1888" s="8" t="s">
        <v>403</v>
      </c>
      <c r="B1888" s="5">
        <v>1090203</v>
      </c>
      <c r="C1888" s="5" t="s">
        <v>144</v>
      </c>
      <c r="D1888" s="3">
        <f>VLOOKUP(B1888,Sheet2!$A:$O,10,0)</f>
        <v>23000</v>
      </c>
    </row>
    <row r="1889" spans="1:4">
      <c r="A1889" s="8" t="s">
        <v>403</v>
      </c>
      <c r="B1889" s="5">
        <v>1090211</v>
      </c>
      <c r="C1889" s="5" t="s">
        <v>146</v>
      </c>
      <c r="D1889" s="3">
        <f>VLOOKUP(B1889,Sheet2!$A:$O,10,0)</f>
        <v>67647</v>
      </c>
    </row>
    <row r="1890" spans="1:4">
      <c r="A1890" s="8" t="s">
        <v>403</v>
      </c>
      <c r="B1890" s="5">
        <v>1090301</v>
      </c>
      <c r="C1890" s="5" t="s">
        <v>238</v>
      </c>
      <c r="D1890" s="3">
        <f>VLOOKUP(B1890,Sheet2!$A:$O,10,0)</f>
        <v>32000</v>
      </c>
    </row>
    <row r="1891" spans="1:4">
      <c r="A1891" s="8" t="s">
        <v>403</v>
      </c>
      <c r="B1891" s="5">
        <v>1090311</v>
      </c>
      <c r="C1891" s="5" t="s">
        <v>150</v>
      </c>
      <c r="D1891" s="3">
        <f>VLOOKUP(B1891,Sheet2!$A:$O,10,0)</f>
        <v>37000</v>
      </c>
    </row>
    <row r="1892" spans="1:4">
      <c r="A1892" s="8" t="s">
        <v>403</v>
      </c>
      <c r="B1892" s="5">
        <v>1090321</v>
      </c>
      <c r="C1892" s="5" t="s">
        <v>152</v>
      </c>
      <c r="D1892" s="3">
        <f>VLOOKUP(B1892,Sheet2!$A:$O,10,0)</f>
        <v>66000</v>
      </c>
    </row>
    <row r="1893" spans="1:4">
      <c r="A1893" s="8" t="s">
        <v>403</v>
      </c>
      <c r="B1893" s="5">
        <v>1090401</v>
      </c>
      <c r="C1893" s="5" t="s">
        <v>154</v>
      </c>
      <c r="D1893" s="3">
        <f>VLOOKUP(B1893,Sheet2!$A:$O,10,0)</f>
        <v>8300</v>
      </c>
    </row>
    <row r="1894" spans="1:4">
      <c r="A1894" s="8" t="s">
        <v>403</v>
      </c>
      <c r="B1894" s="5">
        <v>1090411</v>
      </c>
      <c r="C1894" s="5" t="s">
        <v>156</v>
      </c>
      <c r="D1894" s="3">
        <f>VLOOKUP(B1894,Sheet2!$A:$O,10,0)</f>
        <v>45000</v>
      </c>
    </row>
    <row r="1895" spans="1:4">
      <c r="A1895" s="8" t="s">
        <v>403</v>
      </c>
      <c r="B1895" s="5">
        <v>1090421</v>
      </c>
      <c r="C1895" s="5" t="s">
        <v>158</v>
      </c>
      <c r="D1895" s="3">
        <f>VLOOKUP(B1895,Sheet2!$A:$O,10,0)</f>
        <v>36000</v>
      </c>
    </row>
    <row r="1896" spans="1:4">
      <c r="A1896" s="8" t="s">
        <v>403</v>
      </c>
      <c r="B1896" s="5">
        <v>1090551</v>
      </c>
      <c r="C1896" s="5" t="s">
        <v>239</v>
      </c>
      <c r="D1896" s="3">
        <f>VLOOKUP(B1896,Sheet2!$A:$O,10,0)</f>
        <v>4900</v>
      </c>
    </row>
    <row r="1897" spans="1:4">
      <c r="A1897" s="8" t="s">
        <v>403</v>
      </c>
      <c r="B1897" s="5">
        <v>1090602</v>
      </c>
      <c r="C1897" s="5" t="s">
        <v>162</v>
      </c>
      <c r="D1897" s="3">
        <f>VLOOKUP(B1897,Sheet2!$A:$O,10,0)</f>
        <v>5130</v>
      </c>
    </row>
    <row r="1898" spans="1:4">
      <c r="A1898" s="8" t="s">
        <v>403</v>
      </c>
      <c r="B1898" s="5">
        <v>1090611</v>
      </c>
      <c r="C1898" s="5" t="s">
        <v>164</v>
      </c>
      <c r="D1898" s="3">
        <f>VLOOKUP(B1898,Sheet2!$A:$O,10,0)</f>
        <v>4203</v>
      </c>
    </row>
    <row r="1899" spans="1:4">
      <c r="A1899" s="8" t="s">
        <v>403</v>
      </c>
      <c r="B1899" s="5">
        <v>1090701</v>
      </c>
      <c r="C1899" s="5" t="s">
        <v>166</v>
      </c>
      <c r="D1899" s="3">
        <f>VLOOKUP(B1899,Sheet2!$A:$O,10,0)</f>
        <v>21000</v>
      </c>
    </row>
    <row r="1900" spans="1:4">
      <c r="A1900" s="8" t="s">
        <v>403</v>
      </c>
      <c r="B1900" s="5">
        <v>1090901</v>
      </c>
      <c r="C1900" s="5" t="s">
        <v>168</v>
      </c>
      <c r="D1900" s="3">
        <f>VLOOKUP(B1900,Sheet2!$A:$O,10,0)</f>
        <v>4300</v>
      </c>
    </row>
    <row r="1901" spans="1:4">
      <c r="A1901" s="8" t="s">
        <v>403</v>
      </c>
      <c r="B1901" s="5">
        <v>1091001</v>
      </c>
      <c r="C1901" s="5" t="s">
        <v>170</v>
      </c>
      <c r="D1901" s="3">
        <f>VLOOKUP(B1901,Sheet2!$A:$O,10,0)</f>
        <v>7000</v>
      </c>
    </row>
    <row r="1902" spans="1:4">
      <c r="A1902" s="8" t="s">
        <v>403</v>
      </c>
      <c r="B1902" s="5">
        <v>1091002</v>
      </c>
      <c r="C1902" s="5" t="s">
        <v>172</v>
      </c>
      <c r="D1902" s="3">
        <f>VLOOKUP(B1902,Sheet2!$A:$O,10,0)</f>
        <v>6304</v>
      </c>
    </row>
    <row r="1903" spans="1:4">
      <c r="A1903" s="8" t="s">
        <v>403</v>
      </c>
      <c r="B1903" s="5">
        <v>1091003</v>
      </c>
      <c r="C1903" s="5" t="s">
        <v>174</v>
      </c>
      <c r="D1903" s="3">
        <f>VLOOKUP(B1903,Sheet2!$A:$O,10,0)</f>
        <v>11032</v>
      </c>
    </row>
    <row r="1904" spans="1:4">
      <c r="A1904" s="8" t="s">
        <v>403</v>
      </c>
      <c r="B1904" s="5">
        <v>1091004</v>
      </c>
      <c r="C1904" s="5" t="s">
        <v>240</v>
      </c>
      <c r="D1904" s="3">
        <f>VLOOKUP(B1904,Sheet2!$A:$O,10,0)</f>
        <v>0</v>
      </c>
    </row>
    <row r="1905" spans="1:4">
      <c r="A1905" s="8" t="s">
        <v>403</v>
      </c>
      <c r="B1905" s="5">
        <v>1091005</v>
      </c>
      <c r="C1905" s="5" t="s">
        <v>241</v>
      </c>
      <c r="D1905" s="3">
        <f>VLOOKUP(B1905,Sheet2!$A:$O,10,0)</f>
        <v>0</v>
      </c>
    </row>
    <row r="1906" spans="1:4">
      <c r="A1906" s="8" t="s">
        <v>403</v>
      </c>
      <c r="B1906" s="5">
        <v>1091006</v>
      </c>
      <c r="C1906" s="5" t="s">
        <v>242</v>
      </c>
      <c r="D1906" s="3">
        <f>VLOOKUP(B1906,Sheet2!$A:$O,10,0)</f>
        <v>0</v>
      </c>
    </row>
    <row r="1907" spans="1:4">
      <c r="A1907" s="8" t="s">
        <v>403</v>
      </c>
      <c r="B1907" s="5">
        <v>1091007</v>
      </c>
      <c r="C1907" s="5" t="s">
        <v>243</v>
      </c>
      <c r="D1907" s="3">
        <f>VLOOKUP(B1907,Sheet2!$A:$O,10,0)</f>
        <v>2640</v>
      </c>
    </row>
    <row r="1908" spans="1:4">
      <c r="A1908" s="8" t="s">
        <v>403</v>
      </c>
      <c r="B1908" s="5">
        <v>1091008</v>
      </c>
      <c r="C1908" s="5" t="s">
        <v>176</v>
      </c>
      <c r="D1908" s="3">
        <f>VLOOKUP(B1908,Sheet2!$A:$O,10,0)</f>
        <v>0</v>
      </c>
    </row>
    <row r="1909" spans="1:4">
      <c r="A1909" s="8" t="s">
        <v>403</v>
      </c>
      <c r="B1909" s="5">
        <v>1091009</v>
      </c>
      <c r="C1909" s="5" t="s">
        <v>178</v>
      </c>
      <c r="D1909" s="3">
        <f>VLOOKUP(B1909,Sheet2!$A:$O,10,0)</f>
        <v>0</v>
      </c>
    </row>
    <row r="1910" spans="1:4">
      <c r="A1910" s="8" t="s">
        <v>403</v>
      </c>
      <c r="B1910" s="5">
        <v>1091010</v>
      </c>
      <c r="C1910" s="5" t="s">
        <v>180</v>
      </c>
      <c r="D1910" s="3">
        <f>VLOOKUP(B1910,Sheet2!$A:$O,10,0)</f>
        <v>27000</v>
      </c>
    </row>
    <row r="1911" spans="1:4">
      <c r="A1911" s="8" t="s">
        <v>403</v>
      </c>
      <c r="B1911" s="5">
        <v>1091011</v>
      </c>
      <c r="C1911" s="5" t="s">
        <v>182</v>
      </c>
      <c r="D1911" s="3">
        <f>VLOOKUP(B1911,Sheet2!$A:$O,10,0)</f>
        <v>33000</v>
      </c>
    </row>
    <row r="1912" spans="1:4">
      <c r="A1912" s="8" t="s">
        <v>403</v>
      </c>
      <c r="B1912" s="5">
        <v>1091012</v>
      </c>
      <c r="C1912" s="5" t="s">
        <v>184</v>
      </c>
      <c r="D1912" s="3">
        <f>VLOOKUP(B1912,Sheet2!$A:$O,10,0)</f>
        <v>47000</v>
      </c>
    </row>
    <row r="1913" spans="1:4">
      <c r="A1913" s="8" t="s">
        <v>403</v>
      </c>
      <c r="B1913" s="5">
        <v>1091013</v>
      </c>
      <c r="C1913" s="5" t="s">
        <v>186</v>
      </c>
      <c r="D1913" s="3">
        <f>VLOOKUP(B1913,Sheet2!$A:$O,10,0)</f>
        <v>33000</v>
      </c>
    </row>
    <row r="1914" spans="1:4">
      <c r="A1914" s="8" t="s">
        <v>403</v>
      </c>
      <c r="B1914" s="5">
        <v>1091014</v>
      </c>
      <c r="C1914" s="5" t="s">
        <v>244</v>
      </c>
      <c r="D1914" s="3">
        <f>VLOOKUP(B1914,Sheet2!$A:$O,10,0)</f>
        <v>6961</v>
      </c>
    </row>
    <row r="1915" spans="1:4">
      <c r="A1915" s="8" t="s">
        <v>403</v>
      </c>
      <c r="B1915" s="5">
        <v>1091015</v>
      </c>
      <c r="C1915" s="5" t="s">
        <v>245</v>
      </c>
      <c r="D1915" s="3">
        <f>VLOOKUP(B1915,Sheet2!$A:$O,10,0)</f>
        <v>28000</v>
      </c>
    </row>
    <row r="1916" spans="1:4">
      <c r="A1916" s="8" t="s">
        <v>403</v>
      </c>
      <c r="B1916" s="5">
        <v>1091016</v>
      </c>
      <c r="C1916" s="5" t="s">
        <v>246</v>
      </c>
      <c r="D1916" s="3">
        <f>VLOOKUP(B1916,Sheet2!$A:$O,10,0)</f>
        <v>54594</v>
      </c>
    </row>
    <row r="1917" spans="1:4">
      <c r="A1917" s="8" t="s">
        <v>403</v>
      </c>
      <c r="B1917" s="5">
        <v>1091017</v>
      </c>
      <c r="C1917" s="5" t="s">
        <v>247</v>
      </c>
      <c r="D1917" s="3">
        <f>VLOOKUP(B1917,Sheet2!$A:$O,10,0)</f>
        <v>0</v>
      </c>
    </row>
    <row r="1918" spans="1:4">
      <c r="A1918" s="8" t="s">
        <v>403</v>
      </c>
      <c r="B1918" s="5">
        <v>1091018</v>
      </c>
      <c r="C1918" s="5" t="s">
        <v>248</v>
      </c>
      <c r="D1918" s="3">
        <f>VLOOKUP(B1918,Sheet2!$A:$O,10,0)</f>
        <v>0</v>
      </c>
    </row>
    <row r="1919" spans="1:4">
      <c r="A1919" s="8" t="s">
        <v>403</v>
      </c>
      <c r="B1919" s="5">
        <v>1091019</v>
      </c>
      <c r="C1919" s="5" t="s">
        <v>249</v>
      </c>
      <c r="D1919" s="3">
        <f>VLOOKUP(B1919,Sheet2!$A:$O,10,0)</f>
        <v>53387</v>
      </c>
    </row>
    <row r="1920" spans="1:4">
      <c r="A1920" s="8" t="s">
        <v>403</v>
      </c>
      <c r="B1920" s="5">
        <v>1091020</v>
      </c>
      <c r="C1920" s="5" t="s">
        <v>250</v>
      </c>
      <c r="D1920" s="3">
        <f>VLOOKUP(B1920,Sheet2!$A:$O,10,0)</f>
        <v>62745</v>
      </c>
    </row>
    <row r="1921" spans="1:4">
      <c r="A1921" s="8" t="s">
        <v>403</v>
      </c>
      <c r="B1921" s="5">
        <v>1091021</v>
      </c>
      <c r="C1921" s="5" t="s">
        <v>251</v>
      </c>
      <c r="D1921" s="3">
        <f>VLOOKUP(B1921,Sheet2!$A:$O,10,0)</f>
        <v>53922</v>
      </c>
    </row>
    <row r="1922" spans="1:4">
      <c r="A1922" s="8" t="s">
        <v>403</v>
      </c>
      <c r="B1922" s="5">
        <v>1091022</v>
      </c>
      <c r="C1922" s="5" t="s">
        <v>252</v>
      </c>
      <c r="D1922" s="3">
        <f>VLOOKUP(B1922,Sheet2!$A:$O,10,0)</f>
        <v>3235</v>
      </c>
    </row>
    <row r="1923" spans="1:4">
      <c r="A1923" s="8" t="s">
        <v>403</v>
      </c>
      <c r="B1923" s="5">
        <v>1091023</v>
      </c>
      <c r="C1923" s="5" t="s">
        <v>253</v>
      </c>
      <c r="D1923" s="3">
        <f>VLOOKUP(B1923,Sheet2!$A:$O,10,0)</f>
        <v>4412</v>
      </c>
    </row>
    <row r="1924" spans="1:4">
      <c r="A1924" s="8" t="s">
        <v>403</v>
      </c>
      <c r="B1924" s="5">
        <v>1091024</v>
      </c>
      <c r="C1924" s="5" t="s">
        <v>254</v>
      </c>
      <c r="D1924" s="3">
        <f>VLOOKUP(B1924,Sheet2!$A:$O,10,0)</f>
        <v>3922</v>
      </c>
    </row>
    <row r="1925" spans="1:4">
      <c r="A1925" s="8" t="s">
        <v>403</v>
      </c>
      <c r="B1925" s="5">
        <v>1091025</v>
      </c>
      <c r="C1925" s="5" t="s">
        <v>255</v>
      </c>
      <c r="D1925" s="3">
        <f>VLOOKUP(B1925,Sheet2!$A:$O,10,0)</f>
        <v>6275</v>
      </c>
    </row>
    <row r="1926" spans="1:4">
      <c r="A1926" s="8" t="s">
        <v>403</v>
      </c>
      <c r="B1926" s="5">
        <v>1091026</v>
      </c>
      <c r="C1926" s="5" t="s">
        <v>256</v>
      </c>
      <c r="D1926" s="3">
        <f>VLOOKUP(B1926,Sheet2!$A:$O,10,0)</f>
        <v>30196</v>
      </c>
    </row>
    <row r="1927" spans="1:4">
      <c r="A1927" s="8" t="s">
        <v>403</v>
      </c>
      <c r="B1927" s="5">
        <v>1600101</v>
      </c>
      <c r="C1927" s="5" t="s">
        <v>188</v>
      </c>
      <c r="D1927" s="3">
        <f>VLOOKUP(B1927,Sheet2!$A:$O,10,0)</f>
        <v>2402</v>
      </c>
    </row>
    <row r="1928" spans="1:4">
      <c r="A1928" s="8" t="s">
        <v>403</v>
      </c>
      <c r="B1928" s="5">
        <v>1600102</v>
      </c>
      <c r="C1928" s="5" t="s">
        <v>257</v>
      </c>
      <c r="D1928" s="3">
        <f>VLOOKUP(B1928,Sheet2!$A:$O,10,0)</f>
        <v>36275</v>
      </c>
    </row>
    <row r="1929" spans="1:4">
      <c r="A1929" s="8" t="s">
        <v>403</v>
      </c>
      <c r="B1929" s="5">
        <v>1600103</v>
      </c>
      <c r="C1929" s="5" t="s">
        <v>258</v>
      </c>
      <c r="D1929" s="3">
        <f>VLOOKUP(B1929,Sheet2!$A:$O,10,0)</f>
        <v>19800</v>
      </c>
    </row>
    <row r="1930" spans="1:4">
      <c r="A1930" s="8" t="s">
        <v>403</v>
      </c>
      <c r="B1930" s="5">
        <v>1600104</v>
      </c>
      <c r="C1930" s="5" t="s">
        <v>259</v>
      </c>
      <c r="D1930" s="3">
        <f>VLOOKUP(B1930,Sheet2!$A:$O,10,0)</f>
        <v>65000</v>
      </c>
    </row>
    <row r="1931" spans="1:4">
      <c r="A1931" s="8" t="s">
        <v>403</v>
      </c>
      <c r="B1931" s="5">
        <v>1600105</v>
      </c>
      <c r="C1931" s="5" t="s">
        <v>260</v>
      </c>
      <c r="D1931" s="3">
        <f>VLOOKUP(B1931,Sheet2!$A:$O,10,0)</f>
        <v>83950</v>
      </c>
    </row>
    <row r="1932" spans="1:4">
      <c r="A1932" s="8" t="s">
        <v>403</v>
      </c>
      <c r="B1932" s="5">
        <v>1600106</v>
      </c>
      <c r="C1932" s="5" t="s">
        <v>261</v>
      </c>
      <c r="D1932" s="3">
        <f>VLOOKUP(B1932,Sheet2!$A:$O,10,0)</f>
        <v>66667</v>
      </c>
    </row>
    <row r="1933" spans="1:4">
      <c r="A1933" s="8" t="s">
        <v>403</v>
      </c>
      <c r="B1933" s="5">
        <v>1600107</v>
      </c>
      <c r="C1933" s="5" t="s">
        <v>262</v>
      </c>
      <c r="D1933" s="3">
        <f>VLOOKUP(B1933,Sheet2!$A:$O,10,0)</f>
        <v>67647</v>
      </c>
    </row>
    <row r="1934" spans="1:4">
      <c r="A1934" s="8" t="s">
        <v>403</v>
      </c>
      <c r="B1934" s="5">
        <v>1600108</v>
      </c>
      <c r="C1934" s="5" t="s">
        <v>263</v>
      </c>
      <c r="D1934" s="3">
        <f>VLOOKUP(B1934,Sheet2!$A:$O,10,0)</f>
        <v>67647</v>
      </c>
    </row>
    <row r="1935" spans="1:4">
      <c r="A1935" s="8" t="s">
        <v>403</v>
      </c>
      <c r="B1935" s="5">
        <v>1600109</v>
      </c>
      <c r="C1935" s="5" t="s">
        <v>264</v>
      </c>
      <c r="D1935" s="3">
        <f>VLOOKUP(B1935,Sheet2!$A:$O,10,0)</f>
        <v>5882</v>
      </c>
    </row>
    <row r="1936" spans="1:4">
      <c r="A1936" s="8" t="s">
        <v>403</v>
      </c>
      <c r="B1936" s="5">
        <v>1600110</v>
      </c>
      <c r="C1936" s="5" t="s">
        <v>265</v>
      </c>
      <c r="D1936" s="3">
        <f>VLOOKUP(B1936,Sheet2!$A:$O,10,0)</f>
        <v>7917</v>
      </c>
    </row>
    <row r="1937" spans="1:4">
      <c r="A1937" s="8" t="s">
        <v>403</v>
      </c>
      <c r="B1937" s="5">
        <v>1600111</v>
      </c>
      <c r="C1937" s="5" t="s">
        <v>266</v>
      </c>
      <c r="D1937" s="3">
        <f>VLOOKUP(B1937,Sheet2!$A:$O,10,0)</f>
        <v>2266</v>
      </c>
    </row>
    <row r="1938" spans="1:4">
      <c r="A1938" s="8" t="s">
        <v>403</v>
      </c>
      <c r="B1938" s="5">
        <v>1600112</v>
      </c>
      <c r="C1938" s="5" t="s">
        <v>190</v>
      </c>
      <c r="D1938" s="3">
        <f>VLOOKUP(B1938,Sheet2!$A:$O,10,0)</f>
        <v>4800</v>
      </c>
    </row>
    <row r="1939" spans="1:4">
      <c r="A1939" s="8" t="s">
        <v>403</v>
      </c>
      <c r="B1939" s="5">
        <v>1600113</v>
      </c>
      <c r="C1939" s="5" t="s">
        <v>267</v>
      </c>
      <c r="D1939" s="3">
        <f>VLOOKUP(B1939,Sheet2!$A:$O,10,0)</f>
        <v>0</v>
      </c>
    </row>
    <row r="1940" spans="1:4">
      <c r="A1940" s="8" t="s">
        <v>403</v>
      </c>
      <c r="B1940" s="5">
        <v>1600114</v>
      </c>
      <c r="C1940" s="5" t="s">
        <v>268</v>
      </c>
      <c r="D1940" s="3">
        <f>VLOOKUP(B1940,Sheet2!$A:$O,10,0)</f>
        <v>10140</v>
      </c>
    </row>
    <row r="1941" spans="1:4">
      <c r="A1941" s="8" t="s">
        <v>403</v>
      </c>
      <c r="B1941" s="5">
        <v>1700001</v>
      </c>
      <c r="C1941" s="5" t="s">
        <v>269</v>
      </c>
      <c r="D1941" s="3">
        <f>VLOOKUP(B1941,Sheet2!$A:$O,10,0)</f>
        <v>4513</v>
      </c>
    </row>
    <row r="1942" spans="1:4">
      <c r="A1942" s="8" t="s">
        <v>403</v>
      </c>
      <c r="B1942" s="5">
        <v>1700002</v>
      </c>
      <c r="C1942" s="5" t="s">
        <v>270</v>
      </c>
      <c r="D1942" s="3">
        <f>VLOOKUP(B1942,Sheet2!$A:$O,10,0)</f>
        <v>3726</v>
      </c>
    </row>
    <row r="1943" spans="1:4">
      <c r="A1943" s="8" t="s">
        <v>403</v>
      </c>
      <c r="B1943" s="5">
        <v>1700003</v>
      </c>
      <c r="C1943" s="5" t="s">
        <v>271</v>
      </c>
      <c r="D1943" s="3">
        <f>VLOOKUP(B1943,Sheet2!$A:$O,10,0)</f>
        <v>4902</v>
      </c>
    </row>
    <row r="1944" spans="1:4">
      <c r="A1944" s="8" t="s">
        <v>403</v>
      </c>
      <c r="B1944" s="5">
        <v>1700004</v>
      </c>
      <c r="C1944" s="5" t="s">
        <v>272</v>
      </c>
      <c r="D1944" s="3">
        <f>VLOOKUP(B1944,Sheet2!$A:$O,10,0)</f>
        <v>13137</v>
      </c>
    </row>
    <row r="1945" spans="1:4">
      <c r="A1945" s="8" t="s">
        <v>403</v>
      </c>
      <c r="B1945" s="5">
        <v>1700005</v>
      </c>
      <c r="C1945" s="5" t="s">
        <v>192</v>
      </c>
      <c r="D1945" s="3">
        <f>VLOOKUP(B1945,Sheet2!$A:$O,10,0)</f>
        <v>1784</v>
      </c>
    </row>
    <row r="1946" spans="1:4">
      <c r="A1946" s="8" t="s">
        <v>403</v>
      </c>
      <c r="B1946" s="5">
        <v>1700006</v>
      </c>
      <c r="C1946" s="5" t="s">
        <v>273</v>
      </c>
      <c r="D1946" s="3">
        <f>VLOOKUP(B1946,Sheet2!$A:$O,10,0)</f>
        <v>10382</v>
      </c>
    </row>
    <row r="1947" spans="1:4">
      <c r="A1947" s="8" t="s">
        <v>403</v>
      </c>
      <c r="B1947" s="5">
        <v>1700007</v>
      </c>
      <c r="C1947" s="5" t="s">
        <v>274</v>
      </c>
      <c r="D1947" s="3">
        <f>VLOOKUP(B1947,Sheet2!$A:$O,10,0)</f>
        <v>0</v>
      </c>
    </row>
    <row r="1948" spans="1:4">
      <c r="A1948" s="8" t="s">
        <v>403</v>
      </c>
      <c r="B1948" s="5">
        <v>1700008</v>
      </c>
      <c r="C1948" s="5" t="s">
        <v>275</v>
      </c>
      <c r="D1948" s="3">
        <f>VLOOKUP(B1948,Sheet2!$A:$O,10,0)</f>
        <v>0</v>
      </c>
    </row>
    <row r="1949" spans="1:4">
      <c r="A1949" s="8" t="s">
        <v>403</v>
      </c>
      <c r="B1949" s="5">
        <v>1700009</v>
      </c>
      <c r="C1949" s="5" t="s">
        <v>276</v>
      </c>
      <c r="D1949" s="3">
        <f>VLOOKUP(B1949,Sheet2!$A:$O,10,0)</f>
        <v>0</v>
      </c>
    </row>
    <row r="1950" spans="1:4">
      <c r="A1950" s="8" t="s">
        <v>403</v>
      </c>
      <c r="B1950" s="5">
        <v>1700010</v>
      </c>
      <c r="C1950" s="5" t="s">
        <v>277</v>
      </c>
      <c r="D1950" s="3">
        <f>VLOOKUP(B1950,Sheet2!$A:$O,10,0)</f>
        <v>3630</v>
      </c>
    </row>
    <row r="1951" spans="1:4">
      <c r="A1951" s="8" t="s">
        <v>403</v>
      </c>
      <c r="B1951" s="5">
        <v>1700011</v>
      </c>
      <c r="C1951" s="5" t="s">
        <v>278</v>
      </c>
      <c r="D1951" s="3">
        <f>VLOOKUP(B1951,Sheet2!$A:$O,10,0)</f>
        <v>11961</v>
      </c>
    </row>
    <row r="1952" spans="1:4">
      <c r="A1952" s="8" t="s">
        <v>403</v>
      </c>
      <c r="B1952" s="5">
        <v>1700012</v>
      </c>
      <c r="C1952" s="5" t="s">
        <v>279</v>
      </c>
      <c r="D1952" s="3">
        <f>VLOOKUP(B1952,Sheet2!$A:$O,10,0)</f>
        <v>13235</v>
      </c>
    </row>
    <row r="1953" spans="1:4">
      <c r="A1953" s="8" t="s">
        <v>403</v>
      </c>
      <c r="B1953" s="5">
        <v>1700013</v>
      </c>
      <c r="C1953" s="5" t="s">
        <v>280</v>
      </c>
      <c r="D1953" s="3">
        <f>VLOOKUP(B1953,Sheet2!$A:$O,10,0)</f>
        <v>18137</v>
      </c>
    </row>
    <row r="1954" spans="1:4">
      <c r="A1954" s="8" t="s">
        <v>403</v>
      </c>
      <c r="B1954" s="5">
        <v>1700014</v>
      </c>
      <c r="C1954" s="5" t="s">
        <v>194</v>
      </c>
      <c r="D1954" s="3">
        <f>VLOOKUP(B1954,Sheet2!$A:$O,10,0)</f>
        <v>2255</v>
      </c>
    </row>
    <row r="1955" spans="1:4">
      <c r="A1955" s="8" t="s">
        <v>403</v>
      </c>
      <c r="B1955" s="5">
        <v>1700015</v>
      </c>
      <c r="C1955" s="5" t="s">
        <v>281</v>
      </c>
      <c r="D1955" s="3">
        <f>VLOOKUP(B1955,Sheet2!$A:$O,10,0)</f>
        <v>2552</v>
      </c>
    </row>
    <row r="1956" spans="1:4">
      <c r="A1956" s="8" t="s">
        <v>403</v>
      </c>
      <c r="B1956" s="5">
        <v>1700016</v>
      </c>
      <c r="C1956" s="5" t="s">
        <v>282</v>
      </c>
      <c r="D1956" s="3">
        <f>VLOOKUP(B1956,Sheet2!$A:$O,10,0)</f>
        <v>3238</v>
      </c>
    </row>
    <row r="1957" spans="1:4">
      <c r="A1957" s="8" t="s">
        <v>403</v>
      </c>
      <c r="B1957" s="5">
        <v>1700017</v>
      </c>
      <c r="C1957" s="5" t="s">
        <v>283</v>
      </c>
      <c r="D1957" s="3">
        <f>VLOOKUP(B1957,Sheet2!$A:$O,10,0)</f>
        <v>10784</v>
      </c>
    </row>
    <row r="1958" spans="1:4">
      <c r="A1958" s="8" t="s">
        <v>403</v>
      </c>
      <c r="B1958" s="5">
        <v>1700018</v>
      </c>
      <c r="C1958" s="5" t="s">
        <v>284</v>
      </c>
      <c r="D1958" s="3">
        <f>VLOOKUP(B1958,Sheet2!$A:$O,10,0)</f>
        <v>4174</v>
      </c>
    </row>
    <row r="1959" spans="1:4">
      <c r="A1959" s="8" t="s">
        <v>403</v>
      </c>
      <c r="B1959" s="5">
        <v>1700019</v>
      </c>
      <c r="C1959" s="5" t="s">
        <v>285</v>
      </c>
      <c r="D1959" s="3">
        <f>VLOOKUP(B1959,Sheet2!$A:$O,10,0)</f>
        <v>0</v>
      </c>
    </row>
    <row r="1960" spans="1:4">
      <c r="A1960" s="8" t="s">
        <v>403</v>
      </c>
      <c r="B1960" s="5">
        <v>1700020</v>
      </c>
      <c r="C1960" s="5" t="s">
        <v>286</v>
      </c>
      <c r="D1960" s="3">
        <f>VLOOKUP(B1960,Sheet2!$A:$O,10,0)</f>
        <v>49412</v>
      </c>
    </row>
    <row r="1961" spans="1:4">
      <c r="A1961" s="8" t="s">
        <v>403</v>
      </c>
      <c r="B1961" s="5">
        <v>1700021</v>
      </c>
      <c r="C1961" s="5" t="s">
        <v>287</v>
      </c>
      <c r="D1961" s="3">
        <f>VLOOKUP(B1961,Sheet2!$A:$O,10,0)</f>
        <v>78841</v>
      </c>
    </row>
    <row r="1962" spans="1:4">
      <c r="A1962" s="8" t="s">
        <v>403</v>
      </c>
      <c r="B1962" s="5">
        <v>1700022</v>
      </c>
      <c r="C1962" s="5" t="s">
        <v>288</v>
      </c>
      <c r="D1962" s="3">
        <f>VLOOKUP(B1962,Sheet2!$A:$O,10,0)</f>
        <v>33706</v>
      </c>
    </row>
    <row r="1963" spans="1:4">
      <c r="A1963" s="8" t="s">
        <v>403</v>
      </c>
      <c r="B1963" s="5">
        <v>1700023</v>
      </c>
      <c r="C1963" s="5" t="s">
        <v>289</v>
      </c>
      <c r="D1963" s="3">
        <f>VLOOKUP(B1963,Sheet2!$A:$O,10,0)</f>
        <v>7470</v>
      </c>
    </row>
    <row r="1964" spans="1:4">
      <c r="A1964" s="8" t="s">
        <v>403</v>
      </c>
      <c r="B1964" s="5">
        <v>1700024</v>
      </c>
      <c r="C1964" s="5" t="s">
        <v>290</v>
      </c>
      <c r="D1964" s="3">
        <f>VLOOKUP(B1964,Sheet2!$A:$O,10,0)</f>
        <v>0</v>
      </c>
    </row>
    <row r="1965" spans="1:4">
      <c r="A1965" s="8" t="s">
        <v>403</v>
      </c>
      <c r="B1965" s="5">
        <v>1700025</v>
      </c>
      <c r="C1965" s="5" t="s">
        <v>291</v>
      </c>
      <c r="D1965" s="3">
        <f>VLOOKUP(B1965,Sheet2!$A:$O,10,0)</f>
        <v>1961</v>
      </c>
    </row>
    <row r="1966" spans="1:4">
      <c r="A1966" s="8" t="s">
        <v>403</v>
      </c>
      <c r="B1966" s="5">
        <v>1700026</v>
      </c>
      <c r="C1966" s="5" t="s">
        <v>292</v>
      </c>
      <c r="D1966" s="3">
        <f>VLOOKUP(B1966,Sheet2!$A:$O,10,0)</f>
        <v>4412</v>
      </c>
    </row>
    <row r="1967" spans="1:4">
      <c r="A1967" s="8" t="s">
        <v>403</v>
      </c>
      <c r="B1967" s="5">
        <v>1700027</v>
      </c>
      <c r="C1967" s="5" t="s">
        <v>293</v>
      </c>
      <c r="D1967" s="3">
        <f>VLOOKUP(B1967,Sheet2!$A:$O,10,0)</f>
        <v>4412</v>
      </c>
    </row>
    <row r="1968" spans="1:4">
      <c r="A1968" s="8" t="s">
        <v>403</v>
      </c>
      <c r="B1968" s="5">
        <v>1700028</v>
      </c>
      <c r="C1968" s="5" t="s">
        <v>294</v>
      </c>
      <c r="D1968" s="3">
        <f>VLOOKUP(B1968,Sheet2!$A:$O,10,0)</f>
        <v>9500</v>
      </c>
    </row>
    <row r="1969" spans="1:4">
      <c r="A1969" s="8" t="s">
        <v>403</v>
      </c>
      <c r="B1969" s="5">
        <v>1700029</v>
      </c>
      <c r="C1969" s="5" t="s">
        <v>295</v>
      </c>
      <c r="D1969" s="3">
        <f>VLOOKUP(B1969,Sheet2!$A:$O,10,0)</f>
        <v>10670</v>
      </c>
    </row>
    <row r="1970" spans="1:4">
      <c r="A1970" s="8" t="s">
        <v>403</v>
      </c>
      <c r="B1970" s="5">
        <v>1700030</v>
      </c>
      <c r="C1970" s="5" t="s">
        <v>296</v>
      </c>
      <c r="D1970" s="3">
        <f>VLOOKUP(B1970,Sheet2!$A:$O,10,0)</f>
        <v>12720</v>
      </c>
    </row>
    <row r="1971" spans="1:4">
      <c r="A1971" s="8" t="s">
        <v>403</v>
      </c>
      <c r="B1971" s="5">
        <v>1700031</v>
      </c>
      <c r="C1971" s="5" t="s">
        <v>196</v>
      </c>
      <c r="D1971" s="3">
        <f>VLOOKUP(B1971,Sheet2!$A:$O,10,0)</f>
        <v>1961</v>
      </c>
    </row>
    <row r="1972" spans="1:4">
      <c r="A1972" s="8" t="s">
        <v>403</v>
      </c>
      <c r="B1972" s="5">
        <v>1700032</v>
      </c>
      <c r="C1972" s="5" t="s">
        <v>297</v>
      </c>
      <c r="D1972" s="3">
        <f>VLOOKUP(B1972,Sheet2!$A:$O,10,0)</f>
        <v>0</v>
      </c>
    </row>
    <row r="1973" spans="1:4">
      <c r="A1973" s="8" t="s">
        <v>403</v>
      </c>
      <c r="B1973" s="5">
        <v>1700033</v>
      </c>
      <c r="C1973" s="5" t="s">
        <v>298</v>
      </c>
      <c r="D1973" s="3">
        <f>VLOOKUP(B1973,Sheet2!$A:$O,10,0)</f>
        <v>0</v>
      </c>
    </row>
    <row r="1974" spans="1:4">
      <c r="A1974" s="8" t="s">
        <v>403</v>
      </c>
      <c r="B1974" s="5">
        <v>1700034</v>
      </c>
      <c r="C1974" s="5" t="s">
        <v>299</v>
      </c>
      <c r="D1974" s="3">
        <f>VLOOKUP(B1974,Sheet2!$A:$O,10,0)</f>
        <v>17475</v>
      </c>
    </row>
    <row r="1975" spans="1:4">
      <c r="A1975" s="8" t="s">
        <v>403</v>
      </c>
      <c r="B1975" s="5">
        <v>1700035</v>
      </c>
      <c r="C1975" s="5" t="s">
        <v>300</v>
      </c>
      <c r="D1975" s="3">
        <f>VLOOKUP(B1975,Sheet2!$A:$O,10,0)</f>
        <v>64367</v>
      </c>
    </row>
    <row r="1976" spans="1:4">
      <c r="A1976" s="8" t="s">
        <v>403</v>
      </c>
      <c r="B1976" s="5">
        <v>1700036</v>
      </c>
      <c r="C1976" s="5" t="s">
        <v>301</v>
      </c>
      <c r="D1976" s="3">
        <f>VLOOKUP(B1976,Sheet2!$A:$O,10,0)</f>
        <v>5200</v>
      </c>
    </row>
    <row r="1977" spans="1:4">
      <c r="A1977" s="8" t="s">
        <v>403</v>
      </c>
      <c r="B1977" s="5">
        <v>1700037</v>
      </c>
      <c r="C1977" s="5" t="s">
        <v>302</v>
      </c>
      <c r="D1977" s="3">
        <f>VLOOKUP(B1977,Sheet2!$A:$O,10,0)</f>
        <v>7533</v>
      </c>
    </row>
    <row r="1978" spans="1:4">
      <c r="A1978" s="8" t="s">
        <v>403</v>
      </c>
      <c r="B1978" s="5">
        <v>1700038</v>
      </c>
      <c r="C1978" s="5" t="s">
        <v>303</v>
      </c>
      <c r="D1978" s="3">
        <f>VLOOKUP(B1978,Sheet2!$A:$O,10,0)</f>
        <v>2500</v>
      </c>
    </row>
    <row r="1979" spans="1:4">
      <c r="A1979" s="8" t="s">
        <v>403</v>
      </c>
      <c r="B1979" s="5">
        <v>1700039</v>
      </c>
      <c r="C1979" s="5" t="s">
        <v>304</v>
      </c>
      <c r="D1979" s="3">
        <f>VLOOKUP(B1979,Sheet2!$A:$O,10,0)</f>
        <v>2431</v>
      </c>
    </row>
    <row r="1980" spans="1:4">
      <c r="A1980" s="8" t="s">
        <v>403</v>
      </c>
      <c r="B1980" s="5">
        <v>1700040</v>
      </c>
      <c r="C1980" s="5" t="s">
        <v>305</v>
      </c>
      <c r="D1980" s="3">
        <f>VLOOKUP(B1980,Sheet2!$A:$O,10,0)</f>
        <v>1967</v>
      </c>
    </row>
    <row r="1981" spans="1:4">
      <c r="A1981" s="8" t="s">
        <v>403</v>
      </c>
      <c r="B1981" s="5">
        <v>1700041</v>
      </c>
      <c r="C1981" s="5" t="s">
        <v>306</v>
      </c>
      <c r="D1981" s="3">
        <f>VLOOKUP(B1981,Sheet2!$A:$O,10,0)</f>
        <v>3000</v>
      </c>
    </row>
    <row r="1982" spans="1:4">
      <c r="A1982" s="8" t="s">
        <v>403</v>
      </c>
      <c r="B1982" s="5">
        <v>1700042</v>
      </c>
      <c r="C1982" s="5" t="s">
        <v>307</v>
      </c>
      <c r="D1982" s="3">
        <f>VLOOKUP(B1982,Sheet2!$A:$O,10,0)</f>
        <v>3222</v>
      </c>
    </row>
    <row r="1983" spans="1:4">
      <c r="A1983" s="8" t="s">
        <v>403</v>
      </c>
      <c r="B1983" s="5">
        <v>1700043</v>
      </c>
      <c r="C1983" s="5" t="s">
        <v>308</v>
      </c>
      <c r="D1983" s="3">
        <f>VLOOKUP(B1983,Sheet2!$A:$O,10,0)</f>
        <v>4029</v>
      </c>
    </row>
    <row r="1984" spans="1:4">
      <c r="A1984" s="8" t="s">
        <v>403</v>
      </c>
      <c r="B1984" s="5">
        <v>1700044</v>
      </c>
      <c r="C1984" s="5" t="s">
        <v>309</v>
      </c>
      <c r="D1984" s="3">
        <f>VLOOKUP(B1984,Sheet2!$A:$O,10,0)</f>
        <v>7000</v>
      </c>
    </row>
    <row r="1985" spans="1:4">
      <c r="A1985" s="8" t="s">
        <v>403</v>
      </c>
      <c r="B1985" s="5">
        <v>1700045</v>
      </c>
      <c r="C1985" s="5" t="s">
        <v>310</v>
      </c>
      <c r="D1985" s="3">
        <f>VLOOKUP(B1985,Sheet2!$A:$O,10,0)</f>
        <v>3461</v>
      </c>
    </row>
    <row r="1986" spans="1:4">
      <c r="A1986" s="8" t="s">
        <v>403</v>
      </c>
      <c r="B1986" s="5">
        <v>1700046</v>
      </c>
      <c r="C1986" s="5" t="s">
        <v>311</v>
      </c>
      <c r="D1986" s="3">
        <f>VLOOKUP(B1986,Sheet2!$A:$O,10,0)</f>
        <v>6863</v>
      </c>
    </row>
    <row r="1987" spans="1:4">
      <c r="A1987" s="8" t="s">
        <v>403</v>
      </c>
      <c r="B1987" s="5">
        <v>1700047</v>
      </c>
      <c r="C1987" s="5" t="s">
        <v>312</v>
      </c>
      <c r="D1987" s="3">
        <f>VLOOKUP(B1987,Sheet2!$A:$O,10,0)</f>
        <v>22150</v>
      </c>
    </row>
    <row r="1988" spans="1:4">
      <c r="A1988" s="8" t="s">
        <v>403</v>
      </c>
      <c r="B1988" s="5">
        <v>1700048</v>
      </c>
      <c r="C1988" s="5" t="s">
        <v>313</v>
      </c>
      <c r="D1988" s="3">
        <f>VLOOKUP(B1988,Sheet2!$A:$O,10,0)</f>
        <v>13330</v>
      </c>
    </row>
    <row r="1989" spans="1:4">
      <c r="A1989" s="8" t="s">
        <v>403</v>
      </c>
      <c r="B1989" s="5">
        <v>1700049</v>
      </c>
      <c r="C1989" s="5" t="s">
        <v>314</v>
      </c>
      <c r="D1989" s="3">
        <f>VLOOKUP(B1989,Sheet2!$A:$O,10,0)</f>
        <v>5785</v>
      </c>
    </row>
    <row r="1990" spans="1:4">
      <c r="A1990" s="8" t="s">
        <v>403</v>
      </c>
      <c r="B1990" s="5">
        <v>1700050</v>
      </c>
      <c r="C1990" s="5" t="s">
        <v>315</v>
      </c>
      <c r="D1990" s="3">
        <f>VLOOKUP(B1990,Sheet2!$A:$O,10,0)</f>
        <v>39000</v>
      </c>
    </row>
    <row r="1991" spans="1:4">
      <c r="A1991" s="8" t="s">
        <v>403</v>
      </c>
      <c r="B1991" s="5">
        <v>1700051</v>
      </c>
      <c r="C1991" s="5" t="s">
        <v>316</v>
      </c>
      <c r="D1991" s="3">
        <f>VLOOKUP(B1991,Sheet2!$A:$O,10,0)</f>
        <v>11500</v>
      </c>
    </row>
    <row r="1992" spans="1:4">
      <c r="A1992" s="8" t="s">
        <v>403</v>
      </c>
      <c r="B1992" s="5">
        <v>1700052</v>
      </c>
      <c r="C1992" s="5" t="s">
        <v>317</v>
      </c>
      <c r="D1992" s="3">
        <f>VLOOKUP(B1992,Sheet2!$A:$O,10,0)</f>
        <v>3444</v>
      </c>
    </row>
    <row r="1993" spans="1:4">
      <c r="A1993" s="8" t="s">
        <v>403</v>
      </c>
      <c r="B1993" s="5">
        <v>1700053</v>
      </c>
      <c r="C1993" s="5" t="s">
        <v>318</v>
      </c>
      <c r="D1993" s="3">
        <f>VLOOKUP(B1993,Sheet2!$A:$O,10,0)</f>
        <v>15530</v>
      </c>
    </row>
    <row r="1994" spans="1:4">
      <c r="A1994" s="8" t="s">
        <v>403</v>
      </c>
      <c r="B1994" s="5">
        <v>1700054</v>
      </c>
      <c r="C1994" s="5" t="s">
        <v>319</v>
      </c>
      <c r="D1994" s="3">
        <f>VLOOKUP(B1994,Sheet2!$A:$O,10,0)</f>
        <v>11670</v>
      </c>
    </row>
    <row r="1995" spans="1:4">
      <c r="A1995" s="8" t="s">
        <v>403</v>
      </c>
      <c r="B1995" s="5">
        <v>1700055</v>
      </c>
      <c r="C1995" s="5" t="s">
        <v>320</v>
      </c>
      <c r="D1995" s="3">
        <f>VLOOKUP(B1995,Sheet2!$A:$O,10,0)</f>
        <v>11940</v>
      </c>
    </row>
    <row r="1996" spans="1:4">
      <c r="A1996" s="8" t="s">
        <v>403</v>
      </c>
      <c r="B1996" s="5">
        <v>1700056</v>
      </c>
      <c r="C1996" s="5" t="s">
        <v>321</v>
      </c>
      <c r="D1996" s="3">
        <f>VLOOKUP(B1996,Sheet2!$A:$O,10,0)</f>
        <v>6144</v>
      </c>
    </row>
    <row r="1997" spans="1:4">
      <c r="A1997" s="8" t="s">
        <v>403</v>
      </c>
      <c r="B1997" s="5">
        <v>1700057</v>
      </c>
      <c r="C1997" s="5" t="s">
        <v>322</v>
      </c>
      <c r="D1997" s="3">
        <f>VLOOKUP(B1997,Sheet2!$A:$O,10,0)</f>
        <v>2098</v>
      </c>
    </row>
    <row r="1998" spans="1:4">
      <c r="A1998" s="8" t="s">
        <v>403</v>
      </c>
      <c r="B1998" s="5">
        <v>1700058</v>
      </c>
      <c r="C1998" s="5" t="s">
        <v>323</v>
      </c>
      <c r="D1998" s="3">
        <f>VLOOKUP(B1998,Sheet2!$A:$O,10,0)</f>
        <v>5800</v>
      </c>
    </row>
    <row r="1999" spans="1:4">
      <c r="A1999" s="8" t="s">
        <v>403</v>
      </c>
      <c r="B1999" s="5">
        <v>1700059</v>
      </c>
      <c r="C1999" s="5" t="s">
        <v>324</v>
      </c>
      <c r="D1999" s="3">
        <f>VLOOKUP(B1999,Sheet2!$A:$O,10,0)</f>
        <v>27667</v>
      </c>
    </row>
    <row r="2000" spans="1:4">
      <c r="A2000" s="8" t="s">
        <v>403</v>
      </c>
      <c r="B2000" s="5">
        <v>1700060</v>
      </c>
      <c r="C2000" s="5" t="s">
        <v>325</v>
      </c>
      <c r="D2000" s="3">
        <f>VLOOKUP(B2000,Sheet2!$A:$O,10,0)</f>
        <v>3402</v>
      </c>
    </row>
    <row r="2001" spans="1:4">
      <c r="A2001" s="8" t="s">
        <v>403</v>
      </c>
      <c r="B2001" s="5">
        <v>1700061</v>
      </c>
      <c r="C2001" s="5" t="s">
        <v>326</v>
      </c>
      <c r="D2001" s="3">
        <f>VLOOKUP(B2001,Sheet2!$A:$O,10,0)</f>
        <v>8920</v>
      </c>
    </row>
    <row r="2002" spans="1:4">
      <c r="A2002" s="8" t="s">
        <v>403</v>
      </c>
      <c r="B2002" s="5">
        <v>1700062</v>
      </c>
      <c r="C2002" s="5" t="s">
        <v>327</v>
      </c>
      <c r="D2002" s="3">
        <f>VLOOKUP(B2002,Sheet2!$A:$O,10,0)</f>
        <v>10520</v>
      </c>
    </row>
    <row r="2003" spans="1:4">
      <c r="A2003" s="8" t="s">
        <v>403</v>
      </c>
      <c r="B2003" s="5">
        <v>1700063</v>
      </c>
      <c r="C2003" s="5" t="s">
        <v>328</v>
      </c>
      <c r="D2003" s="3">
        <f>VLOOKUP(B2003,Sheet2!$A:$O,10,0)</f>
        <v>10550</v>
      </c>
    </row>
    <row r="2004" spans="1:4">
      <c r="A2004" s="8" t="s">
        <v>403</v>
      </c>
      <c r="B2004" s="5">
        <v>1700064</v>
      </c>
      <c r="C2004" s="5" t="s">
        <v>329</v>
      </c>
      <c r="D2004" s="3">
        <f>VLOOKUP(B2004,Sheet2!$A:$O,10,0)</f>
        <v>11060</v>
      </c>
    </row>
    <row r="2005" spans="1:4">
      <c r="A2005" s="8" t="s">
        <v>403</v>
      </c>
      <c r="B2005" s="5">
        <v>1700065</v>
      </c>
      <c r="C2005" s="5" t="s">
        <v>330</v>
      </c>
      <c r="D2005" s="3">
        <f>VLOOKUP(B2005,Sheet2!$A:$O,10,0)</f>
        <v>12760</v>
      </c>
    </row>
    <row r="2006" spans="1:4">
      <c r="A2006" s="8" t="s">
        <v>403</v>
      </c>
      <c r="B2006" s="5">
        <v>1700066</v>
      </c>
      <c r="C2006" s="5" t="s">
        <v>331</v>
      </c>
      <c r="D2006" s="3">
        <f>VLOOKUP(B2006,Sheet2!$A:$O,10,0)</f>
        <v>13200</v>
      </c>
    </row>
    <row r="2007" spans="1:4">
      <c r="A2007" s="8" t="s">
        <v>403</v>
      </c>
      <c r="B2007" s="5">
        <v>1700067</v>
      </c>
      <c r="C2007" s="5" t="s">
        <v>332</v>
      </c>
      <c r="D2007" s="3">
        <f>VLOOKUP(B2007,Sheet2!$A:$O,10,0)</f>
        <v>10720</v>
      </c>
    </row>
    <row r="2008" spans="1:4">
      <c r="A2008" s="8" t="s">
        <v>403</v>
      </c>
      <c r="B2008" s="5">
        <v>1700068</v>
      </c>
      <c r="C2008" s="5" t="s">
        <v>333</v>
      </c>
      <c r="D2008" s="3">
        <f>VLOOKUP(B2008,Sheet2!$A:$O,10,0)</f>
        <v>12720</v>
      </c>
    </row>
    <row r="2009" spans="1:4">
      <c r="A2009" s="8" t="s">
        <v>403</v>
      </c>
      <c r="B2009" s="5">
        <v>1700069</v>
      </c>
      <c r="C2009" s="5" t="s">
        <v>334</v>
      </c>
      <c r="D2009" s="3">
        <f>VLOOKUP(B2009,Sheet2!$A:$O,10,0)</f>
        <v>14000</v>
      </c>
    </row>
    <row r="2010" spans="1:4">
      <c r="A2010" s="8" t="s">
        <v>403</v>
      </c>
      <c r="B2010" s="5">
        <v>1700070</v>
      </c>
      <c r="C2010" s="5" t="s">
        <v>335</v>
      </c>
      <c r="D2010" s="3">
        <f>VLOOKUP(B2010,Sheet2!$A:$O,10,0)</f>
        <v>1618</v>
      </c>
    </row>
    <row r="2011" spans="1:4">
      <c r="A2011" s="8" t="s">
        <v>403</v>
      </c>
      <c r="B2011" s="5">
        <v>1700071</v>
      </c>
      <c r="C2011" s="5" t="s">
        <v>336</v>
      </c>
      <c r="D2011" s="3">
        <f>VLOOKUP(B2011,Sheet2!$A:$O,10,0)</f>
        <v>12190</v>
      </c>
    </row>
    <row r="2012" spans="1:4">
      <c r="A2012" s="8" t="s">
        <v>403</v>
      </c>
      <c r="B2012" s="5">
        <v>1700072</v>
      </c>
      <c r="C2012" s="5" t="s">
        <v>337</v>
      </c>
      <c r="D2012" s="3">
        <f>VLOOKUP(B2012,Sheet2!$A:$O,10,0)</f>
        <v>10180</v>
      </c>
    </row>
    <row r="2013" spans="1:4">
      <c r="A2013" s="8" t="s">
        <v>403</v>
      </c>
      <c r="B2013" s="5">
        <v>1700073</v>
      </c>
      <c r="C2013" s="5" t="s">
        <v>338</v>
      </c>
      <c r="D2013" s="3">
        <f>VLOOKUP(B2013,Sheet2!$A:$O,10,0)</f>
        <v>9020</v>
      </c>
    </row>
    <row r="2014" spans="1:4">
      <c r="A2014" s="8" t="s">
        <v>403</v>
      </c>
      <c r="B2014" s="5">
        <v>1700076</v>
      </c>
      <c r="C2014" s="5" t="s">
        <v>339</v>
      </c>
      <c r="D2014" s="3">
        <f>VLOOKUP(B2014,Sheet2!$A:$O,10,0)</f>
        <v>3520</v>
      </c>
    </row>
    <row r="2015" spans="1:4">
      <c r="A2015" s="8" t="s">
        <v>403</v>
      </c>
      <c r="B2015" s="5">
        <v>1700077</v>
      </c>
      <c r="C2015" s="5" t="s">
        <v>340</v>
      </c>
      <c r="D2015" s="3">
        <f>VLOOKUP(B2015,Sheet2!$A:$O,10,0)</f>
        <v>3520</v>
      </c>
    </row>
    <row r="2016" spans="1:4">
      <c r="A2016" s="8" t="s">
        <v>403</v>
      </c>
      <c r="B2016" s="5">
        <v>1700078</v>
      </c>
      <c r="C2016" s="5" t="s">
        <v>341</v>
      </c>
      <c r="D2016" s="3">
        <f>VLOOKUP(B2016,Sheet2!$A:$O,10,0)</f>
        <v>4520</v>
      </c>
    </row>
    <row r="2017" spans="1:4">
      <c r="A2017" s="8" t="s">
        <v>403</v>
      </c>
      <c r="B2017" s="5">
        <v>1700080</v>
      </c>
      <c r="C2017" s="5" t="s">
        <v>342</v>
      </c>
      <c r="D2017" s="3">
        <f>VLOOKUP(B2017,Sheet2!$A:$O,10,0)</f>
        <v>3529</v>
      </c>
    </row>
    <row r="2018" spans="1:4">
      <c r="A2018" s="8" t="s">
        <v>403</v>
      </c>
      <c r="B2018" s="5">
        <v>1700083</v>
      </c>
      <c r="C2018" s="5" t="s">
        <v>343</v>
      </c>
      <c r="D2018" s="3">
        <f>VLOOKUP(B2018,Sheet2!$A:$O,10,0)</f>
        <v>8333</v>
      </c>
    </row>
    <row r="2019" spans="1:4">
      <c r="A2019" s="8" t="s">
        <v>403</v>
      </c>
      <c r="B2019" s="5">
        <v>1700084</v>
      </c>
      <c r="C2019" s="5" t="s">
        <v>344</v>
      </c>
      <c r="D2019" s="3">
        <f>VLOOKUP(B2019,Sheet2!$A:$O,10,0)</f>
        <v>6282</v>
      </c>
    </row>
    <row r="2020" spans="1:4">
      <c r="A2020" s="8" t="s">
        <v>403</v>
      </c>
      <c r="B2020" s="5">
        <v>1700085</v>
      </c>
      <c r="C2020" s="5" t="s">
        <v>345</v>
      </c>
      <c r="D2020" s="3">
        <f>VLOOKUP(B2020,Sheet2!$A:$O,10,0)</f>
        <v>7860</v>
      </c>
    </row>
    <row r="2021" spans="1:4">
      <c r="A2021" s="8" t="s">
        <v>403</v>
      </c>
      <c r="B2021" s="5">
        <v>1700086</v>
      </c>
      <c r="C2021" s="5" t="s">
        <v>346</v>
      </c>
      <c r="D2021" s="3">
        <f>VLOOKUP(B2021,Sheet2!$A:$O,10,0)</f>
        <v>1814</v>
      </c>
    </row>
    <row r="2022" spans="1:4">
      <c r="A2022" s="8" t="s">
        <v>403</v>
      </c>
      <c r="B2022" s="5">
        <v>1700087</v>
      </c>
      <c r="C2022" s="5" t="s">
        <v>347</v>
      </c>
      <c r="D2022" s="3">
        <f>VLOOKUP(B2022,Sheet2!$A:$O,10,0)</f>
        <v>4890</v>
      </c>
    </row>
    <row r="2023" spans="1:4">
      <c r="A2023" s="8" t="s">
        <v>403</v>
      </c>
      <c r="B2023" s="5">
        <v>1700088</v>
      </c>
      <c r="C2023" s="5" t="s">
        <v>348</v>
      </c>
      <c r="D2023" s="3">
        <f>VLOOKUP(B2023,Sheet2!$A:$O,10,0)</f>
        <v>15500</v>
      </c>
    </row>
    <row r="2024" spans="1:4">
      <c r="A2024" s="8" t="s">
        <v>403</v>
      </c>
      <c r="B2024" s="5">
        <v>1700089</v>
      </c>
      <c r="C2024" s="5" t="s">
        <v>349</v>
      </c>
      <c r="D2024" s="3">
        <f>VLOOKUP(B2024,Sheet2!$A:$O,10,0)</f>
        <v>18500</v>
      </c>
    </row>
    <row r="2025" spans="1:4">
      <c r="A2025" s="8" t="s">
        <v>403</v>
      </c>
      <c r="B2025" s="5">
        <v>1700090</v>
      </c>
      <c r="C2025" s="5" t="s">
        <v>350</v>
      </c>
      <c r="D2025" s="3">
        <f>VLOOKUP(B2025,Sheet2!$A:$O,10,0)</f>
        <v>25490</v>
      </c>
    </row>
    <row r="2026" spans="1:4">
      <c r="A2026" s="8" t="s">
        <v>403</v>
      </c>
      <c r="B2026" s="5">
        <v>1700091</v>
      </c>
      <c r="C2026" s="5" t="s">
        <v>351</v>
      </c>
      <c r="D2026" s="3">
        <f>VLOOKUP(B2026,Sheet2!$A:$O,10,0)</f>
        <v>18353</v>
      </c>
    </row>
    <row r="2027" spans="1:4">
      <c r="A2027" s="8" t="s">
        <v>403</v>
      </c>
      <c r="B2027" s="5">
        <v>1700092</v>
      </c>
      <c r="C2027" s="5" t="s">
        <v>352</v>
      </c>
      <c r="D2027" s="3">
        <f>VLOOKUP(B2027,Sheet2!$A:$O,10,0)</f>
        <v>1863</v>
      </c>
    </row>
    <row r="2028" spans="1:4">
      <c r="A2028" s="8" t="s">
        <v>403</v>
      </c>
      <c r="B2028" s="5">
        <v>1700093</v>
      </c>
      <c r="C2028" s="5" t="s">
        <v>353</v>
      </c>
      <c r="D2028" s="3">
        <f>VLOOKUP(B2028,Sheet2!$A:$O,10,0)</f>
        <v>11180</v>
      </c>
    </row>
    <row r="2029" spans="1:4">
      <c r="A2029" s="8" t="s">
        <v>403</v>
      </c>
      <c r="B2029" s="5">
        <v>1700094</v>
      </c>
      <c r="C2029" s="5" t="s">
        <v>354</v>
      </c>
      <c r="D2029" s="3">
        <f>VLOOKUP(B2029,Sheet2!$A:$O,10,0)</f>
        <v>13529</v>
      </c>
    </row>
    <row r="2030" spans="1:4">
      <c r="A2030" s="8" t="s">
        <v>403</v>
      </c>
      <c r="B2030" s="5">
        <v>1700095</v>
      </c>
      <c r="C2030" s="5" t="s">
        <v>355</v>
      </c>
      <c r="D2030" s="3">
        <f>VLOOKUP(B2030,Sheet2!$A:$O,10,0)</f>
        <v>4500</v>
      </c>
    </row>
    <row r="2031" spans="1:4">
      <c r="A2031" s="8" t="s">
        <v>403</v>
      </c>
      <c r="B2031" s="5">
        <v>1700096</v>
      </c>
      <c r="C2031" s="5" t="s">
        <v>356</v>
      </c>
      <c r="D2031" s="3">
        <f>VLOOKUP(B2031,Sheet2!$A:$O,10,0)</f>
        <v>24510</v>
      </c>
    </row>
    <row r="2032" spans="1:4">
      <c r="A2032" s="8" t="s">
        <v>403</v>
      </c>
      <c r="B2032" s="5">
        <v>1700097</v>
      </c>
      <c r="C2032" s="5" t="s">
        <v>357</v>
      </c>
      <c r="D2032" s="3">
        <f>VLOOKUP(B2032,Sheet2!$A:$O,10,0)</f>
        <v>19608</v>
      </c>
    </row>
    <row r="2033" spans="1:4">
      <c r="A2033" s="8" t="s">
        <v>403</v>
      </c>
      <c r="B2033" s="5">
        <v>1700098</v>
      </c>
      <c r="C2033" s="5" t="s">
        <v>358</v>
      </c>
      <c r="D2033" s="3">
        <f>VLOOKUP(B2033,Sheet2!$A:$O,10,0)</f>
        <v>19608</v>
      </c>
    </row>
    <row r="2034" spans="1:4">
      <c r="A2034" s="8" t="s">
        <v>403</v>
      </c>
      <c r="B2034" s="5">
        <v>1700099</v>
      </c>
      <c r="C2034" s="5" t="s">
        <v>359</v>
      </c>
      <c r="D2034" s="3">
        <f>VLOOKUP(B2034,Sheet2!$A:$O,10,0)</f>
        <v>9000</v>
      </c>
    </row>
    <row r="2035" spans="1:4">
      <c r="A2035" s="8" t="s">
        <v>403</v>
      </c>
      <c r="B2035" s="5">
        <v>1700100</v>
      </c>
      <c r="C2035" s="5" t="s">
        <v>360</v>
      </c>
      <c r="D2035" s="3">
        <f>VLOOKUP(B2035,Sheet2!$A:$O,10,0)</f>
        <v>3030</v>
      </c>
    </row>
    <row r="2036" spans="1:4">
      <c r="A2036" s="8" t="s">
        <v>403</v>
      </c>
      <c r="B2036" s="5">
        <v>1700101</v>
      </c>
      <c r="C2036" s="5" t="s">
        <v>361</v>
      </c>
      <c r="D2036" s="3">
        <f>VLOOKUP(B2036,Sheet2!$A:$O,10,0)</f>
        <v>8647</v>
      </c>
    </row>
    <row r="2037" spans="1:4">
      <c r="A2037" s="8" t="s">
        <v>403</v>
      </c>
      <c r="B2037" s="5">
        <v>1700102</v>
      </c>
      <c r="C2037" s="5" t="s">
        <v>362</v>
      </c>
      <c r="D2037" s="3">
        <f>VLOOKUP(B2037,Sheet2!$A:$O,10,0)</f>
        <v>40196</v>
      </c>
    </row>
    <row r="2038" spans="1:4">
      <c r="A2038" s="8" t="s">
        <v>403</v>
      </c>
      <c r="B2038" s="5">
        <v>1700103</v>
      </c>
      <c r="C2038" s="5" t="s">
        <v>363</v>
      </c>
      <c r="D2038" s="3">
        <f>VLOOKUP(B2038,Sheet2!$A:$O,10,0)</f>
        <v>9000</v>
      </c>
    </row>
    <row r="2039" spans="1:4">
      <c r="A2039" s="8" t="s">
        <v>403</v>
      </c>
      <c r="B2039" s="5">
        <v>1700104</v>
      </c>
      <c r="C2039" s="5" t="s">
        <v>364</v>
      </c>
      <c r="D2039" s="3">
        <f>VLOOKUP(B2039,Sheet2!$A:$O,10,0)</f>
        <v>22620</v>
      </c>
    </row>
    <row r="2040" spans="1:4">
      <c r="A2040" s="8" t="s">
        <v>403</v>
      </c>
      <c r="B2040" s="5">
        <v>1700105</v>
      </c>
      <c r="C2040" s="5" t="s">
        <v>365</v>
      </c>
      <c r="D2040" s="3">
        <f>VLOOKUP(B2040,Sheet2!$A:$O,10,0)</f>
        <v>10588</v>
      </c>
    </row>
    <row r="2041" spans="1:4">
      <c r="A2041" s="8" t="s">
        <v>403</v>
      </c>
      <c r="B2041" s="5">
        <v>1700106</v>
      </c>
      <c r="C2041" s="5" t="s">
        <v>366</v>
      </c>
      <c r="D2041" s="3">
        <f>VLOOKUP(B2041,Sheet2!$A:$O,10,0)</f>
        <v>14020</v>
      </c>
    </row>
    <row r="2042" spans="1:4">
      <c r="A2042" s="8" t="s">
        <v>403</v>
      </c>
      <c r="B2042" s="5">
        <v>1700107</v>
      </c>
      <c r="C2042" s="5" t="s">
        <v>367</v>
      </c>
      <c r="D2042" s="3">
        <f>VLOOKUP(B2042,Sheet2!$A:$O,10,0)</f>
        <v>9020</v>
      </c>
    </row>
    <row r="2043" spans="1:4">
      <c r="A2043" s="8" t="s">
        <v>403</v>
      </c>
      <c r="B2043" s="5">
        <v>1800002</v>
      </c>
      <c r="C2043" s="5" t="s">
        <v>368</v>
      </c>
      <c r="D2043" s="3">
        <f>VLOOKUP(B2043,Sheet2!$A:$O,10,0)</f>
        <v>9520</v>
      </c>
    </row>
    <row r="2044" spans="1:4">
      <c r="A2044" s="8" t="s">
        <v>403</v>
      </c>
      <c r="B2044" s="5">
        <v>1800004</v>
      </c>
      <c r="C2044" s="5" t="s">
        <v>369</v>
      </c>
      <c r="D2044" s="3">
        <f>VLOOKUP(B2044,Sheet2!$A:$O,10,0)</f>
        <v>0</v>
      </c>
    </row>
    <row r="2045" spans="1:4">
      <c r="A2045" s="8" t="s">
        <v>403</v>
      </c>
      <c r="B2045" s="5">
        <v>1800005</v>
      </c>
      <c r="C2045" s="5" t="s">
        <v>370</v>
      </c>
      <c r="D2045" s="3">
        <f>VLOOKUP(B2045,Sheet2!$A:$O,10,0)</f>
        <v>0</v>
      </c>
    </row>
    <row r="2046" spans="1:4">
      <c r="A2046" s="8" t="s">
        <v>403</v>
      </c>
      <c r="B2046" s="5">
        <v>1800006</v>
      </c>
      <c r="C2046" s="5" t="s">
        <v>371</v>
      </c>
      <c r="D2046" s="3">
        <f>VLOOKUP(B2046,Sheet2!$A:$O,10,0)</f>
        <v>0</v>
      </c>
    </row>
    <row r="2047" spans="1:4">
      <c r="A2047" s="8" t="s">
        <v>403</v>
      </c>
      <c r="B2047" s="5">
        <v>1800007</v>
      </c>
      <c r="C2047" s="5" t="s">
        <v>372</v>
      </c>
      <c r="D2047" s="3">
        <f>VLOOKUP(B2047,Sheet2!$A:$O,10,0)</f>
        <v>10000</v>
      </c>
    </row>
    <row r="2048" spans="1:4">
      <c r="A2048" s="8" t="s">
        <v>403</v>
      </c>
      <c r="B2048" s="5">
        <v>1800008</v>
      </c>
      <c r="C2048" s="5" t="s">
        <v>373</v>
      </c>
      <c r="D2048" s="3">
        <f>VLOOKUP(B2048,Sheet2!$A:$O,10,0)</f>
        <v>10110</v>
      </c>
    </row>
    <row r="2049" spans="1:4">
      <c r="A2049" s="8" t="s">
        <v>403</v>
      </c>
      <c r="B2049" s="5">
        <v>1800009</v>
      </c>
      <c r="C2049" s="5" t="s">
        <v>374</v>
      </c>
      <c r="D2049" s="3">
        <f>VLOOKUP(B2049,Sheet2!$A:$O,10,0)</f>
        <v>11800</v>
      </c>
    </row>
    <row r="2050" spans="1:4">
      <c r="A2050" s="8" t="s">
        <v>403</v>
      </c>
      <c r="B2050" s="5">
        <v>1800010</v>
      </c>
      <c r="C2050" s="5" t="s">
        <v>375</v>
      </c>
      <c r="D2050" s="3">
        <f>VLOOKUP(B2050,Sheet2!$A:$O,10,0)</f>
        <v>5784</v>
      </c>
    </row>
    <row r="2051" spans="1:4">
      <c r="A2051" s="8" t="s">
        <v>403</v>
      </c>
      <c r="B2051" s="5">
        <v>1800011</v>
      </c>
      <c r="C2051" s="5" t="s">
        <v>376</v>
      </c>
      <c r="D2051" s="3">
        <f>VLOOKUP(B2051,Sheet2!$A:$O,10,0)</f>
        <v>9363</v>
      </c>
    </row>
    <row r="2052" spans="1:4">
      <c r="A2052" s="8" t="s">
        <v>403</v>
      </c>
      <c r="B2052" s="5">
        <v>1800012</v>
      </c>
      <c r="C2052" s="5" t="s">
        <v>377</v>
      </c>
      <c r="D2052" s="3">
        <f>VLOOKUP(B2052,Sheet2!$A:$O,10,0)</f>
        <v>5725</v>
      </c>
    </row>
    <row r="2053" spans="1:4">
      <c r="A2053" s="8" t="s">
        <v>403</v>
      </c>
      <c r="B2053" s="5">
        <v>1800013</v>
      </c>
      <c r="C2053" s="5" t="s">
        <v>378</v>
      </c>
      <c r="D2053" s="3">
        <f>VLOOKUP(B2053,Sheet2!$A:$O,10,0)</f>
        <v>49100</v>
      </c>
    </row>
    <row r="2054" spans="1:4">
      <c r="A2054" s="8" t="s">
        <v>403</v>
      </c>
      <c r="B2054" s="5">
        <v>1800014</v>
      </c>
      <c r="C2054" s="5" t="s">
        <v>379</v>
      </c>
      <c r="D2054" s="3">
        <f>VLOOKUP(B2054,Sheet2!$A:$O,10,0)</f>
        <v>70000</v>
      </c>
    </row>
    <row r="2055" spans="1:4">
      <c r="A2055" s="8" t="s">
        <v>403</v>
      </c>
      <c r="B2055" s="5">
        <v>1800015</v>
      </c>
      <c r="C2055" s="5" t="s">
        <v>380</v>
      </c>
      <c r="D2055" s="3">
        <f>VLOOKUP(B2055,Sheet2!$A:$O,10,0)</f>
        <v>66700</v>
      </c>
    </row>
    <row r="2056" spans="1:4">
      <c r="A2056" s="8" t="s">
        <v>403</v>
      </c>
      <c r="B2056" s="5">
        <v>1900013</v>
      </c>
      <c r="C2056" s="5" t="s">
        <v>381</v>
      </c>
      <c r="D2056" s="3">
        <f>VLOOKUP(B2056,Sheet2!$A:$O,10,0)</f>
        <v>0</v>
      </c>
    </row>
    <row r="2057" spans="1:4">
      <c r="A2057" s="8" t="s">
        <v>403</v>
      </c>
      <c r="B2057" s="5">
        <v>1900018</v>
      </c>
      <c r="C2057" s="5" t="s">
        <v>382</v>
      </c>
      <c r="D2057" s="3">
        <f>VLOOKUP(B2057,Sheet2!$A:$O,10,0)</f>
        <v>0</v>
      </c>
    </row>
    <row r="2058" spans="1:4">
      <c r="A2058" s="8" t="s">
        <v>404</v>
      </c>
      <c r="B2058" s="5">
        <v>1010101</v>
      </c>
      <c r="C2058" s="5" t="s">
        <v>5</v>
      </c>
      <c r="D2058" s="3">
        <f>VLOOKUP(B2058,Sheet2!$A:$O,11,0)</f>
        <v>697</v>
      </c>
    </row>
    <row r="2059" spans="1:4">
      <c r="A2059" s="8" t="s">
        <v>404</v>
      </c>
      <c r="B2059" s="5">
        <v>1010111</v>
      </c>
      <c r="C2059" s="5" t="s">
        <v>9</v>
      </c>
      <c r="D2059" s="3">
        <f>VLOOKUP(B2059,Sheet2!$A:$O,11,0)</f>
        <v>19100</v>
      </c>
    </row>
    <row r="2060" spans="1:4">
      <c r="A2060" s="8" t="s">
        <v>404</v>
      </c>
      <c r="B2060" s="5">
        <v>1010201</v>
      </c>
      <c r="C2060" s="5" t="s">
        <v>11</v>
      </c>
      <c r="D2060" s="3">
        <f>VLOOKUP(B2060,Sheet2!$A:$O,11,0)</f>
        <v>882</v>
      </c>
    </row>
    <row r="2061" spans="1:4">
      <c r="A2061" s="8" t="s">
        <v>404</v>
      </c>
      <c r="B2061" s="5">
        <v>1010300</v>
      </c>
      <c r="C2061" s="5" t="s">
        <v>213</v>
      </c>
      <c r="D2061" s="3">
        <f>VLOOKUP(B2061,Sheet2!$A:$O,11,0)</f>
        <v>5490</v>
      </c>
    </row>
    <row r="2062" spans="1:4">
      <c r="A2062" s="8" t="s">
        <v>404</v>
      </c>
      <c r="B2062" s="5">
        <v>1010301</v>
      </c>
      <c r="C2062" s="5" t="s">
        <v>214</v>
      </c>
      <c r="D2062" s="3">
        <f>VLOOKUP(B2062,Sheet2!$A:$O,11,0)</f>
        <v>6730</v>
      </c>
    </row>
    <row r="2063" spans="1:4">
      <c r="A2063" s="8" t="s">
        <v>404</v>
      </c>
      <c r="B2063" s="5">
        <v>1010302</v>
      </c>
      <c r="C2063" s="5" t="s">
        <v>16</v>
      </c>
      <c r="D2063" s="3">
        <f>VLOOKUP(B2063,Sheet2!$A:$O,11,0)</f>
        <v>4216</v>
      </c>
    </row>
    <row r="2064" spans="1:4">
      <c r="A2064" s="8" t="s">
        <v>404</v>
      </c>
      <c r="B2064" s="5">
        <v>1010303</v>
      </c>
      <c r="C2064" s="5" t="s">
        <v>18</v>
      </c>
      <c r="D2064" s="3">
        <f>VLOOKUP(B2064,Sheet2!$A:$O,11,0)</f>
        <v>882</v>
      </c>
    </row>
    <row r="2065" spans="1:4">
      <c r="A2065" s="8" t="s">
        <v>404</v>
      </c>
      <c r="B2065" s="5">
        <v>1010304</v>
      </c>
      <c r="C2065" s="5" t="s">
        <v>215</v>
      </c>
      <c r="D2065" s="3">
        <f>VLOOKUP(B2065,Sheet2!$A:$O,11,0)</f>
        <v>1225</v>
      </c>
    </row>
    <row r="2066" spans="1:4">
      <c r="A2066" s="8" t="s">
        <v>404</v>
      </c>
      <c r="B2066" s="5">
        <v>1010401</v>
      </c>
      <c r="C2066" s="5" t="s">
        <v>20</v>
      </c>
      <c r="D2066" s="3">
        <f>VLOOKUP(B2066,Sheet2!$A:$O,11,0)</f>
        <v>3627</v>
      </c>
    </row>
    <row r="2067" spans="1:4">
      <c r="A2067" s="8" t="s">
        <v>404</v>
      </c>
      <c r="B2067" s="5">
        <v>1010405</v>
      </c>
      <c r="C2067" s="5" t="s">
        <v>22</v>
      </c>
      <c r="D2067" s="3">
        <f>VLOOKUP(B2067,Sheet2!$A:$O,11,0)</f>
        <v>9975</v>
      </c>
    </row>
    <row r="2068" spans="1:4">
      <c r="A2068" s="8" t="s">
        <v>404</v>
      </c>
      <c r="B2068" s="5">
        <v>1010501</v>
      </c>
      <c r="C2068" s="5" t="s">
        <v>24</v>
      </c>
      <c r="D2068" s="3">
        <f>VLOOKUP(B2068,Sheet2!$A:$O,11,0)</f>
        <v>980</v>
      </c>
    </row>
    <row r="2069" spans="1:4">
      <c r="A2069" s="8" t="s">
        <v>404</v>
      </c>
      <c r="B2069" s="5">
        <v>1010502</v>
      </c>
      <c r="C2069" s="5" t="s">
        <v>216</v>
      </c>
      <c r="D2069" s="3">
        <f>VLOOKUP(B2069,Sheet2!$A:$O,11,0)</f>
        <v>0</v>
      </c>
    </row>
    <row r="2070" spans="1:4">
      <c r="A2070" s="8" t="s">
        <v>404</v>
      </c>
      <c r="B2070" s="5">
        <v>1010601</v>
      </c>
      <c r="C2070" s="5" t="s">
        <v>26</v>
      </c>
      <c r="D2070" s="3">
        <f>VLOOKUP(B2070,Sheet2!$A:$O,11,0)</f>
        <v>4412</v>
      </c>
    </row>
    <row r="2071" spans="1:4">
      <c r="A2071" s="8" t="s">
        <v>404</v>
      </c>
      <c r="B2071" s="5">
        <v>1010701</v>
      </c>
      <c r="C2071" s="5" t="s">
        <v>28</v>
      </c>
      <c r="D2071" s="3">
        <f>VLOOKUP(B2071,Sheet2!$A:$O,11,0)</f>
        <v>686</v>
      </c>
    </row>
    <row r="2072" spans="1:4">
      <c r="A2072" s="8" t="s">
        <v>404</v>
      </c>
      <c r="B2072" s="5">
        <v>1010801</v>
      </c>
      <c r="C2072" s="5" t="s">
        <v>30</v>
      </c>
      <c r="D2072" s="3">
        <f>VLOOKUP(B2072,Sheet2!$A:$O,11,0)</f>
        <v>7157</v>
      </c>
    </row>
    <row r="2073" spans="1:4">
      <c r="A2073" s="8" t="s">
        <v>404</v>
      </c>
      <c r="B2073" s="5">
        <v>1010901</v>
      </c>
      <c r="C2073" s="5" t="s">
        <v>32</v>
      </c>
      <c r="D2073" s="3">
        <f>VLOOKUP(B2073,Sheet2!$A:$O,11,0)</f>
        <v>4902</v>
      </c>
    </row>
    <row r="2074" spans="1:4">
      <c r="A2074" s="8" t="s">
        <v>404</v>
      </c>
      <c r="B2074" s="5">
        <v>1020101</v>
      </c>
      <c r="C2074" s="5" t="s">
        <v>34</v>
      </c>
      <c r="D2074" s="3">
        <f>VLOOKUP(B2074,Sheet2!$A:$O,11,0)</f>
        <v>17451</v>
      </c>
    </row>
    <row r="2075" spans="1:4">
      <c r="A2075" s="8" t="s">
        <v>404</v>
      </c>
      <c r="B2075" s="5">
        <v>1020201</v>
      </c>
      <c r="C2075" s="5" t="s">
        <v>217</v>
      </c>
      <c r="D2075" s="3">
        <f>VLOOKUP(B2075,Sheet2!$A:$O,11,0)</f>
        <v>5600</v>
      </c>
    </row>
    <row r="2076" spans="1:4">
      <c r="A2076" s="8" t="s">
        <v>404</v>
      </c>
      <c r="B2076" s="5">
        <v>1020301</v>
      </c>
      <c r="C2076" s="5" t="s">
        <v>38</v>
      </c>
      <c r="D2076" s="3">
        <f>VLOOKUP(B2076,Sheet2!$A:$O,11,0)</f>
        <v>2100</v>
      </c>
    </row>
    <row r="2077" spans="1:4">
      <c r="A2077" s="8" t="s">
        <v>404</v>
      </c>
      <c r="B2077" s="5">
        <v>1020401</v>
      </c>
      <c r="C2077" s="5" t="s">
        <v>40</v>
      </c>
      <c r="D2077" s="3">
        <f>VLOOKUP(B2077,Sheet2!$A:$O,11,0)</f>
        <v>3500</v>
      </c>
    </row>
    <row r="2078" spans="1:4">
      <c r="A2078" s="8" t="s">
        <v>404</v>
      </c>
      <c r="B2078" s="5">
        <v>1030102</v>
      </c>
      <c r="C2078" s="5" t="s">
        <v>218</v>
      </c>
      <c r="D2078" s="3">
        <f>VLOOKUP(B2078,Sheet2!$A:$O,11,0)</f>
        <v>0</v>
      </c>
    </row>
    <row r="2079" spans="1:4">
      <c r="A2079" s="8" t="s">
        <v>404</v>
      </c>
      <c r="B2079" s="5">
        <v>1030201</v>
      </c>
      <c r="C2079" s="5" t="s">
        <v>42</v>
      </c>
      <c r="D2079" s="3">
        <f>VLOOKUP(B2079,Sheet2!$A:$O,11,0)</f>
        <v>2598</v>
      </c>
    </row>
    <row r="2080" spans="1:4">
      <c r="A2080" s="8" t="s">
        <v>404</v>
      </c>
      <c r="B2080" s="5">
        <v>1030203</v>
      </c>
      <c r="C2080" s="5" t="s">
        <v>219</v>
      </c>
      <c r="D2080" s="3">
        <f>VLOOKUP(B2080,Sheet2!$A:$O,11,0)</f>
        <v>0</v>
      </c>
    </row>
    <row r="2081" spans="1:4">
      <c r="A2081" s="8" t="s">
        <v>404</v>
      </c>
      <c r="B2081" s="5">
        <v>1030204</v>
      </c>
      <c r="C2081" s="5" t="s">
        <v>220</v>
      </c>
      <c r="D2081" s="3">
        <f>VLOOKUP(B2081,Sheet2!$A:$O,11,0)</f>
        <v>0</v>
      </c>
    </row>
    <row r="2082" spans="1:4">
      <c r="A2082" s="8" t="s">
        <v>404</v>
      </c>
      <c r="B2082" s="5">
        <v>1030205</v>
      </c>
      <c r="C2082" s="5" t="s">
        <v>44</v>
      </c>
      <c r="D2082" s="3">
        <f>VLOOKUP(B2082,Sheet2!$A:$O,11,0)</f>
        <v>5000</v>
      </c>
    </row>
    <row r="2083" spans="1:4">
      <c r="A2083" s="8" t="s">
        <v>404</v>
      </c>
      <c r="B2083" s="5">
        <v>1030206</v>
      </c>
      <c r="C2083" s="5" t="s">
        <v>46</v>
      </c>
      <c r="D2083" s="3">
        <f>VLOOKUP(B2083,Sheet2!$A:$O,11,0)</f>
        <v>6200</v>
      </c>
    </row>
    <row r="2084" spans="1:4">
      <c r="A2084" s="8" t="s">
        <v>404</v>
      </c>
      <c r="B2084" s="5">
        <v>1030207</v>
      </c>
      <c r="C2084" s="5" t="s">
        <v>48</v>
      </c>
      <c r="D2084" s="3">
        <f>VLOOKUP(B2084,Sheet2!$A:$O,11,0)</f>
        <v>4400</v>
      </c>
    </row>
    <row r="2085" spans="1:4">
      <c r="A2085" s="8" t="s">
        <v>404</v>
      </c>
      <c r="B2085" s="5">
        <v>1030501</v>
      </c>
      <c r="C2085" s="5" t="s">
        <v>50</v>
      </c>
      <c r="D2085" s="3">
        <f>VLOOKUP(B2085,Sheet2!$A:$O,11,0)</f>
        <v>1127</v>
      </c>
    </row>
    <row r="2086" spans="1:4">
      <c r="A2086" s="8" t="s">
        <v>404</v>
      </c>
      <c r="B2086" s="5">
        <v>1030601</v>
      </c>
      <c r="C2086" s="5" t="s">
        <v>52</v>
      </c>
      <c r="D2086" s="3">
        <f>VLOOKUP(B2086,Sheet2!$A:$O,11,0)</f>
        <v>3000</v>
      </c>
    </row>
    <row r="2087" spans="1:4">
      <c r="A2087" s="8" t="s">
        <v>404</v>
      </c>
      <c r="B2087" s="5">
        <v>1030701</v>
      </c>
      <c r="C2087" s="5" t="s">
        <v>221</v>
      </c>
      <c r="D2087" s="3">
        <f>VLOOKUP(B2087,Sheet2!$A:$O,11,0)</f>
        <v>3000</v>
      </c>
    </row>
    <row r="2088" spans="1:4">
      <c r="A2088" s="8" t="s">
        <v>404</v>
      </c>
      <c r="B2088" s="5">
        <v>1030705</v>
      </c>
      <c r="C2088" s="5" t="s">
        <v>222</v>
      </c>
      <c r="D2088" s="3">
        <f>VLOOKUP(B2088,Sheet2!$A:$O,11,0)</f>
        <v>0</v>
      </c>
    </row>
    <row r="2089" spans="1:4">
      <c r="A2089" s="8" t="s">
        <v>404</v>
      </c>
      <c r="B2089" s="5">
        <v>1030801</v>
      </c>
      <c r="C2089" s="5" t="s">
        <v>54</v>
      </c>
      <c r="D2089" s="3">
        <f>VLOOKUP(B2089,Sheet2!$A:$O,11,0)</f>
        <v>1373</v>
      </c>
    </row>
    <row r="2090" spans="1:4">
      <c r="A2090" s="8" t="s">
        <v>404</v>
      </c>
      <c r="B2090" s="5">
        <v>1030901</v>
      </c>
      <c r="C2090" s="5" t="s">
        <v>223</v>
      </c>
      <c r="D2090" s="3">
        <f>VLOOKUP(B2090,Sheet2!$A:$O,11,0)</f>
        <v>0</v>
      </c>
    </row>
    <row r="2091" spans="1:4">
      <c r="A2091" s="8" t="s">
        <v>404</v>
      </c>
      <c r="B2091" s="5">
        <v>1040201</v>
      </c>
      <c r="C2091" s="5" t="s">
        <v>56</v>
      </c>
      <c r="D2091" s="3">
        <f>VLOOKUP(B2091,Sheet2!$A:$O,11,0)</f>
        <v>1450</v>
      </c>
    </row>
    <row r="2092" spans="1:4">
      <c r="A2092" s="8" t="s">
        <v>404</v>
      </c>
      <c r="B2092" s="5">
        <v>1040202</v>
      </c>
      <c r="C2092" s="5" t="s">
        <v>224</v>
      </c>
      <c r="D2092" s="3">
        <f>VLOOKUP(B2092,Sheet2!$A:$O,11,0)</f>
        <v>0</v>
      </c>
    </row>
    <row r="2093" spans="1:4">
      <c r="A2093" s="8" t="s">
        <v>404</v>
      </c>
      <c r="B2093" s="5">
        <v>1040203</v>
      </c>
      <c r="C2093" s="5" t="s">
        <v>225</v>
      </c>
      <c r="D2093" s="3">
        <f>VLOOKUP(B2093,Sheet2!$A:$O,11,0)</f>
        <v>0</v>
      </c>
    </row>
    <row r="2094" spans="1:4">
      <c r="A2094" s="8" t="s">
        <v>404</v>
      </c>
      <c r="B2094" s="5">
        <v>1040204</v>
      </c>
      <c r="C2094" s="5" t="s">
        <v>226</v>
      </c>
      <c r="D2094" s="3">
        <f>VLOOKUP(B2094,Sheet2!$A:$O,11,0)</f>
        <v>7917</v>
      </c>
    </row>
    <row r="2095" spans="1:4">
      <c r="A2095" s="8" t="s">
        <v>404</v>
      </c>
      <c r="B2095" s="5">
        <v>1040301</v>
      </c>
      <c r="C2095" s="5" t="s">
        <v>58</v>
      </c>
      <c r="D2095" s="3">
        <f>VLOOKUP(B2095,Sheet2!$A:$O,11,0)</f>
        <v>1650</v>
      </c>
    </row>
    <row r="2096" spans="1:4">
      <c r="A2096" s="8" t="s">
        <v>404</v>
      </c>
      <c r="B2096" s="5">
        <v>1040401</v>
      </c>
      <c r="C2096" s="5" t="s">
        <v>227</v>
      </c>
      <c r="D2096" s="3">
        <f>VLOOKUP(B2096,Sheet2!$A:$O,11,0)</f>
        <v>0</v>
      </c>
    </row>
    <row r="2097" spans="1:4">
      <c r="A2097" s="8" t="s">
        <v>404</v>
      </c>
      <c r="B2097" s="5">
        <v>1050102</v>
      </c>
      <c r="C2097" s="5" t="s">
        <v>60</v>
      </c>
      <c r="D2097" s="3">
        <f>VLOOKUP(B2097,Sheet2!$A:$O,11,0)</f>
        <v>29500</v>
      </c>
    </row>
    <row r="2098" spans="1:4">
      <c r="A2098" s="8" t="s">
        <v>404</v>
      </c>
      <c r="B2098" s="5">
        <v>1050103</v>
      </c>
      <c r="C2098" s="5" t="s">
        <v>228</v>
      </c>
      <c r="D2098" s="3">
        <f>VLOOKUP(B2098,Sheet2!$A:$O,11,0)</f>
        <v>11275</v>
      </c>
    </row>
    <row r="2099" spans="1:4">
      <c r="A2099" s="8" t="s">
        <v>404</v>
      </c>
      <c r="B2099" s="5">
        <v>1050301</v>
      </c>
      <c r="C2099" s="5" t="s">
        <v>62</v>
      </c>
      <c r="D2099" s="3">
        <f>VLOOKUP(B2099,Sheet2!$A:$O,11,0)</f>
        <v>9804</v>
      </c>
    </row>
    <row r="2100" spans="1:4">
      <c r="A2100" s="8" t="s">
        <v>404</v>
      </c>
      <c r="B2100" s="5">
        <v>1050401</v>
      </c>
      <c r="C2100" s="5" t="s">
        <v>64</v>
      </c>
      <c r="D2100" s="3">
        <f>VLOOKUP(B2100,Sheet2!$A:$O,11,0)</f>
        <v>8824</v>
      </c>
    </row>
    <row r="2101" spans="1:4">
      <c r="A2101" s="8" t="s">
        <v>404</v>
      </c>
      <c r="B2101" s="5">
        <v>1050501</v>
      </c>
      <c r="C2101" s="5" t="s">
        <v>66</v>
      </c>
      <c r="D2101" s="3">
        <f>VLOOKUP(B2101,Sheet2!$A:$O,11,0)</f>
        <v>10784</v>
      </c>
    </row>
    <row r="2102" spans="1:4">
      <c r="A2102" s="8" t="s">
        <v>404</v>
      </c>
      <c r="B2102" s="5">
        <v>1050511</v>
      </c>
      <c r="C2102" s="5" t="s">
        <v>68</v>
      </c>
      <c r="D2102" s="3">
        <f>VLOOKUP(B2102,Sheet2!$A:$O,11,0)</f>
        <v>18000</v>
      </c>
    </row>
    <row r="2103" spans="1:4">
      <c r="A2103" s="8" t="s">
        <v>404</v>
      </c>
      <c r="B2103" s="5">
        <v>1050512</v>
      </c>
      <c r="C2103" s="5" t="s">
        <v>229</v>
      </c>
      <c r="D2103" s="3">
        <f>VLOOKUP(B2103,Sheet2!$A:$O,11,0)</f>
        <v>0</v>
      </c>
    </row>
    <row r="2104" spans="1:4">
      <c r="A2104" s="8" t="s">
        <v>404</v>
      </c>
      <c r="B2104" s="5">
        <v>1050521</v>
      </c>
      <c r="C2104" s="5" t="s">
        <v>70</v>
      </c>
      <c r="D2104" s="3">
        <f>VLOOKUP(B2104,Sheet2!$A:$O,11,0)</f>
        <v>14706</v>
      </c>
    </row>
    <row r="2105" spans="1:4">
      <c r="A2105" s="8" t="s">
        <v>404</v>
      </c>
      <c r="B2105" s="5">
        <v>1050531</v>
      </c>
      <c r="C2105" s="5" t="s">
        <v>72</v>
      </c>
      <c r="D2105" s="3">
        <f>VLOOKUP(B2105,Sheet2!$A:$O,11,0)</f>
        <v>21000</v>
      </c>
    </row>
    <row r="2106" spans="1:4">
      <c r="A2106" s="8" t="s">
        <v>404</v>
      </c>
      <c r="B2106" s="5">
        <v>1050541</v>
      </c>
      <c r="C2106" s="5" t="s">
        <v>74</v>
      </c>
      <c r="D2106" s="3">
        <f>VLOOKUP(B2106,Sheet2!$A:$O,11,0)</f>
        <v>11000</v>
      </c>
    </row>
    <row r="2107" spans="1:4">
      <c r="A2107" s="8" t="s">
        <v>404</v>
      </c>
      <c r="B2107" s="5">
        <v>1050551</v>
      </c>
      <c r="C2107" s="5" t="s">
        <v>76</v>
      </c>
      <c r="D2107" s="3">
        <f>VLOOKUP(B2107,Sheet2!$A:$O,11,0)</f>
        <v>54000</v>
      </c>
    </row>
    <row r="2108" spans="1:4">
      <c r="A2108" s="8" t="s">
        <v>404</v>
      </c>
      <c r="B2108" s="5">
        <v>1050561</v>
      </c>
      <c r="C2108" s="5" t="s">
        <v>78</v>
      </c>
      <c r="D2108" s="3">
        <f>VLOOKUP(B2108,Sheet2!$A:$O,11,0)</f>
        <v>77321</v>
      </c>
    </row>
    <row r="2109" spans="1:4">
      <c r="A2109" s="8" t="s">
        <v>404</v>
      </c>
      <c r="B2109" s="5">
        <v>1050571</v>
      </c>
      <c r="C2109" s="5" t="s">
        <v>80</v>
      </c>
      <c r="D2109" s="3">
        <f>VLOOKUP(B2109,Sheet2!$A:$O,11,0)</f>
        <v>58000</v>
      </c>
    </row>
    <row r="2110" spans="1:4">
      <c r="A2110" s="8" t="s">
        <v>404</v>
      </c>
      <c r="B2110" s="5">
        <v>1050581</v>
      </c>
      <c r="C2110" s="5" t="s">
        <v>82</v>
      </c>
      <c r="D2110" s="3">
        <f>VLOOKUP(B2110,Sheet2!$A:$O,11,0)</f>
        <v>57000</v>
      </c>
    </row>
    <row r="2111" spans="1:4">
      <c r="A2111" s="8" t="s">
        <v>404</v>
      </c>
      <c r="B2111" s="5">
        <v>1050591</v>
      </c>
      <c r="C2111" s="5" t="s">
        <v>84</v>
      </c>
      <c r="D2111" s="3">
        <f>VLOOKUP(B2111,Sheet2!$A:$O,11,0)</f>
        <v>97750</v>
      </c>
    </row>
    <row r="2112" spans="1:4">
      <c r="A2112" s="8" t="s">
        <v>404</v>
      </c>
      <c r="B2112" s="5">
        <v>1050601</v>
      </c>
      <c r="C2112" s="5" t="s">
        <v>86</v>
      </c>
      <c r="D2112" s="3">
        <f>VLOOKUP(B2112,Sheet2!$A:$O,11,0)</f>
        <v>5900</v>
      </c>
    </row>
    <row r="2113" spans="1:4">
      <c r="A2113" s="8" t="s">
        <v>404</v>
      </c>
      <c r="B2113" s="5">
        <v>1050701</v>
      </c>
      <c r="C2113" s="5" t="s">
        <v>88</v>
      </c>
      <c r="D2113" s="3">
        <f>VLOOKUP(B2113,Sheet2!$A:$O,11,0)</f>
        <v>5700</v>
      </c>
    </row>
    <row r="2114" spans="1:4">
      <c r="A2114" s="8" t="s">
        <v>404</v>
      </c>
      <c r="B2114" s="5">
        <v>1050702</v>
      </c>
      <c r="C2114" s="5" t="s">
        <v>90</v>
      </c>
      <c r="D2114" s="3">
        <f>VLOOKUP(B2114,Sheet2!$A:$O,11,0)</f>
        <v>6000</v>
      </c>
    </row>
    <row r="2115" spans="1:4">
      <c r="A2115" s="8" t="s">
        <v>404</v>
      </c>
      <c r="B2115" s="5">
        <v>1050711</v>
      </c>
      <c r="C2115" s="5" t="s">
        <v>92</v>
      </c>
      <c r="D2115" s="3">
        <f>VLOOKUP(B2115,Sheet2!$A:$O,11,0)</f>
        <v>2900</v>
      </c>
    </row>
    <row r="2116" spans="1:4">
      <c r="A2116" s="8" t="s">
        <v>404</v>
      </c>
      <c r="B2116" s="5">
        <v>1050721</v>
      </c>
      <c r="C2116" s="5" t="s">
        <v>94</v>
      </c>
      <c r="D2116" s="3">
        <f>VLOOKUP(B2116,Sheet2!$A:$O,11,0)</f>
        <v>14800</v>
      </c>
    </row>
    <row r="2117" spans="1:4">
      <c r="A2117" s="8" t="s">
        <v>404</v>
      </c>
      <c r="B2117" s="5">
        <v>1050801</v>
      </c>
      <c r="C2117" s="5" t="s">
        <v>7</v>
      </c>
      <c r="D2117" s="3">
        <f>VLOOKUP(B2117,Sheet2!$A:$O,11,0)</f>
        <v>1006</v>
      </c>
    </row>
    <row r="2118" spans="1:4">
      <c r="A2118" s="8" t="s">
        <v>404</v>
      </c>
      <c r="B2118" s="5">
        <v>1050901</v>
      </c>
      <c r="C2118" s="5" t="s">
        <v>96</v>
      </c>
      <c r="D2118" s="3">
        <f>VLOOKUP(B2118,Sheet2!$A:$O,11,0)</f>
        <v>1283</v>
      </c>
    </row>
    <row r="2119" spans="1:4">
      <c r="A2119" s="8" t="s">
        <v>404</v>
      </c>
      <c r="B2119" s="5">
        <v>1060101</v>
      </c>
      <c r="C2119" s="5" t="s">
        <v>98</v>
      </c>
      <c r="D2119" s="3">
        <f>VLOOKUP(B2119,Sheet2!$A:$O,11,0)</f>
        <v>2195</v>
      </c>
    </row>
    <row r="2120" spans="1:4">
      <c r="A2120" s="8" t="s">
        <v>404</v>
      </c>
      <c r="B2120" s="5">
        <v>1060401</v>
      </c>
      <c r="C2120" s="5" t="s">
        <v>100</v>
      </c>
      <c r="D2120" s="3">
        <f>VLOOKUP(B2120,Sheet2!$A:$O,11,0)</f>
        <v>71000</v>
      </c>
    </row>
    <row r="2121" spans="1:4">
      <c r="A2121" s="8" t="s">
        <v>404</v>
      </c>
      <c r="B2121" s="5">
        <v>1060412</v>
      </c>
      <c r="C2121" s="5" t="s">
        <v>230</v>
      </c>
      <c r="D2121" s="3">
        <f>VLOOKUP(B2121,Sheet2!$A:$O,11,0)</f>
        <v>33000</v>
      </c>
    </row>
    <row r="2122" spans="1:4">
      <c r="A2122" s="8" t="s">
        <v>404</v>
      </c>
      <c r="B2122" s="5">
        <v>1060421</v>
      </c>
      <c r="C2122" s="5" t="s">
        <v>104</v>
      </c>
      <c r="D2122" s="3">
        <f>VLOOKUP(B2122,Sheet2!$A:$O,11,0)</f>
        <v>130000</v>
      </c>
    </row>
    <row r="2123" spans="1:4">
      <c r="A2123" s="8" t="s">
        <v>404</v>
      </c>
      <c r="B2123" s="5">
        <v>1060441</v>
      </c>
      <c r="C2123" s="5" t="s">
        <v>106</v>
      </c>
      <c r="D2123" s="3">
        <f>VLOOKUP(B2123,Sheet2!$A:$O,11,0)</f>
        <v>6500</v>
      </c>
    </row>
    <row r="2124" spans="1:4">
      <c r="A2124" s="8" t="s">
        <v>404</v>
      </c>
      <c r="B2124" s="5">
        <v>1060451</v>
      </c>
      <c r="C2124" s="5" t="s">
        <v>108</v>
      </c>
      <c r="D2124" s="3">
        <f>VLOOKUP(B2124,Sheet2!$A:$O,11,0)</f>
        <v>38235</v>
      </c>
    </row>
    <row r="2125" spans="1:4">
      <c r="A2125" s="8" t="s">
        <v>404</v>
      </c>
      <c r="B2125" s="5">
        <v>1070101</v>
      </c>
      <c r="C2125" s="5" t="s">
        <v>110</v>
      </c>
      <c r="D2125" s="3">
        <f>VLOOKUP(B2125,Sheet2!$A:$O,11,0)</f>
        <v>3820</v>
      </c>
    </row>
    <row r="2126" spans="1:4">
      <c r="A2126" s="8" t="s">
        <v>404</v>
      </c>
      <c r="B2126" s="5">
        <v>1070301</v>
      </c>
      <c r="C2126" s="5" t="s">
        <v>112</v>
      </c>
      <c r="D2126" s="3">
        <f>VLOOKUP(B2126,Sheet2!$A:$O,11,0)</f>
        <v>35000</v>
      </c>
    </row>
    <row r="2127" spans="1:4">
      <c r="A2127" s="8" t="s">
        <v>404</v>
      </c>
      <c r="B2127" s="5">
        <v>1070401</v>
      </c>
      <c r="C2127" s="5" t="s">
        <v>114</v>
      </c>
      <c r="D2127" s="3">
        <f>VLOOKUP(B2127,Sheet2!$A:$O,11,0)</f>
        <v>12000</v>
      </c>
    </row>
    <row r="2128" spans="1:4">
      <c r="A2128" s="8" t="s">
        <v>404</v>
      </c>
      <c r="B2128" s="5">
        <v>1070501</v>
      </c>
      <c r="C2128" s="5" t="s">
        <v>231</v>
      </c>
      <c r="D2128" s="3">
        <f>VLOOKUP(B2128,Sheet2!$A:$O,11,0)</f>
        <v>5500</v>
      </c>
    </row>
    <row r="2129" spans="1:4">
      <c r="A2129" s="8" t="s">
        <v>404</v>
      </c>
      <c r="B2129" s="5">
        <v>1070701</v>
      </c>
      <c r="C2129" s="5" t="s">
        <v>118</v>
      </c>
      <c r="D2129" s="3">
        <f>VLOOKUP(B2129,Sheet2!$A:$O,11,0)</f>
        <v>36000</v>
      </c>
    </row>
    <row r="2130" spans="1:4">
      <c r="A2130" s="8" t="s">
        <v>404</v>
      </c>
      <c r="B2130" s="5">
        <v>1070801</v>
      </c>
      <c r="C2130" s="5" t="s">
        <v>232</v>
      </c>
      <c r="D2130" s="3">
        <f>VLOOKUP(B2130,Sheet2!$A:$O,11,0)</f>
        <v>35000</v>
      </c>
    </row>
    <row r="2131" spans="1:4">
      <c r="A2131" s="8" t="s">
        <v>404</v>
      </c>
      <c r="B2131" s="5">
        <v>1080101</v>
      </c>
      <c r="C2131" s="5" t="s">
        <v>120</v>
      </c>
      <c r="D2131" s="3">
        <f>VLOOKUP(B2131,Sheet2!$A:$O,11,0)</f>
        <v>11000</v>
      </c>
    </row>
    <row r="2132" spans="1:4">
      <c r="A2132" s="8" t="s">
        <v>404</v>
      </c>
      <c r="B2132" s="5">
        <v>1080201</v>
      </c>
      <c r="C2132" s="5" t="s">
        <v>122</v>
      </c>
      <c r="D2132" s="3">
        <f>VLOOKUP(B2132,Sheet2!$A:$O,11,0)</f>
        <v>540</v>
      </c>
    </row>
    <row r="2133" spans="1:4">
      <c r="A2133" s="8" t="s">
        <v>404</v>
      </c>
      <c r="B2133" s="5">
        <v>1080301</v>
      </c>
      <c r="C2133" s="5" t="s">
        <v>124</v>
      </c>
      <c r="D2133" s="3">
        <f>VLOOKUP(B2133,Sheet2!$A:$O,11,0)</f>
        <v>1550</v>
      </c>
    </row>
    <row r="2134" spans="1:4">
      <c r="A2134" s="8" t="s">
        <v>404</v>
      </c>
      <c r="B2134" s="5">
        <v>1080401</v>
      </c>
      <c r="C2134" s="5" t="s">
        <v>233</v>
      </c>
      <c r="D2134" s="3">
        <f>VLOOKUP(B2134,Sheet2!$A:$O,11,0)</f>
        <v>3300</v>
      </c>
    </row>
    <row r="2135" spans="1:4">
      <c r="A2135" s="8" t="s">
        <v>404</v>
      </c>
      <c r="B2135" s="5">
        <v>1080411</v>
      </c>
      <c r="C2135" s="5" t="s">
        <v>128</v>
      </c>
      <c r="D2135" s="3">
        <f>VLOOKUP(B2135,Sheet2!$A:$O,11,0)</f>
        <v>3300</v>
      </c>
    </row>
    <row r="2136" spans="1:4">
      <c r="A2136" s="8" t="s">
        <v>404</v>
      </c>
      <c r="B2136" s="5">
        <v>1080501</v>
      </c>
      <c r="C2136" s="5" t="s">
        <v>130</v>
      </c>
      <c r="D2136" s="3">
        <f>VLOOKUP(B2136,Sheet2!$A:$O,11,0)</f>
        <v>3800</v>
      </c>
    </row>
    <row r="2137" spans="1:4">
      <c r="A2137" s="8" t="s">
        <v>404</v>
      </c>
      <c r="B2137" s="5">
        <v>1080602</v>
      </c>
      <c r="C2137" s="5" t="s">
        <v>234</v>
      </c>
      <c r="D2137" s="3">
        <f>VLOOKUP(B2137,Sheet2!$A:$O,11,0)</f>
        <v>38600</v>
      </c>
    </row>
    <row r="2138" spans="1:4">
      <c r="A2138" s="8" t="s">
        <v>404</v>
      </c>
      <c r="B2138" s="5">
        <v>1080604</v>
      </c>
      <c r="C2138" s="5" t="s">
        <v>235</v>
      </c>
      <c r="D2138" s="3">
        <f>VLOOKUP(B2138,Sheet2!$A:$O,11,0)</f>
        <v>0</v>
      </c>
    </row>
    <row r="2139" spans="1:4">
      <c r="A2139" s="8" t="s">
        <v>404</v>
      </c>
      <c r="B2139" s="5">
        <v>1080702</v>
      </c>
      <c r="C2139" s="5" t="s">
        <v>236</v>
      </c>
      <c r="D2139" s="3">
        <f>VLOOKUP(B2139,Sheet2!$A:$O,11,0)</f>
        <v>43500</v>
      </c>
    </row>
    <row r="2140" spans="1:4">
      <c r="A2140" s="8" t="s">
        <v>404</v>
      </c>
      <c r="B2140" s="5">
        <v>1080704</v>
      </c>
      <c r="C2140" s="5" t="s">
        <v>237</v>
      </c>
      <c r="D2140" s="3">
        <f>VLOOKUP(B2140,Sheet2!$A:$O,11,0)</f>
        <v>0</v>
      </c>
    </row>
    <row r="2141" spans="1:4">
      <c r="A2141" s="8" t="s">
        <v>404</v>
      </c>
      <c r="B2141" s="5">
        <v>1090104</v>
      </c>
      <c r="C2141" s="5" t="s">
        <v>136</v>
      </c>
      <c r="D2141" s="3">
        <f>VLOOKUP(B2141,Sheet2!$A:$O,11,0)</f>
        <v>40000</v>
      </c>
    </row>
    <row r="2142" spans="1:4">
      <c r="A2142" s="8" t="s">
        <v>404</v>
      </c>
      <c r="B2142" s="5">
        <v>1090112</v>
      </c>
      <c r="C2142" s="5" t="s">
        <v>138</v>
      </c>
      <c r="D2142" s="3">
        <f>VLOOKUP(B2142,Sheet2!$A:$O,11,0)</f>
        <v>35000</v>
      </c>
    </row>
    <row r="2143" spans="1:4">
      <c r="A2143" s="8" t="s">
        <v>404</v>
      </c>
      <c r="B2143" s="5">
        <v>1090201</v>
      </c>
      <c r="C2143" s="5" t="s">
        <v>140</v>
      </c>
      <c r="D2143" s="3">
        <f>VLOOKUP(B2143,Sheet2!$A:$O,11,0)</f>
        <v>15800</v>
      </c>
    </row>
    <row r="2144" spans="1:4">
      <c r="A2144" s="8" t="s">
        <v>404</v>
      </c>
      <c r="B2144" s="5">
        <v>1090202</v>
      </c>
      <c r="C2144" s="5" t="s">
        <v>142</v>
      </c>
      <c r="D2144" s="3">
        <f>VLOOKUP(B2144,Sheet2!$A:$O,11,0)</f>
        <v>98000</v>
      </c>
    </row>
    <row r="2145" spans="1:4">
      <c r="A2145" s="8" t="s">
        <v>404</v>
      </c>
      <c r="B2145" s="5">
        <v>1090203</v>
      </c>
      <c r="C2145" s="5" t="s">
        <v>144</v>
      </c>
      <c r="D2145" s="3">
        <f>VLOOKUP(B2145,Sheet2!$A:$O,11,0)</f>
        <v>23000</v>
      </c>
    </row>
    <row r="2146" spans="1:4">
      <c r="A2146" s="8" t="s">
        <v>404</v>
      </c>
      <c r="B2146" s="5">
        <v>1090211</v>
      </c>
      <c r="C2146" s="5" t="s">
        <v>146</v>
      </c>
      <c r="D2146" s="3">
        <f>VLOOKUP(B2146,Sheet2!$A:$O,11,0)</f>
        <v>67647</v>
      </c>
    </row>
    <row r="2147" spans="1:4">
      <c r="A2147" s="8" t="s">
        <v>404</v>
      </c>
      <c r="B2147" s="5">
        <v>1090301</v>
      </c>
      <c r="C2147" s="5" t="s">
        <v>238</v>
      </c>
      <c r="D2147" s="3">
        <f>VLOOKUP(B2147,Sheet2!$A:$O,11,0)</f>
        <v>32000</v>
      </c>
    </row>
    <row r="2148" spans="1:4">
      <c r="A2148" s="8" t="s">
        <v>404</v>
      </c>
      <c r="B2148" s="5">
        <v>1090311</v>
      </c>
      <c r="C2148" s="5" t="s">
        <v>150</v>
      </c>
      <c r="D2148" s="3">
        <f>VLOOKUP(B2148,Sheet2!$A:$O,11,0)</f>
        <v>37000</v>
      </c>
    </row>
    <row r="2149" spans="1:4">
      <c r="A2149" s="8" t="s">
        <v>404</v>
      </c>
      <c r="B2149" s="5">
        <v>1090321</v>
      </c>
      <c r="C2149" s="5" t="s">
        <v>152</v>
      </c>
      <c r="D2149" s="3">
        <f>VLOOKUP(B2149,Sheet2!$A:$O,11,0)</f>
        <v>66000</v>
      </c>
    </row>
    <row r="2150" spans="1:4">
      <c r="A2150" s="8" t="s">
        <v>404</v>
      </c>
      <c r="B2150" s="5">
        <v>1090401</v>
      </c>
      <c r="C2150" s="5" t="s">
        <v>154</v>
      </c>
      <c r="D2150" s="3">
        <f>VLOOKUP(B2150,Sheet2!$A:$O,11,0)</f>
        <v>8300</v>
      </c>
    </row>
    <row r="2151" spans="1:4">
      <c r="A2151" s="8" t="s">
        <v>404</v>
      </c>
      <c r="B2151" s="5">
        <v>1090411</v>
      </c>
      <c r="C2151" s="5" t="s">
        <v>156</v>
      </c>
      <c r="D2151" s="3">
        <f>VLOOKUP(B2151,Sheet2!$A:$O,11,0)</f>
        <v>45000</v>
      </c>
    </row>
    <row r="2152" spans="1:4">
      <c r="A2152" s="8" t="s">
        <v>404</v>
      </c>
      <c r="B2152" s="5">
        <v>1090421</v>
      </c>
      <c r="C2152" s="5" t="s">
        <v>158</v>
      </c>
      <c r="D2152" s="3">
        <f>VLOOKUP(B2152,Sheet2!$A:$O,11,0)</f>
        <v>36000</v>
      </c>
    </row>
    <row r="2153" spans="1:4">
      <c r="A2153" s="8" t="s">
        <v>404</v>
      </c>
      <c r="B2153" s="5">
        <v>1090551</v>
      </c>
      <c r="C2153" s="5" t="s">
        <v>239</v>
      </c>
      <c r="D2153" s="3">
        <f>VLOOKUP(B2153,Sheet2!$A:$O,11,0)</f>
        <v>4900</v>
      </c>
    </row>
    <row r="2154" spans="1:4">
      <c r="A2154" s="8" t="s">
        <v>404</v>
      </c>
      <c r="B2154" s="5">
        <v>1090602</v>
      </c>
      <c r="C2154" s="5" t="s">
        <v>162</v>
      </c>
      <c r="D2154" s="3">
        <f>VLOOKUP(B2154,Sheet2!$A:$O,11,0)</f>
        <v>5130</v>
      </c>
    </row>
    <row r="2155" spans="1:4">
      <c r="A2155" s="8" t="s">
        <v>404</v>
      </c>
      <c r="B2155" s="5">
        <v>1090611</v>
      </c>
      <c r="C2155" s="5" t="s">
        <v>164</v>
      </c>
      <c r="D2155" s="3">
        <f>VLOOKUP(B2155,Sheet2!$A:$O,11,0)</f>
        <v>4190</v>
      </c>
    </row>
    <row r="2156" spans="1:4">
      <c r="A2156" s="8" t="s">
        <v>404</v>
      </c>
      <c r="B2156" s="5">
        <v>1090701</v>
      </c>
      <c r="C2156" s="5" t="s">
        <v>166</v>
      </c>
      <c r="D2156" s="3">
        <f>VLOOKUP(B2156,Sheet2!$A:$O,11,0)</f>
        <v>21000</v>
      </c>
    </row>
    <row r="2157" spans="1:4">
      <c r="A2157" s="8" t="s">
        <v>404</v>
      </c>
      <c r="B2157" s="5">
        <v>1090901</v>
      </c>
      <c r="C2157" s="5" t="s">
        <v>168</v>
      </c>
      <c r="D2157" s="3">
        <f>VLOOKUP(B2157,Sheet2!$A:$O,11,0)</f>
        <v>4300</v>
      </c>
    </row>
    <row r="2158" spans="1:4">
      <c r="A2158" s="8" t="s">
        <v>404</v>
      </c>
      <c r="B2158" s="5">
        <v>1091001</v>
      </c>
      <c r="C2158" s="5" t="s">
        <v>170</v>
      </c>
      <c r="D2158" s="3">
        <f>VLOOKUP(B2158,Sheet2!$A:$O,11,0)</f>
        <v>7000</v>
      </c>
    </row>
    <row r="2159" spans="1:4">
      <c r="A2159" s="8" t="s">
        <v>404</v>
      </c>
      <c r="B2159" s="5">
        <v>1091002</v>
      </c>
      <c r="C2159" s="5" t="s">
        <v>172</v>
      </c>
      <c r="D2159" s="3">
        <f>VLOOKUP(B2159,Sheet2!$A:$O,11,0)</f>
        <v>6304</v>
      </c>
    </row>
    <row r="2160" spans="1:4">
      <c r="A2160" s="8" t="s">
        <v>404</v>
      </c>
      <c r="B2160" s="5">
        <v>1091003</v>
      </c>
      <c r="C2160" s="5" t="s">
        <v>174</v>
      </c>
      <c r="D2160" s="3">
        <f>VLOOKUP(B2160,Sheet2!$A:$O,11,0)</f>
        <v>8173</v>
      </c>
    </row>
    <row r="2161" spans="1:4">
      <c r="A2161" s="8" t="s">
        <v>404</v>
      </c>
      <c r="B2161" s="5">
        <v>1091004</v>
      </c>
      <c r="C2161" s="5" t="s">
        <v>240</v>
      </c>
      <c r="D2161" s="3">
        <f>VLOOKUP(B2161,Sheet2!$A:$O,11,0)</f>
        <v>0</v>
      </c>
    </row>
    <row r="2162" spans="1:4">
      <c r="A2162" s="8" t="s">
        <v>404</v>
      </c>
      <c r="B2162" s="5">
        <v>1091005</v>
      </c>
      <c r="C2162" s="5" t="s">
        <v>241</v>
      </c>
      <c r="D2162" s="3">
        <f>VLOOKUP(B2162,Sheet2!$A:$O,11,0)</f>
        <v>0</v>
      </c>
    </row>
    <row r="2163" spans="1:4">
      <c r="A2163" s="8" t="s">
        <v>404</v>
      </c>
      <c r="B2163" s="5">
        <v>1091006</v>
      </c>
      <c r="C2163" s="5" t="s">
        <v>242</v>
      </c>
      <c r="D2163" s="3">
        <f>VLOOKUP(B2163,Sheet2!$A:$O,11,0)</f>
        <v>0</v>
      </c>
    </row>
    <row r="2164" spans="1:4">
      <c r="A2164" s="8" t="s">
        <v>404</v>
      </c>
      <c r="B2164" s="5">
        <v>1091007</v>
      </c>
      <c r="C2164" s="5" t="s">
        <v>243</v>
      </c>
      <c r="D2164" s="3">
        <f>VLOOKUP(B2164,Sheet2!$A:$O,11,0)</f>
        <v>2640</v>
      </c>
    </row>
    <row r="2165" spans="1:4">
      <c r="A2165" s="8" t="s">
        <v>404</v>
      </c>
      <c r="B2165" s="5">
        <v>1091008</v>
      </c>
      <c r="C2165" s="5" t="s">
        <v>176</v>
      </c>
      <c r="D2165" s="3">
        <f>VLOOKUP(B2165,Sheet2!$A:$O,11,0)</f>
        <v>0</v>
      </c>
    </row>
    <row r="2166" spans="1:4">
      <c r="A2166" s="8" t="s">
        <v>404</v>
      </c>
      <c r="B2166" s="5">
        <v>1091009</v>
      </c>
      <c r="C2166" s="5" t="s">
        <v>178</v>
      </c>
      <c r="D2166" s="3">
        <f>VLOOKUP(B2166,Sheet2!$A:$O,11,0)</f>
        <v>0</v>
      </c>
    </row>
    <row r="2167" spans="1:4">
      <c r="A2167" s="8" t="s">
        <v>404</v>
      </c>
      <c r="B2167" s="5">
        <v>1091010</v>
      </c>
      <c r="C2167" s="5" t="s">
        <v>180</v>
      </c>
      <c r="D2167" s="3">
        <f>VLOOKUP(B2167,Sheet2!$A:$O,11,0)</f>
        <v>27000</v>
      </c>
    </row>
    <row r="2168" spans="1:4">
      <c r="A2168" s="8" t="s">
        <v>404</v>
      </c>
      <c r="B2168" s="5">
        <v>1091011</v>
      </c>
      <c r="C2168" s="5" t="s">
        <v>182</v>
      </c>
      <c r="D2168" s="3">
        <f>VLOOKUP(B2168,Sheet2!$A:$O,11,0)</f>
        <v>33000</v>
      </c>
    </row>
    <row r="2169" spans="1:4">
      <c r="A2169" s="8" t="s">
        <v>404</v>
      </c>
      <c r="B2169" s="5">
        <v>1091012</v>
      </c>
      <c r="C2169" s="5" t="s">
        <v>184</v>
      </c>
      <c r="D2169" s="3">
        <f>VLOOKUP(B2169,Sheet2!$A:$O,11,0)</f>
        <v>47000</v>
      </c>
    </row>
    <row r="2170" spans="1:4">
      <c r="A2170" s="8" t="s">
        <v>404</v>
      </c>
      <c r="B2170" s="5">
        <v>1091013</v>
      </c>
      <c r="C2170" s="5" t="s">
        <v>186</v>
      </c>
      <c r="D2170" s="3">
        <f>VLOOKUP(B2170,Sheet2!$A:$O,11,0)</f>
        <v>33000</v>
      </c>
    </row>
    <row r="2171" spans="1:4">
      <c r="A2171" s="8" t="s">
        <v>404</v>
      </c>
      <c r="B2171" s="5">
        <v>1091014</v>
      </c>
      <c r="C2171" s="5" t="s">
        <v>244</v>
      </c>
      <c r="D2171" s="3">
        <f>VLOOKUP(B2171,Sheet2!$A:$O,11,0)</f>
        <v>6961</v>
      </c>
    </row>
    <row r="2172" spans="1:4">
      <c r="A2172" s="8" t="s">
        <v>404</v>
      </c>
      <c r="B2172" s="5">
        <v>1091015</v>
      </c>
      <c r="C2172" s="5" t="s">
        <v>245</v>
      </c>
      <c r="D2172" s="3">
        <f>VLOOKUP(B2172,Sheet2!$A:$O,11,0)</f>
        <v>28000</v>
      </c>
    </row>
    <row r="2173" spans="1:4">
      <c r="A2173" s="8" t="s">
        <v>404</v>
      </c>
      <c r="B2173" s="5">
        <v>1091016</v>
      </c>
      <c r="C2173" s="5" t="s">
        <v>246</v>
      </c>
      <c r="D2173" s="3">
        <f>VLOOKUP(B2173,Sheet2!$A:$O,11,0)</f>
        <v>54594</v>
      </c>
    </row>
    <row r="2174" spans="1:4">
      <c r="A2174" s="8" t="s">
        <v>404</v>
      </c>
      <c r="B2174" s="5">
        <v>1091017</v>
      </c>
      <c r="C2174" s="5" t="s">
        <v>247</v>
      </c>
      <c r="D2174" s="3">
        <f>VLOOKUP(B2174,Sheet2!$A:$O,11,0)</f>
        <v>74833</v>
      </c>
    </row>
    <row r="2175" spans="1:4">
      <c r="A2175" s="8" t="s">
        <v>404</v>
      </c>
      <c r="B2175" s="5">
        <v>1091018</v>
      </c>
      <c r="C2175" s="5" t="s">
        <v>248</v>
      </c>
      <c r="D2175" s="3">
        <f>VLOOKUP(B2175,Sheet2!$A:$O,11,0)</f>
        <v>33031</v>
      </c>
    </row>
    <row r="2176" spans="1:4">
      <c r="A2176" s="8" t="s">
        <v>404</v>
      </c>
      <c r="B2176" s="5">
        <v>1091019</v>
      </c>
      <c r="C2176" s="5" t="s">
        <v>249</v>
      </c>
      <c r="D2176" s="3">
        <f>VLOOKUP(B2176,Sheet2!$A:$O,11,0)</f>
        <v>53387</v>
      </c>
    </row>
    <row r="2177" spans="1:4">
      <c r="A2177" s="8" t="s">
        <v>404</v>
      </c>
      <c r="B2177" s="5">
        <v>1091020</v>
      </c>
      <c r="C2177" s="5" t="s">
        <v>250</v>
      </c>
      <c r="D2177" s="3">
        <f>VLOOKUP(B2177,Sheet2!$A:$O,11,0)</f>
        <v>100500</v>
      </c>
    </row>
    <row r="2178" spans="1:4">
      <c r="A2178" s="8" t="s">
        <v>404</v>
      </c>
      <c r="B2178" s="5">
        <v>1091021</v>
      </c>
      <c r="C2178" s="5" t="s">
        <v>251</v>
      </c>
      <c r="D2178" s="3">
        <f>VLOOKUP(B2178,Sheet2!$A:$O,11,0)</f>
        <v>50600</v>
      </c>
    </row>
    <row r="2179" spans="1:4">
      <c r="A2179" s="8" t="s">
        <v>404</v>
      </c>
      <c r="B2179" s="5">
        <v>1091022</v>
      </c>
      <c r="C2179" s="5" t="s">
        <v>252</v>
      </c>
      <c r="D2179" s="3">
        <f>VLOOKUP(B2179,Sheet2!$A:$O,11,0)</f>
        <v>3235</v>
      </c>
    </row>
    <row r="2180" spans="1:4">
      <c r="A2180" s="8" t="s">
        <v>404</v>
      </c>
      <c r="B2180" s="5">
        <v>1091023</v>
      </c>
      <c r="C2180" s="5" t="s">
        <v>253</v>
      </c>
      <c r="D2180" s="3">
        <f>VLOOKUP(B2180,Sheet2!$A:$O,11,0)</f>
        <v>4412</v>
      </c>
    </row>
    <row r="2181" spans="1:4">
      <c r="A2181" s="8" t="s">
        <v>404</v>
      </c>
      <c r="B2181" s="5">
        <v>1091024</v>
      </c>
      <c r="C2181" s="5" t="s">
        <v>254</v>
      </c>
      <c r="D2181" s="3">
        <f>VLOOKUP(B2181,Sheet2!$A:$O,11,0)</f>
        <v>3922</v>
      </c>
    </row>
    <row r="2182" spans="1:4">
      <c r="A2182" s="8" t="s">
        <v>404</v>
      </c>
      <c r="B2182" s="5">
        <v>1091025</v>
      </c>
      <c r="C2182" s="5" t="s">
        <v>255</v>
      </c>
      <c r="D2182" s="3">
        <f>VLOOKUP(B2182,Sheet2!$A:$O,11,0)</f>
        <v>6275</v>
      </c>
    </row>
    <row r="2183" spans="1:4">
      <c r="A2183" s="8" t="s">
        <v>404</v>
      </c>
      <c r="B2183" s="5">
        <v>1091026</v>
      </c>
      <c r="C2183" s="5" t="s">
        <v>256</v>
      </c>
      <c r="D2183" s="3">
        <f>VLOOKUP(B2183,Sheet2!$A:$O,11,0)</f>
        <v>30686</v>
      </c>
    </row>
    <row r="2184" spans="1:4">
      <c r="A2184" s="8" t="s">
        <v>404</v>
      </c>
      <c r="B2184" s="5">
        <v>1600101</v>
      </c>
      <c r="C2184" s="5" t="s">
        <v>188</v>
      </c>
      <c r="D2184" s="3">
        <f>VLOOKUP(B2184,Sheet2!$A:$O,11,0)</f>
        <v>2545</v>
      </c>
    </row>
    <row r="2185" spans="1:4">
      <c r="A2185" s="8" t="s">
        <v>404</v>
      </c>
      <c r="B2185" s="5">
        <v>1600102</v>
      </c>
      <c r="C2185" s="5" t="s">
        <v>257</v>
      </c>
      <c r="D2185" s="3">
        <f>VLOOKUP(B2185,Sheet2!$A:$O,11,0)</f>
        <v>36275</v>
      </c>
    </row>
    <row r="2186" spans="1:4">
      <c r="A2186" s="8" t="s">
        <v>404</v>
      </c>
      <c r="B2186" s="5">
        <v>1600103</v>
      </c>
      <c r="C2186" s="5" t="s">
        <v>258</v>
      </c>
      <c r="D2186" s="3">
        <f>VLOOKUP(B2186,Sheet2!$A:$O,11,0)</f>
        <v>19800</v>
      </c>
    </row>
    <row r="2187" spans="1:4">
      <c r="A2187" s="8" t="s">
        <v>404</v>
      </c>
      <c r="B2187" s="5">
        <v>1600104</v>
      </c>
      <c r="C2187" s="5" t="s">
        <v>259</v>
      </c>
      <c r="D2187" s="3">
        <f>VLOOKUP(B2187,Sheet2!$A:$O,11,0)</f>
        <v>65000</v>
      </c>
    </row>
    <row r="2188" spans="1:4">
      <c r="A2188" s="8" t="s">
        <v>404</v>
      </c>
      <c r="B2188" s="5">
        <v>1600105</v>
      </c>
      <c r="C2188" s="5" t="s">
        <v>260</v>
      </c>
      <c r="D2188" s="3">
        <f>VLOOKUP(B2188,Sheet2!$A:$O,11,0)</f>
        <v>83950</v>
      </c>
    </row>
    <row r="2189" spans="1:4">
      <c r="A2189" s="8" t="s">
        <v>404</v>
      </c>
      <c r="B2189" s="5">
        <v>1600106</v>
      </c>
      <c r="C2189" s="5" t="s">
        <v>261</v>
      </c>
      <c r="D2189" s="3">
        <f>VLOOKUP(B2189,Sheet2!$A:$O,11,0)</f>
        <v>108071</v>
      </c>
    </row>
    <row r="2190" spans="1:4">
      <c r="A2190" s="8" t="s">
        <v>404</v>
      </c>
      <c r="B2190" s="5">
        <v>1600107</v>
      </c>
      <c r="C2190" s="5" t="s">
        <v>262</v>
      </c>
      <c r="D2190" s="3">
        <f>VLOOKUP(B2190,Sheet2!$A:$O,11,0)</f>
        <v>86601</v>
      </c>
    </row>
    <row r="2191" spans="1:4">
      <c r="A2191" s="8" t="s">
        <v>404</v>
      </c>
      <c r="B2191" s="5">
        <v>1600108</v>
      </c>
      <c r="C2191" s="5" t="s">
        <v>263</v>
      </c>
      <c r="D2191" s="3">
        <f>VLOOKUP(B2191,Sheet2!$A:$O,11,0)</f>
        <v>74041</v>
      </c>
    </row>
    <row r="2192" spans="1:4">
      <c r="A2192" s="8" t="s">
        <v>404</v>
      </c>
      <c r="B2192" s="5">
        <v>1600109</v>
      </c>
      <c r="C2192" s="5" t="s">
        <v>264</v>
      </c>
      <c r="D2192" s="3">
        <f>VLOOKUP(B2192,Sheet2!$A:$O,11,0)</f>
        <v>5882</v>
      </c>
    </row>
    <row r="2193" spans="1:4">
      <c r="A2193" s="8" t="s">
        <v>404</v>
      </c>
      <c r="B2193" s="5">
        <v>1600110</v>
      </c>
      <c r="C2193" s="5" t="s">
        <v>265</v>
      </c>
      <c r="D2193" s="3">
        <f>VLOOKUP(B2193,Sheet2!$A:$O,11,0)</f>
        <v>7917</v>
      </c>
    </row>
    <row r="2194" spans="1:4">
      <c r="A2194" s="8" t="s">
        <v>404</v>
      </c>
      <c r="B2194" s="5">
        <v>1600111</v>
      </c>
      <c r="C2194" s="5" t="s">
        <v>266</v>
      </c>
      <c r="D2194" s="3">
        <f>VLOOKUP(B2194,Sheet2!$A:$O,11,0)</f>
        <v>2266</v>
      </c>
    </row>
    <row r="2195" spans="1:4">
      <c r="A2195" s="8" t="s">
        <v>404</v>
      </c>
      <c r="B2195" s="5">
        <v>1600112</v>
      </c>
      <c r="C2195" s="5" t="s">
        <v>190</v>
      </c>
      <c r="D2195" s="3">
        <f>VLOOKUP(B2195,Sheet2!$A:$O,11,0)</f>
        <v>4800</v>
      </c>
    </row>
    <row r="2196" spans="1:4">
      <c r="A2196" s="8" t="s">
        <v>404</v>
      </c>
      <c r="B2196" s="5">
        <v>1600113</v>
      </c>
      <c r="C2196" s="5" t="s">
        <v>267</v>
      </c>
      <c r="D2196" s="3">
        <f>VLOOKUP(B2196,Sheet2!$A:$O,11,0)</f>
        <v>0</v>
      </c>
    </row>
    <row r="2197" spans="1:4">
      <c r="A2197" s="8" t="s">
        <v>404</v>
      </c>
      <c r="B2197" s="5">
        <v>1600114</v>
      </c>
      <c r="C2197" s="5" t="s">
        <v>268</v>
      </c>
      <c r="D2197" s="3">
        <f>VLOOKUP(B2197,Sheet2!$A:$O,11,0)</f>
        <v>10140</v>
      </c>
    </row>
    <row r="2198" spans="1:4">
      <c r="A2198" s="8" t="s">
        <v>404</v>
      </c>
      <c r="B2198" s="5">
        <v>1700001</v>
      </c>
      <c r="C2198" s="5" t="s">
        <v>269</v>
      </c>
      <c r="D2198" s="3">
        <f>VLOOKUP(B2198,Sheet2!$A:$O,11,0)</f>
        <v>4681</v>
      </c>
    </row>
    <row r="2199" spans="1:4">
      <c r="A2199" s="8" t="s">
        <v>404</v>
      </c>
      <c r="B2199" s="5">
        <v>1700002</v>
      </c>
      <c r="C2199" s="5" t="s">
        <v>270</v>
      </c>
      <c r="D2199" s="3">
        <f>VLOOKUP(B2199,Sheet2!$A:$O,11,0)</f>
        <v>3726</v>
      </c>
    </row>
    <row r="2200" spans="1:4">
      <c r="A2200" s="8" t="s">
        <v>404</v>
      </c>
      <c r="B2200" s="5">
        <v>1700003</v>
      </c>
      <c r="C2200" s="5" t="s">
        <v>271</v>
      </c>
      <c r="D2200" s="3">
        <f>VLOOKUP(B2200,Sheet2!$A:$O,11,0)</f>
        <v>4902</v>
      </c>
    </row>
    <row r="2201" spans="1:4">
      <c r="A2201" s="8" t="s">
        <v>404</v>
      </c>
      <c r="B2201" s="5">
        <v>1700004</v>
      </c>
      <c r="C2201" s="5" t="s">
        <v>272</v>
      </c>
      <c r="D2201" s="3">
        <f>VLOOKUP(B2201,Sheet2!$A:$O,11,0)</f>
        <v>13137</v>
      </c>
    </row>
    <row r="2202" spans="1:4">
      <c r="A2202" s="8" t="s">
        <v>404</v>
      </c>
      <c r="B2202" s="5">
        <v>1700005</v>
      </c>
      <c r="C2202" s="5" t="s">
        <v>192</v>
      </c>
      <c r="D2202" s="3">
        <f>VLOOKUP(B2202,Sheet2!$A:$O,11,0)</f>
        <v>1765</v>
      </c>
    </row>
    <row r="2203" spans="1:4">
      <c r="A2203" s="8" t="s">
        <v>404</v>
      </c>
      <c r="B2203" s="5">
        <v>1700006</v>
      </c>
      <c r="C2203" s="5" t="s">
        <v>273</v>
      </c>
      <c r="D2203" s="3">
        <f>VLOOKUP(B2203,Sheet2!$A:$O,11,0)</f>
        <v>6676</v>
      </c>
    </row>
    <row r="2204" spans="1:4">
      <c r="A2204" s="8" t="s">
        <v>404</v>
      </c>
      <c r="B2204" s="5">
        <v>1700007</v>
      </c>
      <c r="C2204" s="5" t="s">
        <v>274</v>
      </c>
      <c r="D2204" s="3">
        <f>VLOOKUP(B2204,Sheet2!$A:$O,11,0)</f>
        <v>0</v>
      </c>
    </row>
    <row r="2205" spans="1:4">
      <c r="A2205" s="8" t="s">
        <v>404</v>
      </c>
      <c r="B2205" s="5">
        <v>1700008</v>
      </c>
      <c r="C2205" s="5" t="s">
        <v>275</v>
      </c>
      <c r="D2205" s="3">
        <f>VLOOKUP(B2205,Sheet2!$A:$O,11,0)</f>
        <v>0</v>
      </c>
    </row>
    <row r="2206" spans="1:4">
      <c r="A2206" s="8" t="s">
        <v>404</v>
      </c>
      <c r="B2206" s="5">
        <v>1700009</v>
      </c>
      <c r="C2206" s="5" t="s">
        <v>276</v>
      </c>
      <c r="D2206" s="3">
        <f>VLOOKUP(B2206,Sheet2!$A:$O,11,0)</f>
        <v>0</v>
      </c>
    </row>
    <row r="2207" spans="1:4">
      <c r="A2207" s="8" t="s">
        <v>404</v>
      </c>
      <c r="B2207" s="5">
        <v>1700010</v>
      </c>
      <c r="C2207" s="5" t="s">
        <v>277</v>
      </c>
      <c r="D2207" s="3">
        <f>VLOOKUP(B2207,Sheet2!$A:$O,11,0)</f>
        <v>3630</v>
      </c>
    </row>
    <row r="2208" spans="1:4">
      <c r="A2208" s="8" t="s">
        <v>404</v>
      </c>
      <c r="B2208" s="5">
        <v>1700011</v>
      </c>
      <c r="C2208" s="5" t="s">
        <v>278</v>
      </c>
      <c r="D2208" s="3">
        <f>VLOOKUP(B2208,Sheet2!$A:$O,11,0)</f>
        <v>11961</v>
      </c>
    </row>
    <row r="2209" spans="1:4">
      <c r="A2209" s="8" t="s">
        <v>404</v>
      </c>
      <c r="B2209" s="5">
        <v>1700012</v>
      </c>
      <c r="C2209" s="5" t="s">
        <v>279</v>
      </c>
      <c r="D2209" s="3">
        <f>VLOOKUP(B2209,Sheet2!$A:$O,11,0)</f>
        <v>13235</v>
      </c>
    </row>
    <row r="2210" spans="1:4">
      <c r="A2210" s="8" t="s">
        <v>404</v>
      </c>
      <c r="B2210" s="5">
        <v>1700013</v>
      </c>
      <c r="C2210" s="5" t="s">
        <v>280</v>
      </c>
      <c r="D2210" s="3">
        <f>VLOOKUP(B2210,Sheet2!$A:$O,11,0)</f>
        <v>18137</v>
      </c>
    </row>
    <row r="2211" spans="1:4">
      <c r="A2211" s="8" t="s">
        <v>404</v>
      </c>
      <c r="B2211" s="5">
        <v>1700014</v>
      </c>
      <c r="C2211" s="5" t="s">
        <v>194</v>
      </c>
      <c r="D2211" s="3">
        <f>VLOOKUP(B2211,Sheet2!$A:$O,11,0)</f>
        <v>2255</v>
      </c>
    </row>
    <row r="2212" spans="1:4">
      <c r="A2212" s="8" t="s">
        <v>404</v>
      </c>
      <c r="B2212" s="5">
        <v>1700015</v>
      </c>
      <c r="C2212" s="5" t="s">
        <v>281</v>
      </c>
      <c r="D2212" s="3">
        <f>VLOOKUP(B2212,Sheet2!$A:$O,11,0)</f>
        <v>5160</v>
      </c>
    </row>
    <row r="2213" spans="1:4">
      <c r="A2213" s="8" t="s">
        <v>404</v>
      </c>
      <c r="B2213" s="5">
        <v>1700016</v>
      </c>
      <c r="C2213" s="5" t="s">
        <v>282</v>
      </c>
      <c r="D2213" s="3">
        <f>VLOOKUP(B2213,Sheet2!$A:$O,11,0)</f>
        <v>3637</v>
      </c>
    </row>
    <row r="2214" spans="1:4">
      <c r="A2214" s="8" t="s">
        <v>404</v>
      </c>
      <c r="B2214" s="5">
        <v>1700017</v>
      </c>
      <c r="C2214" s="5" t="s">
        <v>283</v>
      </c>
      <c r="D2214" s="3">
        <f>VLOOKUP(B2214,Sheet2!$A:$O,11,0)</f>
        <v>10784</v>
      </c>
    </row>
    <row r="2215" spans="1:4">
      <c r="A2215" s="8" t="s">
        <v>404</v>
      </c>
      <c r="B2215" s="5">
        <v>1700018</v>
      </c>
      <c r="C2215" s="5" t="s">
        <v>284</v>
      </c>
      <c r="D2215" s="3">
        <f>VLOOKUP(B2215,Sheet2!$A:$O,11,0)</f>
        <v>3820</v>
      </c>
    </row>
    <row r="2216" spans="1:4">
      <c r="A2216" s="8" t="s">
        <v>404</v>
      </c>
      <c r="B2216" s="5">
        <v>1700019</v>
      </c>
      <c r="C2216" s="5" t="s">
        <v>285</v>
      </c>
      <c r="D2216" s="3">
        <f>VLOOKUP(B2216,Sheet2!$A:$O,11,0)</f>
        <v>0</v>
      </c>
    </row>
    <row r="2217" spans="1:4">
      <c r="A2217" s="8" t="s">
        <v>404</v>
      </c>
      <c r="B2217" s="5">
        <v>1700020</v>
      </c>
      <c r="C2217" s="5" t="s">
        <v>286</v>
      </c>
      <c r="D2217" s="3">
        <f>VLOOKUP(B2217,Sheet2!$A:$O,11,0)</f>
        <v>49412</v>
      </c>
    </row>
    <row r="2218" spans="1:4">
      <c r="A2218" s="8" t="s">
        <v>404</v>
      </c>
      <c r="B2218" s="5">
        <v>1700021</v>
      </c>
      <c r="C2218" s="5" t="s">
        <v>287</v>
      </c>
      <c r="D2218" s="3">
        <f>VLOOKUP(B2218,Sheet2!$A:$O,11,0)</f>
        <v>76843</v>
      </c>
    </row>
    <row r="2219" spans="1:4">
      <c r="A2219" s="8" t="s">
        <v>404</v>
      </c>
      <c r="B2219" s="5">
        <v>1700022</v>
      </c>
      <c r="C2219" s="5" t="s">
        <v>288</v>
      </c>
      <c r="D2219" s="3">
        <f>VLOOKUP(B2219,Sheet2!$A:$O,11,0)</f>
        <v>27726</v>
      </c>
    </row>
    <row r="2220" spans="1:4">
      <c r="A2220" s="8" t="s">
        <v>404</v>
      </c>
      <c r="B2220" s="5">
        <v>1700023</v>
      </c>
      <c r="C2220" s="5" t="s">
        <v>289</v>
      </c>
      <c r="D2220" s="3">
        <f>VLOOKUP(B2220,Sheet2!$A:$O,11,0)</f>
        <v>8251</v>
      </c>
    </row>
    <row r="2221" spans="1:4">
      <c r="A2221" s="8" t="s">
        <v>404</v>
      </c>
      <c r="B2221" s="5">
        <v>1700024</v>
      </c>
      <c r="C2221" s="5" t="s">
        <v>290</v>
      </c>
      <c r="D2221" s="3">
        <f>VLOOKUP(B2221,Sheet2!$A:$O,11,0)</f>
        <v>0</v>
      </c>
    </row>
    <row r="2222" spans="1:4">
      <c r="A2222" s="8" t="s">
        <v>404</v>
      </c>
      <c r="B2222" s="5">
        <v>1700025</v>
      </c>
      <c r="C2222" s="5" t="s">
        <v>291</v>
      </c>
      <c r="D2222" s="3">
        <f>VLOOKUP(B2222,Sheet2!$A:$O,11,0)</f>
        <v>1961</v>
      </c>
    </row>
    <row r="2223" spans="1:4">
      <c r="A2223" s="8" t="s">
        <v>404</v>
      </c>
      <c r="B2223" s="5">
        <v>1700026</v>
      </c>
      <c r="C2223" s="5" t="s">
        <v>292</v>
      </c>
      <c r="D2223" s="3">
        <f>VLOOKUP(B2223,Sheet2!$A:$O,11,0)</f>
        <v>4412</v>
      </c>
    </row>
    <row r="2224" spans="1:4">
      <c r="A2224" s="8" t="s">
        <v>404</v>
      </c>
      <c r="B2224" s="5">
        <v>1700027</v>
      </c>
      <c r="C2224" s="5" t="s">
        <v>293</v>
      </c>
      <c r="D2224" s="3">
        <f>VLOOKUP(B2224,Sheet2!$A:$O,11,0)</f>
        <v>4412</v>
      </c>
    </row>
    <row r="2225" spans="1:4">
      <c r="A2225" s="8" t="s">
        <v>404</v>
      </c>
      <c r="B2225" s="5">
        <v>1700028</v>
      </c>
      <c r="C2225" s="5" t="s">
        <v>294</v>
      </c>
      <c r="D2225" s="3">
        <f>VLOOKUP(B2225,Sheet2!$A:$O,11,0)</f>
        <v>9500</v>
      </c>
    </row>
    <row r="2226" spans="1:4">
      <c r="A2226" s="8" t="s">
        <v>404</v>
      </c>
      <c r="B2226" s="5">
        <v>1700029</v>
      </c>
      <c r="C2226" s="5" t="s">
        <v>295</v>
      </c>
      <c r="D2226" s="3">
        <f>VLOOKUP(B2226,Sheet2!$A:$O,11,0)</f>
        <v>10670</v>
      </c>
    </row>
    <row r="2227" spans="1:4">
      <c r="A2227" s="8" t="s">
        <v>404</v>
      </c>
      <c r="B2227" s="5">
        <v>1700030</v>
      </c>
      <c r="C2227" s="5" t="s">
        <v>296</v>
      </c>
      <c r="D2227" s="3">
        <f>VLOOKUP(B2227,Sheet2!$A:$O,11,0)</f>
        <v>12720</v>
      </c>
    </row>
    <row r="2228" spans="1:4">
      <c r="A2228" s="8" t="s">
        <v>404</v>
      </c>
      <c r="B2228" s="5">
        <v>1700031</v>
      </c>
      <c r="C2228" s="5" t="s">
        <v>196</v>
      </c>
      <c r="D2228" s="3">
        <f>VLOOKUP(B2228,Sheet2!$A:$O,11,0)</f>
        <v>1961</v>
      </c>
    </row>
    <row r="2229" spans="1:4">
      <c r="A2229" s="8" t="s">
        <v>404</v>
      </c>
      <c r="B2229" s="5">
        <v>1700032</v>
      </c>
      <c r="C2229" s="5" t="s">
        <v>297</v>
      </c>
      <c r="D2229" s="3">
        <f>VLOOKUP(B2229,Sheet2!$A:$O,11,0)</f>
        <v>0</v>
      </c>
    </row>
    <row r="2230" spans="1:4">
      <c r="A2230" s="8" t="s">
        <v>404</v>
      </c>
      <c r="B2230" s="5">
        <v>1700033</v>
      </c>
      <c r="C2230" s="5" t="s">
        <v>298</v>
      </c>
      <c r="D2230" s="3">
        <f>VLOOKUP(B2230,Sheet2!$A:$O,11,0)</f>
        <v>0</v>
      </c>
    </row>
    <row r="2231" spans="1:4">
      <c r="A2231" s="8" t="s">
        <v>404</v>
      </c>
      <c r="B2231" s="5">
        <v>1700034</v>
      </c>
      <c r="C2231" s="5" t="s">
        <v>299</v>
      </c>
      <c r="D2231" s="3">
        <f>VLOOKUP(B2231,Sheet2!$A:$O,11,0)</f>
        <v>17475</v>
      </c>
    </row>
    <row r="2232" spans="1:4">
      <c r="A2232" s="8" t="s">
        <v>404</v>
      </c>
      <c r="B2232" s="5">
        <v>1700035</v>
      </c>
      <c r="C2232" s="5" t="s">
        <v>300</v>
      </c>
      <c r="D2232" s="3">
        <f>VLOOKUP(B2232,Sheet2!$A:$O,11,0)</f>
        <v>64367</v>
      </c>
    </row>
    <row r="2233" spans="1:4">
      <c r="A2233" s="8" t="s">
        <v>404</v>
      </c>
      <c r="B2233" s="5">
        <v>1700036</v>
      </c>
      <c r="C2233" s="5" t="s">
        <v>301</v>
      </c>
      <c r="D2233" s="3">
        <f>VLOOKUP(B2233,Sheet2!$A:$O,11,0)</f>
        <v>5200</v>
      </c>
    </row>
    <row r="2234" spans="1:4">
      <c r="A2234" s="8" t="s">
        <v>404</v>
      </c>
      <c r="B2234" s="5">
        <v>1700037</v>
      </c>
      <c r="C2234" s="5" t="s">
        <v>302</v>
      </c>
      <c r="D2234" s="3">
        <f>VLOOKUP(B2234,Sheet2!$A:$O,11,0)</f>
        <v>7533</v>
      </c>
    </row>
    <row r="2235" spans="1:4">
      <c r="A2235" s="8" t="s">
        <v>404</v>
      </c>
      <c r="B2235" s="5">
        <v>1700038</v>
      </c>
      <c r="C2235" s="5" t="s">
        <v>303</v>
      </c>
      <c r="D2235" s="3">
        <f>VLOOKUP(B2235,Sheet2!$A:$O,11,0)</f>
        <v>2500</v>
      </c>
    </row>
    <row r="2236" spans="1:4">
      <c r="A2236" s="8" t="s">
        <v>404</v>
      </c>
      <c r="B2236" s="5">
        <v>1700039</v>
      </c>
      <c r="C2236" s="5" t="s">
        <v>304</v>
      </c>
      <c r="D2236" s="3">
        <f>VLOOKUP(B2236,Sheet2!$A:$O,11,0)</f>
        <v>2431</v>
      </c>
    </row>
    <row r="2237" spans="1:4">
      <c r="A2237" s="8" t="s">
        <v>404</v>
      </c>
      <c r="B2237" s="5">
        <v>1700040</v>
      </c>
      <c r="C2237" s="5" t="s">
        <v>305</v>
      </c>
      <c r="D2237" s="3">
        <f>VLOOKUP(B2237,Sheet2!$A:$O,11,0)</f>
        <v>1967</v>
      </c>
    </row>
    <row r="2238" spans="1:4">
      <c r="A2238" s="8" t="s">
        <v>404</v>
      </c>
      <c r="B2238" s="5">
        <v>1700041</v>
      </c>
      <c r="C2238" s="5" t="s">
        <v>306</v>
      </c>
      <c r="D2238" s="3">
        <f>VLOOKUP(B2238,Sheet2!$A:$O,11,0)</f>
        <v>3000</v>
      </c>
    </row>
    <row r="2239" spans="1:4">
      <c r="A2239" s="8" t="s">
        <v>404</v>
      </c>
      <c r="B2239" s="5">
        <v>1700042</v>
      </c>
      <c r="C2239" s="5" t="s">
        <v>307</v>
      </c>
      <c r="D2239" s="3">
        <f>VLOOKUP(B2239,Sheet2!$A:$O,11,0)</f>
        <v>3211</v>
      </c>
    </row>
    <row r="2240" spans="1:4">
      <c r="A2240" s="8" t="s">
        <v>404</v>
      </c>
      <c r="B2240" s="5">
        <v>1700043</v>
      </c>
      <c r="C2240" s="5" t="s">
        <v>308</v>
      </c>
      <c r="D2240" s="3">
        <f>VLOOKUP(B2240,Sheet2!$A:$O,11,0)</f>
        <v>5877</v>
      </c>
    </row>
    <row r="2241" spans="1:4">
      <c r="A2241" s="8" t="s">
        <v>404</v>
      </c>
      <c r="B2241" s="5">
        <v>1700044</v>
      </c>
      <c r="C2241" s="5" t="s">
        <v>309</v>
      </c>
      <c r="D2241" s="3">
        <f>VLOOKUP(B2241,Sheet2!$A:$O,11,0)</f>
        <v>7000</v>
      </c>
    </row>
    <row r="2242" spans="1:4">
      <c r="A2242" s="8" t="s">
        <v>404</v>
      </c>
      <c r="B2242" s="5">
        <v>1700045</v>
      </c>
      <c r="C2242" s="5" t="s">
        <v>310</v>
      </c>
      <c r="D2242" s="3">
        <f>VLOOKUP(B2242,Sheet2!$A:$O,11,0)</f>
        <v>3461</v>
      </c>
    </row>
    <row r="2243" spans="1:4">
      <c r="A2243" s="8" t="s">
        <v>404</v>
      </c>
      <c r="B2243" s="5">
        <v>1700046</v>
      </c>
      <c r="C2243" s="5" t="s">
        <v>311</v>
      </c>
      <c r="D2243" s="3">
        <f>VLOOKUP(B2243,Sheet2!$A:$O,11,0)</f>
        <v>6863</v>
      </c>
    </row>
    <row r="2244" spans="1:4">
      <c r="A2244" s="8" t="s">
        <v>404</v>
      </c>
      <c r="B2244" s="5">
        <v>1700047</v>
      </c>
      <c r="C2244" s="5" t="s">
        <v>312</v>
      </c>
      <c r="D2244" s="3">
        <f>VLOOKUP(B2244,Sheet2!$A:$O,11,0)</f>
        <v>22150</v>
      </c>
    </row>
    <row r="2245" spans="1:4">
      <c r="A2245" s="8" t="s">
        <v>404</v>
      </c>
      <c r="B2245" s="5">
        <v>1700048</v>
      </c>
      <c r="C2245" s="5" t="s">
        <v>313</v>
      </c>
      <c r="D2245" s="3">
        <f>VLOOKUP(B2245,Sheet2!$A:$O,11,0)</f>
        <v>13330</v>
      </c>
    </row>
    <row r="2246" spans="1:4">
      <c r="A2246" s="8" t="s">
        <v>404</v>
      </c>
      <c r="B2246" s="5">
        <v>1700049</v>
      </c>
      <c r="C2246" s="5" t="s">
        <v>314</v>
      </c>
      <c r="D2246" s="3">
        <f>VLOOKUP(B2246,Sheet2!$A:$O,11,0)</f>
        <v>5785</v>
      </c>
    </row>
    <row r="2247" spans="1:4">
      <c r="A2247" s="8" t="s">
        <v>404</v>
      </c>
      <c r="B2247" s="5">
        <v>1700050</v>
      </c>
      <c r="C2247" s="5" t="s">
        <v>315</v>
      </c>
      <c r="D2247" s="3">
        <f>VLOOKUP(B2247,Sheet2!$A:$O,11,0)</f>
        <v>39000</v>
      </c>
    </row>
    <row r="2248" spans="1:4">
      <c r="A2248" s="8" t="s">
        <v>404</v>
      </c>
      <c r="B2248" s="5">
        <v>1700051</v>
      </c>
      <c r="C2248" s="5" t="s">
        <v>316</v>
      </c>
      <c r="D2248" s="3">
        <f>VLOOKUP(B2248,Sheet2!$A:$O,11,0)</f>
        <v>11500</v>
      </c>
    </row>
    <row r="2249" spans="1:4">
      <c r="A2249" s="8" t="s">
        <v>404</v>
      </c>
      <c r="B2249" s="5">
        <v>1700052</v>
      </c>
      <c r="C2249" s="5" t="s">
        <v>317</v>
      </c>
      <c r="D2249" s="3">
        <f>VLOOKUP(B2249,Sheet2!$A:$O,11,0)</f>
        <v>3444</v>
      </c>
    </row>
    <row r="2250" spans="1:4">
      <c r="A2250" s="8" t="s">
        <v>404</v>
      </c>
      <c r="B2250" s="5">
        <v>1700053</v>
      </c>
      <c r="C2250" s="5" t="s">
        <v>318</v>
      </c>
      <c r="D2250" s="3">
        <f>VLOOKUP(B2250,Sheet2!$A:$O,11,0)</f>
        <v>15530</v>
      </c>
    </row>
    <row r="2251" spans="1:4">
      <c r="A2251" s="8" t="s">
        <v>404</v>
      </c>
      <c r="B2251" s="5">
        <v>1700054</v>
      </c>
      <c r="C2251" s="5" t="s">
        <v>319</v>
      </c>
      <c r="D2251" s="3">
        <f>VLOOKUP(B2251,Sheet2!$A:$O,11,0)</f>
        <v>11670</v>
      </c>
    </row>
    <row r="2252" spans="1:4">
      <c r="A2252" s="8" t="s">
        <v>404</v>
      </c>
      <c r="B2252" s="5">
        <v>1700055</v>
      </c>
      <c r="C2252" s="5" t="s">
        <v>320</v>
      </c>
      <c r="D2252" s="3">
        <f>VLOOKUP(B2252,Sheet2!$A:$O,11,0)</f>
        <v>11940</v>
      </c>
    </row>
    <row r="2253" spans="1:4">
      <c r="A2253" s="8" t="s">
        <v>404</v>
      </c>
      <c r="B2253" s="5">
        <v>1700056</v>
      </c>
      <c r="C2253" s="5" t="s">
        <v>321</v>
      </c>
      <c r="D2253" s="3">
        <f>VLOOKUP(B2253,Sheet2!$A:$O,11,0)</f>
        <v>6226</v>
      </c>
    </row>
    <row r="2254" spans="1:4">
      <c r="A2254" s="8" t="s">
        <v>404</v>
      </c>
      <c r="B2254" s="5">
        <v>1700057</v>
      </c>
      <c r="C2254" s="5" t="s">
        <v>322</v>
      </c>
      <c r="D2254" s="3">
        <f>VLOOKUP(B2254,Sheet2!$A:$O,11,0)</f>
        <v>2098</v>
      </c>
    </row>
    <row r="2255" spans="1:4">
      <c r="A2255" s="8" t="s">
        <v>404</v>
      </c>
      <c r="B2255" s="5">
        <v>1700058</v>
      </c>
      <c r="C2255" s="5" t="s">
        <v>323</v>
      </c>
      <c r="D2255" s="3">
        <f>VLOOKUP(B2255,Sheet2!$A:$O,11,0)</f>
        <v>5800</v>
      </c>
    </row>
    <row r="2256" spans="1:4">
      <c r="A2256" s="8" t="s">
        <v>404</v>
      </c>
      <c r="B2256" s="5">
        <v>1700059</v>
      </c>
      <c r="C2256" s="5" t="s">
        <v>324</v>
      </c>
      <c r="D2256" s="3">
        <f>VLOOKUP(B2256,Sheet2!$A:$O,11,0)</f>
        <v>27667</v>
      </c>
    </row>
    <row r="2257" spans="1:4">
      <c r="A2257" s="8" t="s">
        <v>404</v>
      </c>
      <c r="B2257" s="5">
        <v>1700060</v>
      </c>
      <c r="C2257" s="5" t="s">
        <v>325</v>
      </c>
      <c r="D2257" s="3">
        <f>VLOOKUP(B2257,Sheet2!$A:$O,11,0)</f>
        <v>3402</v>
      </c>
    </row>
    <row r="2258" spans="1:4">
      <c r="A2258" s="8" t="s">
        <v>404</v>
      </c>
      <c r="B2258" s="5">
        <v>1700061</v>
      </c>
      <c r="C2258" s="5" t="s">
        <v>326</v>
      </c>
      <c r="D2258" s="3">
        <f>VLOOKUP(B2258,Sheet2!$A:$O,11,0)</f>
        <v>8920</v>
      </c>
    </row>
    <row r="2259" spans="1:4">
      <c r="A2259" s="8" t="s">
        <v>404</v>
      </c>
      <c r="B2259" s="5">
        <v>1700062</v>
      </c>
      <c r="C2259" s="5" t="s">
        <v>327</v>
      </c>
      <c r="D2259" s="3">
        <f>VLOOKUP(B2259,Sheet2!$A:$O,11,0)</f>
        <v>10520</v>
      </c>
    </row>
    <row r="2260" spans="1:4">
      <c r="A2260" s="8" t="s">
        <v>404</v>
      </c>
      <c r="B2260" s="5">
        <v>1700063</v>
      </c>
      <c r="C2260" s="5" t="s">
        <v>328</v>
      </c>
      <c r="D2260" s="3">
        <f>VLOOKUP(B2260,Sheet2!$A:$O,11,0)</f>
        <v>10550</v>
      </c>
    </row>
    <row r="2261" spans="1:4">
      <c r="A2261" s="8" t="s">
        <v>404</v>
      </c>
      <c r="B2261" s="5">
        <v>1700064</v>
      </c>
      <c r="C2261" s="5" t="s">
        <v>329</v>
      </c>
      <c r="D2261" s="3">
        <f>VLOOKUP(B2261,Sheet2!$A:$O,11,0)</f>
        <v>11060</v>
      </c>
    </row>
    <row r="2262" spans="1:4">
      <c r="A2262" s="8" t="s">
        <v>404</v>
      </c>
      <c r="B2262" s="5">
        <v>1700065</v>
      </c>
      <c r="C2262" s="5" t="s">
        <v>330</v>
      </c>
      <c r="D2262" s="3">
        <f>VLOOKUP(B2262,Sheet2!$A:$O,11,0)</f>
        <v>12760</v>
      </c>
    </row>
    <row r="2263" spans="1:4">
      <c r="A2263" s="8" t="s">
        <v>404</v>
      </c>
      <c r="B2263" s="5">
        <v>1700066</v>
      </c>
      <c r="C2263" s="5" t="s">
        <v>331</v>
      </c>
      <c r="D2263" s="3">
        <f>VLOOKUP(B2263,Sheet2!$A:$O,11,0)</f>
        <v>13200</v>
      </c>
    </row>
    <row r="2264" spans="1:4">
      <c r="A2264" s="8" t="s">
        <v>404</v>
      </c>
      <c r="B2264" s="5">
        <v>1700067</v>
      </c>
      <c r="C2264" s="5" t="s">
        <v>332</v>
      </c>
      <c r="D2264" s="3">
        <f>VLOOKUP(B2264,Sheet2!$A:$O,11,0)</f>
        <v>10720</v>
      </c>
    </row>
    <row r="2265" spans="1:4">
      <c r="A2265" s="8" t="s">
        <v>404</v>
      </c>
      <c r="B2265" s="5">
        <v>1700068</v>
      </c>
      <c r="C2265" s="5" t="s">
        <v>333</v>
      </c>
      <c r="D2265" s="3">
        <f>VLOOKUP(B2265,Sheet2!$A:$O,11,0)</f>
        <v>12720</v>
      </c>
    </row>
    <row r="2266" spans="1:4">
      <c r="A2266" s="8" t="s">
        <v>404</v>
      </c>
      <c r="B2266" s="5">
        <v>1700069</v>
      </c>
      <c r="C2266" s="5" t="s">
        <v>334</v>
      </c>
      <c r="D2266" s="3">
        <f>VLOOKUP(B2266,Sheet2!$A:$O,11,0)</f>
        <v>14000</v>
      </c>
    </row>
    <row r="2267" spans="1:4">
      <c r="A2267" s="8" t="s">
        <v>404</v>
      </c>
      <c r="B2267" s="5">
        <v>1700070</v>
      </c>
      <c r="C2267" s="5" t="s">
        <v>335</v>
      </c>
      <c r="D2267" s="3">
        <f>VLOOKUP(B2267,Sheet2!$A:$O,11,0)</f>
        <v>1618</v>
      </c>
    </row>
    <row r="2268" spans="1:4">
      <c r="A2268" s="8" t="s">
        <v>404</v>
      </c>
      <c r="B2268" s="5">
        <v>1700071</v>
      </c>
      <c r="C2268" s="5" t="s">
        <v>336</v>
      </c>
      <c r="D2268" s="3">
        <f>VLOOKUP(B2268,Sheet2!$A:$O,11,0)</f>
        <v>12190</v>
      </c>
    </row>
    <row r="2269" spans="1:4">
      <c r="A2269" s="8" t="s">
        <v>404</v>
      </c>
      <c r="B2269" s="5">
        <v>1700072</v>
      </c>
      <c r="C2269" s="5" t="s">
        <v>337</v>
      </c>
      <c r="D2269" s="3">
        <f>VLOOKUP(B2269,Sheet2!$A:$O,11,0)</f>
        <v>10180</v>
      </c>
    </row>
    <row r="2270" spans="1:4">
      <c r="A2270" s="8" t="s">
        <v>404</v>
      </c>
      <c r="B2270" s="5">
        <v>1700073</v>
      </c>
      <c r="C2270" s="5" t="s">
        <v>338</v>
      </c>
      <c r="D2270" s="3">
        <f>VLOOKUP(B2270,Sheet2!$A:$O,11,0)</f>
        <v>9020</v>
      </c>
    </row>
    <row r="2271" spans="1:4">
      <c r="A2271" s="8" t="s">
        <v>404</v>
      </c>
      <c r="B2271" s="5">
        <v>1700076</v>
      </c>
      <c r="C2271" s="5" t="s">
        <v>339</v>
      </c>
      <c r="D2271" s="3">
        <f>VLOOKUP(B2271,Sheet2!$A:$O,11,0)</f>
        <v>3187</v>
      </c>
    </row>
    <row r="2272" spans="1:4">
      <c r="A2272" s="8" t="s">
        <v>404</v>
      </c>
      <c r="B2272" s="5">
        <v>1700077</v>
      </c>
      <c r="C2272" s="5" t="s">
        <v>340</v>
      </c>
      <c r="D2272" s="3">
        <f>VLOOKUP(B2272,Sheet2!$A:$O,11,0)</f>
        <v>3015</v>
      </c>
    </row>
    <row r="2273" spans="1:4">
      <c r="A2273" s="8" t="s">
        <v>404</v>
      </c>
      <c r="B2273" s="5">
        <v>1700078</v>
      </c>
      <c r="C2273" s="5" t="s">
        <v>341</v>
      </c>
      <c r="D2273" s="3">
        <f>VLOOKUP(B2273,Sheet2!$A:$O,11,0)</f>
        <v>4716</v>
      </c>
    </row>
    <row r="2274" spans="1:4">
      <c r="A2274" s="8" t="s">
        <v>404</v>
      </c>
      <c r="B2274" s="5">
        <v>1700080</v>
      </c>
      <c r="C2274" s="5" t="s">
        <v>342</v>
      </c>
      <c r="D2274" s="3">
        <f>VLOOKUP(B2274,Sheet2!$A:$O,11,0)</f>
        <v>3529</v>
      </c>
    </row>
    <row r="2275" spans="1:4">
      <c r="A2275" s="8" t="s">
        <v>404</v>
      </c>
      <c r="B2275" s="5">
        <v>1700083</v>
      </c>
      <c r="C2275" s="5" t="s">
        <v>343</v>
      </c>
      <c r="D2275" s="3">
        <f>VLOOKUP(B2275,Sheet2!$A:$O,11,0)</f>
        <v>8333</v>
      </c>
    </row>
    <row r="2276" spans="1:4">
      <c r="A2276" s="8" t="s">
        <v>404</v>
      </c>
      <c r="B2276" s="5">
        <v>1700084</v>
      </c>
      <c r="C2276" s="5" t="s">
        <v>344</v>
      </c>
      <c r="D2276" s="3">
        <f>VLOOKUP(B2276,Sheet2!$A:$O,11,0)</f>
        <v>6282</v>
      </c>
    </row>
    <row r="2277" spans="1:4">
      <c r="A2277" s="8" t="s">
        <v>404</v>
      </c>
      <c r="B2277" s="5">
        <v>1700085</v>
      </c>
      <c r="C2277" s="5" t="s">
        <v>345</v>
      </c>
      <c r="D2277" s="3">
        <f>VLOOKUP(B2277,Sheet2!$A:$O,11,0)</f>
        <v>7860</v>
      </c>
    </row>
    <row r="2278" spans="1:4">
      <c r="A2278" s="8" t="s">
        <v>404</v>
      </c>
      <c r="B2278" s="5">
        <v>1700086</v>
      </c>
      <c r="C2278" s="5" t="s">
        <v>346</v>
      </c>
      <c r="D2278" s="3">
        <f>VLOOKUP(B2278,Sheet2!$A:$O,11,0)</f>
        <v>1814</v>
      </c>
    </row>
    <row r="2279" spans="1:4">
      <c r="A2279" s="8" t="s">
        <v>404</v>
      </c>
      <c r="B2279" s="5">
        <v>1700087</v>
      </c>
      <c r="C2279" s="5" t="s">
        <v>347</v>
      </c>
      <c r="D2279" s="3">
        <f>VLOOKUP(B2279,Sheet2!$A:$O,11,0)</f>
        <v>4890</v>
      </c>
    </row>
    <row r="2280" spans="1:4">
      <c r="A2280" s="8" t="s">
        <v>404</v>
      </c>
      <c r="B2280" s="5">
        <v>1700088</v>
      </c>
      <c r="C2280" s="5" t="s">
        <v>348</v>
      </c>
      <c r="D2280" s="3">
        <f>VLOOKUP(B2280,Sheet2!$A:$O,11,0)</f>
        <v>15500</v>
      </c>
    </row>
    <row r="2281" spans="1:4">
      <c r="A2281" s="8" t="s">
        <v>404</v>
      </c>
      <c r="B2281" s="5">
        <v>1700089</v>
      </c>
      <c r="C2281" s="5" t="s">
        <v>349</v>
      </c>
      <c r="D2281" s="3">
        <f>VLOOKUP(B2281,Sheet2!$A:$O,11,0)</f>
        <v>18500</v>
      </c>
    </row>
    <row r="2282" spans="1:4">
      <c r="A2282" s="8" t="s">
        <v>404</v>
      </c>
      <c r="B2282" s="5">
        <v>1700090</v>
      </c>
      <c r="C2282" s="5" t="s">
        <v>350</v>
      </c>
      <c r="D2282" s="3">
        <f>VLOOKUP(B2282,Sheet2!$A:$O,11,0)</f>
        <v>25490</v>
      </c>
    </row>
    <row r="2283" spans="1:4">
      <c r="A2283" s="8" t="s">
        <v>404</v>
      </c>
      <c r="B2283" s="5">
        <v>1700091</v>
      </c>
      <c r="C2283" s="5" t="s">
        <v>351</v>
      </c>
      <c r="D2283" s="3">
        <f>VLOOKUP(B2283,Sheet2!$A:$O,11,0)</f>
        <v>18353</v>
      </c>
    </row>
    <row r="2284" spans="1:4">
      <c r="A2284" s="8" t="s">
        <v>404</v>
      </c>
      <c r="B2284" s="5">
        <v>1700092</v>
      </c>
      <c r="C2284" s="5" t="s">
        <v>352</v>
      </c>
      <c r="D2284" s="3">
        <f>VLOOKUP(B2284,Sheet2!$A:$O,11,0)</f>
        <v>1922</v>
      </c>
    </row>
    <row r="2285" spans="1:4">
      <c r="A2285" s="8" t="s">
        <v>404</v>
      </c>
      <c r="B2285" s="5">
        <v>1700093</v>
      </c>
      <c r="C2285" s="5" t="s">
        <v>353</v>
      </c>
      <c r="D2285" s="3">
        <f>VLOOKUP(B2285,Sheet2!$A:$O,11,0)</f>
        <v>11180</v>
      </c>
    </row>
    <row r="2286" spans="1:4">
      <c r="A2286" s="8" t="s">
        <v>404</v>
      </c>
      <c r="B2286" s="5">
        <v>1700094</v>
      </c>
      <c r="C2286" s="5" t="s">
        <v>354</v>
      </c>
      <c r="D2286" s="3">
        <f>VLOOKUP(B2286,Sheet2!$A:$O,11,0)</f>
        <v>13529</v>
      </c>
    </row>
    <row r="2287" spans="1:4">
      <c r="A2287" s="8" t="s">
        <v>404</v>
      </c>
      <c r="B2287" s="5">
        <v>1700095</v>
      </c>
      <c r="C2287" s="5" t="s">
        <v>355</v>
      </c>
      <c r="D2287" s="3">
        <f>VLOOKUP(B2287,Sheet2!$A:$O,11,0)</f>
        <v>4500</v>
      </c>
    </row>
    <row r="2288" spans="1:4">
      <c r="A2288" s="8" t="s">
        <v>404</v>
      </c>
      <c r="B2288" s="5">
        <v>1700096</v>
      </c>
      <c r="C2288" s="5" t="s">
        <v>356</v>
      </c>
      <c r="D2288" s="3">
        <f>VLOOKUP(B2288,Sheet2!$A:$O,11,0)</f>
        <v>24510</v>
      </c>
    </row>
    <row r="2289" spans="1:4">
      <c r="A2289" s="8" t="s">
        <v>404</v>
      </c>
      <c r="B2289" s="5">
        <v>1700097</v>
      </c>
      <c r="C2289" s="5" t="s">
        <v>357</v>
      </c>
      <c r="D2289" s="3">
        <f>VLOOKUP(B2289,Sheet2!$A:$O,11,0)</f>
        <v>19608</v>
      </c>
    </row>
    <row r="2290" spans="1:4">
      <c r="A2290" s="8" t="s">
        <v>404</v>
      </c>
      <c r="B2290" s="5">
        <v>1700098</v>
      </c>
      <c r="C2290" s="5" t="s">
        <v>358</v>
      </c>
      <c r="D2290" s="3">
        <f>VLOOKUP(B2290,Sheet2!$A:$O,11,0)</f>
        <v>19608</v>
      </c>
    </row>
    <row r="2291" spans="1:4">
      <c r="A2291" s="8" t="s">
        <v>404</v>
      </c>
      <c r="B2291" s="5">
        <v>1700099</v>
      </c>
      <c r="C2291" s="5" t="s">
        <v>359</v>
      </c>
      <c r="D2291" s="3">
        <f>VLOOKUP(B2291,Sheet2!$A:$O,11,0)</f>
        <v>9000</v>
      </c>
    </row>
    <row r="2292" spans="1:4">
      <c r="A2292" s="8" t="s">
        <v>404</v>
      </c>
      <c r="B2292" s="5">
        <v>1700100</v>
      </c>
      <c r="C2292" s="5" t="s">
        <v>360</v>
      </c>
      <c r="D2292" s="3">
        <f>VLOOKUP(B2292,Sheet2!$A:$O,11,0)</f>
        <v>3333</v>
      </c>
    </row>
    <row r="2293" spans="1:4">
      <c r="A2293" s="8" t="s">
        <v>404</v>
      </c>
      <c r="B2293" s="5">
        <v>1700101</v>
      </c>
      <c r="C2293" s="5" t="s">
        <v>361</v>
      </c>
      <c r="D2293" s="3">
        <f>VLOOKUP(B2293,Sheet2!$A:$O,11,0)</f>
        <v>7647</v>
      </c>
    </row>
    <row r="2294" spans="1:4">
      <c r="A2294" s="8" t="s">
        <v>404</v>
      </c>
      <c r="B2294" s="5">
        <v>1700102</v>
      </c>
      <c r="C2294" s="5" t="s">
        <v>362</v>
      </c>
      <c r="D2294" s="3">
        <f>VLOOKUP(B2294,Sheet2!$A:$O,11,0)</f>
        <v>40196</v>
      </c>
    </row>
    <row r="2295" spans="1:4">
      <c r="A2295" s="8" t="s">
        <v>404</v>
      </c>
      <c r="B2295" s="5">
        <v>1700103</v>
      </c>
      <c r="C2295" s="5" t="s">
        <v>363</v>
      </c>
      <c r="D2295" s="3">
        <f>VLOOKUP(B2295,Sheet2!$A:$O,11,0)</f>
        <v>9000</v>
      </c>
    </row>
    <row r="2296" spans="1:4">
      <c r="A2296" s="8" t="s">
        <v>404</v>
      </c>
      <c r="B2296" s="5">
        <v>1700104</v>
      </c>
      <c r="C2296" s="5" t="s">
        <v>364</v>
      </c>
      <c r="D2296" s="3">
        <f>VLOOKUP(B2296,Sheet2!$A:$O,11,0)</f>
        <v>22620</v>
      </c>
    </row>
    <row r="2297" spans="1:4">
      <c r="A2297" s="8" t="s">
        <v>404</v>
      </c>
      <c r="B2297" s="5">
        <v>1700105</v>
      </c>
      <c r="C2297" s="5" t="s">
        <v>365</v>
      </c>
      <c r="D2297" s="3">
        <f>VLOOKUP(B2297,Sheet2!$A:$O,11,0)</f>
        <v>10588</v>
      </c>
    </row>
    <row r="2298" spans="1:4">
      <c r="A2298" s="8" t="s">
        <v>404</v>
      </c>
      <c r="B2298" s="5">
        <v>1700106</v>
      </c>
      <c r="C2298" s="5" t="s">
        <v>366</v>
      </c>
      <c r="D2298" s="3">
        <f>VLOOKUP(B2298,Sheet2!$A:$O,11,0)</f>
        <v>14020</v>
      </c>
    </row>
    <row r="2299" spans="1:4">
      <c r="A2299" s="8" t="s">
        <v>404</v>
      </c>
      <c r="B2299" s="5">
        <v>1700107</v>
      </c>
      <c r="C2299" s="5" t="s">
        <v>367</v>
      </c>
      <c r="D2299" s="3">
        <f>VLOOKUP(B2299,Sheet2!$A:$O,11,0)</f>
        <v>9020</v>
      </c>
    </row>
    <row r="2300" spans="1:4">
      <c r="A2300" s="8" t="s">
        <v>404</v>
      </c>
      <c r="B2300" s="5">
        <v>1800002</v>
      </c>
      <c r="C2300" s="5" t="s">
        <v>368</v>
      </c>
      <c r="D2300" s="3">
        <f>VLOOKUP(B2300,Sheet2!$A:$O,11,0)</f>
        <v>9520</v>
      </c>
    </row>
    <row r="2301" spans="1:4">
      <c r="A2301" s="8" t="s">
        <v>404</v>
      </c>
      <c r="B2301" s="5">
        <v>1800004</v>
      </c>
      <c r="C2301" s="5" t="s">
        <v>369</v>
      </c>
      <c r="D2301" s="3">
        <f>VLOOKUP(B2301,Sheet2!$A:$O,11,0)</f>
        <v>0</v>
      </c>
    </row>
    <row r="2302" spans="1:4">
      <c r="A2302" s="8" t="s">
        <v>404</v>
      </c>
      <c r="B2302" s="5">
        <v>1800005</v>
      </c>
      <c r="C2302" s="5" t="s">
        <v>370</v>
      </c>
      <c r="D2302" s="3">
        <f>VLOOKUP(B2302,Sheet2!$A:$O,11,0)</f>
        <v>0</v>
      </c>
    </row>
    <row r="2303" spans="1:4">
      <c r="A2303" s="8" t="s">
        <v>404</v>
      </c>
      <c r="B2303" s="5">
        <v>1800006</v>
      </c>
      <c r="C2303" s="5" t="s">
        <v>371</v>
      </c>
      <c r="D2303" s="3">
        <f>VLOOKUP(B2303,Sheet2!$A:$O,11,0)</f>
        <v>0</v>
      </c>
    </row>
    <row r="2304" spans="1:4">
      <c r="A2304" s="8" t="s">
        <v>404</v>
      </c>
      <c r="B2304" s="5">
        <v>1800007</v>
      </c>
      <c r="C2304" s="5" t="s">
        <v>372</v>
      </c>
      <c r="D2304" s="3">
        <f>VLOOKUP(B2304,Sheet2!$A:$O,11,0)</f>
        <v>10000</v>
      </c>
    </row>
    <row r="2305" spans="1:4">
      <c r="A2305" s="8" t="s">
        <v>404</v>
      </c>
      <c r="B2305" s="5">
        <v>1800008</v>
      </c>
      <c r="C2305" s="5" t="s">
        <v>373</v>
      </c>
      <c r="D2305" s="3">
        <f>VLOOKUP(B2305,Sheet2!$A:$O,11,0)</f>
        <v>10110</v>
      </c>
    </row>
    <row r="2306" spans="1:4">
      <c r="A2306" s="8" t="s">
        <v>404</v>
      </c>
      <c r="B2306" s="5">
        <v>1800009</v>
      </c>
      <c r="C2306" s="5" t="s">
        <v>374</v>
      </c>
      <c r="D2306" s="3">
        <f>VLOOKUP(B2306,Sheet2!$A:$O,11,0)</f>
        <v>11800</v>
      </c>
    </row>
    <row r="2307" spans="1:4">
      <c r="A2307" s="8" t="s">
        <v>404</v>
      </c>
      <c r="B2307" s="5">
        <v>1800010</v>
      </c>
      <c r="C2307" s="5" t="s">
        <v>375</v>
      </c>
      <c r="D2307" s="3">
        <f>VLOOKUP(B2307,Sheet2!$A:$O,11,0)</f>
        <v>5784</v>
      </c>
    </row>
    <row r="2308" spans="1:4">
      <c r="A2308" s="8" t="s">
        <v>404</v>
      </c>
      <c r="B2308" s="5">
        <v>1800011</v>
      </c>
      <c r="C2308" s="5" t="s">
        <v>376</v>
      </c>
      <c r="D2308" s="3">
        <f>VLOOKUP(B2308,Sheet2!$A:$O,11,0)</f>
        <v>9363</v>
      </c>
    </row>
    <row r="2309" spans="1:4">
      <c r="A2309" s="8" t="s">
        <v>404</v>
      </c>
      <c r="B2309" s="5">
        <v>1800012</v>
      </c>
      <c r="C2309" s="5" t="s">
        <v>377</v>
      </c>
      <c r="D2309" s="3">
        <f>VLOOKUP(B2309,Sheet2!$A:$O,11,0)</f>
        <v>5725</v>
      </c>
    </row>
    <row r="2310" spans="1:4">
      <c r="A2310" s="8" t="s">
        <v>404</v>
      </c>
      <c r="B2310" s="5">
        <v>1800013</v>
      </c>
      <c r="C2310" s="5" t="s">
        <v>378</v>
      </c>
      <c r="D2310" s="3">
        <f>VLOOKUP(B2310,Sheet2!$A:$O,11,0)</f>
        <v>49100</v>
      </c>
    </row>
    <row r="2311" spans="1:4">
      <c r="A2311" s="8" t="s">
        <v>404</v>
      </c>
      <c r="B2311" s="5">
        <v>1800014</v>
      </c>
      <c r="C2311" s="5" t="s">
        <v>379</v>
      </c>
      <c r="D2311" s="3">
        <f>VLOOKUP(B2311,Sheet2!$A:$O,11,0)</f>
        <v>70000</v>
      </c>
    </row>
    <row r="2312" spans="1:4">
      <c r="A2312" s="8" t="s">
        <v>404</v>
      </c>
      <c r="B2312" s="5">
        <v>1800015</v>
      </c>
      <c r="C2312" s="5" t="s">
        <v>380</v>
      </c>
      <c r="D2312" s="3">
        <f>VLOOKUP(B2312,Sheet2!$A:$O,11,0)</f>
        <v>66700</v>
      </c>
    </row>
    <row r="2313" spans="1:4">
      <c r="A2313" s="8" t="s">
        <v>404</v>
      </c>
      <c r="B2313" s="5">
        <v>1900013</v>
      </c>
      <c r="C2313" s="5" t="s">
        <v>381</v>
      </c>
      <c r="D2313" s="3">
        <f>VLOOKUP(B2313,Sheet2!$A:$O,11,0)</f>
        <v>0</v>
      </c>
    </row>
    <row r="2314" spans="1:4">
      <c r="A2314" s="8" t="s">
        <v>404</v>
      </c>
      <c r="B2314" s="5">
        <v>1900018</v>
      </c>
      <c r="C2314" s="5" t="s">
        <v>382</v>
      </c>
      <c r="D2314" s="3">
        <f>VLOOKUP(B2314,Sheet2!$A:$O,11,0)</f>
        <v>0</v>
      </c>
    </row>
    <row r="2315" spans="1:4">
      <c r="A2315" s="8" t="s">
        <v>405</v>
      </c>
      <c r="B2315" s="5">
        <v>1010101</v>
      </c>
      <c r="C2315" s="5" t="s">
        <v>5</v>
      </c>
      <c r="D2315" s="3">
        <f>VLOOKUP(B2315,Sheet2!$A:$O,12,0)</f>
        <v>698</v>
      </c>
    </row>
    <row r="2316" spans="1:4">
      <c r="A2316" s="8" t="s">
        <v>405</v>
      </c>
      <c r="B2316" s="5">
        <v>1010111</v>
      </c>
      <c r="C2316" s="5" t="s">
        <v>9</v>
      </c>
      <c r="D2316" s="3">
        <f>VLOOKUP(B2316,Sheet2!$A:$O,12,0)</f>
        <v>19100</v>
      </c>
    </row>
    <row r="2317" spans="1:4">
      <c r="A2317" s="8" t="s">
        <v>405</v>
      </c>
      <c r="B2317" s="5">
        <v>1010201</v>
      </c>
      <c r="C2317" s="5" t="s">
        <v>11</v>
      </c>
      <c r="D2317" s="3">
        <f>VLOOKUP(B2317,Sheet2!$A:$O,12,0)</f>
        <v>882</v>
      </c>
    </row>
    <row r="2318" spans="1:4">
      <c r="A2318" s="8" t="s">
        <v>405</v>
      </c>
      <c r="B2318" s="5">
        <v>1010300</v>
      </c>
      <c r="C2318" s="5" t="s">
        <v>213</v>
      </c>
      <c r="D2318" s="3">
        <f>VLOOKUP(B2318,Sheet2!$A:$O,12,0)</f>
        <v>5490</v>
      </c>
    </row>
    <row r="2319" spans="1:4">
      <c r="A2319" s="8" t="s">
        <v>405</v>
      </c>
      <c r="B2319" s="5">
        <v>1010301</v>
      </c>
      <c r="C2319" s="5" t="s">
        <v>214</v>
      </c>
      <c r="D2319" s="3">
        <f>VLOOKUP(B2319,Sheet2!$A:$O,12,0)</f>
        <v>6187</v>
      </c>
    </row>
    <row r="2320" spans="1:4">
      <c r="A2320" s="8" t="s">
        <v>405</v>
      </c>
      <c r="B2320" s="5">
        <v>1010302</v>
      </c>
      <c r="C2320" s="5" t="s">
        <v>16</v>
      </c>
      <c r="D2320" s="3">
        <f>VLOOKUP(B2320,Sheet2!$A:$O,12,0)</f>
        <v>4216</v>
      </c>
    </row>
    <row r="2321" spans="1:4">
      <c r="A2321" s="8" t="s">
        <v>405</v>
      </c>
      <c r="B2321" s="5">
        <v>1010303</v>
      </c>
      <c r="C2321" s="5" t="s">
        <v>18</v>
      </c>
      <c r="D2321" s="3">
        <f>VLOOKUP(B2321,Sheet2!$A:$O,12,0)</f>
        <v>882</v>
      </c>
    </row>
    <row r="2322" spans="1:4">
      <c r="A2322" s="8" t="s">
        <v>405</v>
      </c>
      <c r="B2322" s="5">
        <v>1010304</v>
      </c>
      <c r="C2322" s="5" t="s">
        <v>215</v>
      </c>
      <c r="D2322" s="3">
        <f>VLOOKUP(B2322,Sheet2!$A:$O,12,0)</f>
        <v>1422</v>
      </c>
    </row>
    <row r="2323" spans="1:4">
      <c r="A2323" s="8" t="s">
        <v>405</v>
      </c>
      <c r="B2323" s="5">
        <v>1010401</v>
      </c>
      <c r="C2323" s="5" t="s">
        <v>20</v>
      </c>
      <c r="D2323" s="3">
        <f>VLOOKUP(B2323,Sheet2!$A:$O,12,0)</f>
        <v>3627</v>
      </c>
    </row>
    <row r="2324" spans="1:4">
      <c r="A2324" s="8" t="s">
        <v>405</v>
      </c>
      <c r="B2324" s="5">
        <v>1010405</v>
      </c>
      <c r="C2324" s="5" t="s">
        <v>22</v>
      </c>
      <c r="D2324" s="3">
        <f>VLOOKUP(B2324,Sheet2!$A:$O,12,0)</f>
        <v>9975</v>
      </c>
    </row>
    <row r="2325" spans="1:4">
      <c r="A2325" s="8" t="s">
        <v>405</v>
      </c>
      <c r="B2325" s="5">
        <v>1010501</v>
      </c>
      <c r="C2325" s="5" t="s">
        <v>24</v>
      </c>
      <c r="D2325" s="3">
        <f>VLOOKUP(B2325,Sheet2!$A:$O,12,0)</f>
        <v>980</v>
      </c>
    </row>
    <row r="2326" spans="1:4">
      <c r="A2326" s="8" t="s">
        <v>405</v>
      </c>
      <c r="B2326" s="5">
        <v>1010502</v>
      </c>
      <c r="C2326" s="5" t="s">
        <v>216</v>
      </c>
      <c r="D2326" s="3">
        <f>VLOOKUP(B2326,Sheet2!$A:$O,12,0)</f>
        <v>0</v>
      </c>
    </row>
    <row r="2327" spans="1:4">
      <c r="A2327" s="8" t="s">
        <v>405</v>
      </c>
      <c r="B2327" s="5">
        <v>1010601</v>
      </c>
      <c r="C2327" s="5" t="s">
        <v>26</v>
      </c>
      <c r="D2327" s="3">
        <f>VLOOKUP(B2327,Sheet2!$A:$O,12,0)</f>
        <v>4412</v>
      </c>
    </row>
    <row r="2328" spans="1:4">
      <c r="A2328" s="8" t="s">
        <v>405</v>
      </c>
      <c r="B2328" s="5">
        <v>1010701</v>
      </c>
      <c r="C2328" s="5" t="s">
        <v>28</v>
      </c>
      <c r="D2328" s="3">
        <f>VLOOKUP(B2328,Sheet2!$A:$O,12,0)</f>
        <v>686</v>
      </c>
    </row>
    <row r="2329" spans="1:4">
      <c r="A2329" s="8" t="s">
        <v>405</v>
      </c>
      <c r="B2329" s="5">
        <v>1010801</v>
      </c>
      <c r="C2329" s="5" t="s">
        <v>30</v>
      </c>
      <c r="D2329" s="3">
        <f>VLOOKUP(B2329,Sheet2!$A:$O,12,0)</f>
        <v>7157</v>
      </c>
    </row>
    <row r="2330" spans="1:4">
      <c r="A2330" s="8" t="s">
        <v>405</v>
      </c>
      <c r="B2330" s="5">
        <v>1010901</v>
      </c>
      <c r="C2330" s="5" t="s">
        <v>32</v>
      </c>
      <c r="D2330" s="3">
        <f>VLOOKUP(B2330,Sheet2!$A:$O,12,0)</f>
        <v>4804</v>
      </c>
    </row>
    <row r="2331" spans="1:4">
      <c r="A2331" s="8" t="s">
        <v>405</v>
      </c>
      <c r="B2331" s="5">
        <v>1020101</v>
      </c>
      <c r="C2331" s="5" t="s">
        <v>34</v>
      </c>
      <c r="D2331" s="3">
        <f>VLOOKUP(B2331,Sheet2!$A:$O,12,0)</f>
        <v>17451</v>
      </c>
    </row>
    <row r="2332" spans="1:4">
      <c r="A2332" s="8" t="s">
        <v>405</v>
      </c>
      <c r="B2332" s="5">
        <v>1020201</v>
      </c>
      <c r="C2332" s="5" t="s">
        <v>217</v>
      </c>
      <c r="D2332" s="3">
        <f>VLOOKUP(B2332,Sheet2!$A:$O,12,0)</f>
        <v>5600</v>
      </c>
    </row>
    <row r="2333" spans="1:4">
      <c r="A2333" s="8" t="s">
        <v>405</v>
      </c>
      <c r="B2333" s="5">
        <v>1020301</v>
      </c>
      <c r="C2333" s="5" t="s">
        <v>38</v>
      </c>
      <c r="D2333" s="3">
        <f>VLOOKUP(B2333,Sheet2!$A:$O,12,0)</f>
        <v>2100</v>
      </c>
    </row>
    <row r="2334" spans="1:4">
      <c r="A2334" s="8" t="s">
        <v>405</v>
      </c>
      <c r="B2334" s="5">
        <v>1020401</v>
      </c>
      <c r="C2334" s="5" t="s">
        <v>40</v>
      </c>
      <c r="D2334" s="3">
        <f>VLOOKUP(B2334,Sheet2!$A:$O,12,0)</f>
        <v>3600</v>
      </c>
    </row>
    <row r="2335" spans="1:4">
      <c r="A2335" s="8" t="s">
        <v>405</v>
      </c>
      <c r="B2335" s="5">
        <v>1030102</v>
      </c>
      <c r="C2335" s="5" t="s">
        <v>218</v>
      </c>
      <c r="D2335" s="3">
        <f>VLOOKUP(B2335,Sheet2!$A:$O,12,0)</f>
        <v>0</v>
      </c>
    </row>
    <row r="2336" spans="1:4">
      <c r="A2336" s="8" t="s">
        <v>405</v>
      </c>
      <c r="B2336" s="5">
        <v>1030201</v>
      </c>
      <c r="C2336" s="5" t="s">
        <v>42</v>
      </c>
      <c r="D2336" s="3">
        <f>VLOOKUP(B2336,Sheet2!$A:$O,12,0)</f>
        <v>2941</v>
      </c>
    </row>
    <row r="2337" spans="1:4">
      <c r="A2337" s="8" t="s">
        <v>405</v>
      </c>
      <c r="B2337" s="5">
        <v>1030203</v>
      </c>
      <c r="C2337" s="5" t="s">
        <v>219</v>
      </c>
      <c r="D2337" s="3">
        <f>VLOOKUP(B2337,Sheet2!$A:$O,12,0)</f>
        <v>0</v>
      </c>
    </row>
    <row r="2338" spans="1:4">
      <c r="A2338" s="8" t="s">
        <v>405</v>
      </c>
      <c r="B2338" s="5">
        <v>1030204</v>
      </c>
      <c r="C2338" s="5" t="s">
        <v>220</v>
      </c>
      <c r="D2338" s="3">
        <f>VLOOKUP(B2338,Sheet2!$A:$O,12,0)</f>
        <v>0</v>
      </c>
    </row>
    <row r="2339" spans="1:4">
      <c r="A2339" s="8" t="s">
        <v>405</v>
      </c>
      <c r="B2339" s="5">
        <v>1030205</v>
      </c>
      <c r="C2339" s="5" t="s">
        <v>44</v>
      </c>
      <c r="D2339" s="3">
        <f>VLOOKUP(B2339,Sheet2!$A:$O,12,0)</f>
        <v>5000</v>
      </c>
    </row>
    <row r="2340" spans="1:4">
      <c r="A2340" s="8" t="s">
        <v>405</v>
      </c>
      <c r="B2340" s="5">
        <v>1030206</v>
      </c>
      <c r="C2340" s="5" t="s">
        <v>46</v>
      </c>
      <c r="D2340" s="3">
        <f>VLOOKUP(B2340,Sheet2!$A:$O,12,0)</f>
        <v>6200</v>
      </c>
    </row>
    <row r="2341" spans="1:4">
      <c r="A2341" s="8" t="s">
        <v>405</v>
      </c>
      <c r="B2341" s="5">
        <v>1030207</v>
      </c>
      <c r="C2341" s="5" t="s">
        <v>48</v>
      </c>
      <c r="D2341" s="3">
        <f>VLOOKUP(B2341,Sheet2!$A:$O,12,0)</f>
        <v>4500</v>
      </c>
    </row>
    <row r="2342" spans="1:4">
      <c r="A2342" s="8" t="s">
        <v>405</v>
      </c>
      <c r="B2342" s="5">
        <v>1030501</v>
      </c>
      <c r="C2342" s="5" t="s">
        <v>50</v>
      </c>
      <c r="D2342" s="3">
        <f>VLOOKUP(B2342,Sheet2!$A:$O,12,0)</f>
        <v>1127</v>
      </c>
    </row>
    <row r="2343" spans="1:4">
      <c r="A2343" s="8" t="s">
        <v>405</v>
      </c>
      <c r="B2343" s="5">
        <v>1030601</v>
      </c>
      <c r="C2343" s="5" t="s">
        <v>52</v>
      </c>
      <c r="D2343" s="3">
        <f>VLOOKUP(B2343,Sheet2!$A:$O,12,0)</f>
        <v>3000</v>
      </c>
    </row>
    <row r="2344" spans="1:4">
      <c r="A2344" s="8" t="s">
        <v>405</v>
      </c>
      <c r="B2344" s="5">
        <v>1030701</v>
      </c>
      <c r="C2344" s="5" t="s">
        <v>221</v>
      </c>
      <c r="D2344" s="3">
        <f>VLOOKUP(B2344,Sheet2!$A:$O,12,0)</f>
        <v>3000</v>
      </c>
    </row>
    <row r="2345" spans="1:4">
      <c r="A2345" s="8" t="s">
        <v>405</v>
      </c>
      <c r="B2345" s="5">
        <v>1030705</v>
      </c>
      <c r="C2345" s="5" t="s">
        <v>222</v>
      </c>
      <c r="D2345" s="3">
        <f>VLOOKUP(B2345,Sheet2!$A:$O,12,0)</f>
        <v>0</v>
      </c>
    </row>
    <row r="2346" spans="1:4">
      <c r="A2346" s="8" t="s">
        <v>405</v>
      </c>
      <c r="B2346" s="5">
        <v>1030801</v>
      </c>
      <c r="C2346" s="5" t="s">
        <v>54</v>
      </c>
      <c r="D2346" s="3">
        <f>VLOOKUP(B2346,Sheet2!$A:$O,12,0)</f>
        <v>1294</v>
      </c>
    </row>
    <row r="2347" spans="1:4">
      <c r="A2347" s="8" t="s">
        <v>405</v>
      </c>
      <c r="B2347" s="5">
        <v>1030901</v>
      </c>
      <c r="C2347" s="5" t="s">
        <v>223</v>
      </c>
      <c r="D2347" s="3">
        <f>VLOOKUP(B2347,Sheet2!$A:$O,12,0)</f>
        <v>0</v>
      </c>
    </row>
    <row r="2348" spans="1:4">
      <c r="A2348" s="8" t="s">
        <v>405</v>
      </c>
      <c r="B2348" s="5">
        <v>1040201</v>
      </c>
      <c r="C2348" s="5" t="s">
        <v>56</v>
      </c>
      <c r="D2348" s="3">
        <f>VLOOKUP(B2348,Sheet2!$A:$O,12,0)</f>
        <v>1427</v>
      </c>
    </row>
    <row r="2349" spans="1:4">
      <c r="A2349" s="8" t="s">
        <v>405</v>
      </c>
      <c r="B2349" s="5">
        <v>1040202</v>
      </c>
      <c r="C2349" s="5" t="s">
        <v>224</v>
      </c>
      <c r="D2349" s="3">
        <f>VLOOKUP(B2349,Sheet2!$A:$O,12,0)</f>
        <v>0</v>
      </c>
    </row>
    <row r="2350" spans="1:4">
      <c r="A2350" s="8" t="s">
        <v>405</v>
      </c>
      <c r="B2350" s="5">
        <v>1040203</v>
      </c>
      <c r="C2350" s="5" t="s">
        <v>225</v>
      </c>
      <c r="D2350" s="3">
        <f>VLOOKUP(B2350,Sheet2!$A:$O,12,0)</f>
        <v>0</v>
      </c>
    </row>
    <row r="2351" spans="1:4">
      <c r="A2351" s="8" t="s">
        <v>405</v>
      </c>
      <c r="B2351" s="5">
        <v>1040204</v>
      </c>
      <c r="C2351" s="5" t="s">
        <v>226</v>
      </c>
      <c r="D2351" s="3">
        <f>VLOOKUP(B2351,Sheet2!$A:$O,12,0)</f>
        <v>8583</v>
      </c>
    </row>
    <row r="2352" spans="1:4">
      <c r="A2352" s="8" t="s">
        <v>405</v>
      </c>
      <c r="B2352" s="5">
        <v>1040301</v>
      </c>
      <c r="C2352" s="5" t="s">
        <v>58</v>
      </c>
      <c r="D2352" s="3">
        <f>VLOOKUP(B2352,Sheet2!$A:$O,12,0)</f>
        <v>1650</v>
      </c>
    </row>
    <row r="2353" spans="1:4">
      <c r="A2353" s="8" t="s">
        <v>405</v>
      </c>
      <c r="B2353" s="5">
        <v>1040401</v>
      </c>
      <c r="C2353" s="5" t="s">
        <v>227</v>
      </c>
      <c r="D2353" s="3">
        <f>VLOOKUP(B2353,Sheet2!$A:$O,12,0)</f>
        <v>0</v>
      </c>
    </row>
    <row r="2354" spans="1:4">
      <c r="A2354" s="8" t="s">
        <v>405</v>
      </c>
      <c r="B2354" s="5">
        <v>1050102</v>
      </c>
      <c r="C2354" s="5" t="s">
        <v>60</v>
      </c>
      <c r="D2354" s="3">
        <f>VLOOKUP(B2354,Sheet2!$A:$O,12,0)</f>
        <v>29500</v>
      </c>
    </row>
    <row r="2355" spans="1:4">
      <c r="A2355" s="8" t="s">
        <v>405</v>
      </c>
      <c r="B2355" s="5">
        <v>1050103</v>
      </c>
      <c r="C2355" s="5" t="s">
        <v>228</v>
      </c>
      <c r="D2355" s="3">
        <f>VLOOKUP(B2355,Sheet2!$A:$O,12,0)</f>
        <v>11275</v>
      </c>
    </row>
    <row r="2356" spans="1:4">
      <c r="A2356" s="8" t="s">
        <v>405</v>
      </c>
      <c r="B2356" s="5">
        <v>1050301</v>
      </c>
      <c r="C2356" s="5" t="s">
        <v>62</v>
      </c>
      <c r="D2356" s="3">
        <f>VLOOKUP(B2356,Sheet2!$A:$O,12,0)</f>
        <v>9804</v>
      </c>
    </row>
    <row r="2357" spans="1:4">
      <c r="A2357" s="8" t="s">
        <v>405</v>
      </c>
      <c r="B2357" s="5">
        <v>1050401</v>
      </c>
      <c r="C2357" s="5" t="s">
        <v>64</v>
      </c>
      <c r="D2357" s="3">
        <f>VLOOKUP(B2357,Sheet2!$A:$O,12,0)</f>
        <v>8824</v>
      </c>
    </row>
    <row r="2358" spans="1:4">
      <c r="A2358" s="8" t="s">
        <v>405</v>
      </c>
      <c r="B2358" s="5">
        <v>1050501</v>
      </c>
      <c r="C2358" s="5" t="s">
        <v>66</v>
      </c>
      <c r="D2358" s="3">
        <f>VLOOKUP(B2358,Sheet2!$A:$O,12,0)</f>
        <v>10784</v>
      </c>
    </row>
    <row r="2359" spans="1:4">
      <c r="A2359" s="8" t="s">
        <v>405</v>
      </c>
      <c r="B2359" s="5">
        <v>1050511</v>
      </c>
      <c r="C2359" s="5" t="s">
        <v>68</v>
      </c>
      <c r="D2359" s="3">
        <f>VLOOKUP(B2359,Sheet2!$A:$O,12,0)</f>
        <v>18000</v>
      </c>
    </row>
    <row r="2360" spans="1:4">
      <c r="A2360" s="8" t="s">
        <v>405</v>
      </c>
      <c r="B2360" s="5">
        <v>1050512</v>
      </c>
      <c r="C2360" s="5" t="s">
        <v>229</v>
      </c>
      <c r="D2360" s="3">
        <f>VLOOKUP(B2360,Sheet2!$A:$O,12,0)</f>
        <v>0</v>
      </c>
    </row>
    <row r="2361" spans="1:4">
      <c r="A2361" s="8" t="s">
        <v>405</v>
      </c>
      <c r="B2361" s="5">
        <v>1050521</v>
      </c>
      <c r="C2361" s="5" t="s">
        <v>70</v>
      </c>
      <c r="D2361" s="3">
        <f>VLOOKUP(B2361,Sheet2!$A:$O,12,0)</f>
        <v>14706</v>
      </c>
    </row>
    <row r="2362" spans="1:4">
      <c r="A2362" s="8" t="s">
        <v>405</v>
      </c>
      <c r="B2362" s="5">
        <v>1050531</v>
      </c>
      <c r="C2362" s="5" t="s">
        <v>72</v>
      </c>
      <c r="D2362" s="3">
        <f>VLOOKUP(B2362,Sheet2!$A:$O,12,0)</f>
        <v>21000</v>
      </c>
    </row>
    <row r="2363" spans="1:4">
      <c r="A2363" s="8" t="s">
        <v>405</v>
      </c>
      <c r="B2363" s="5">
        <v>1050541</v>
      </c>
      <c r="C2363" s="5" t="s">
        <v>74</v>
      </c>
      <c r="D2363" s="3">
        <f>VLOOKUP(B2363,Sheet2!$A:$O,12,0)</f>
        <v>11000</v>
      </c>
    </row>
    <row r="2364" spans="1:4">
      <c r="A2364" s="8" t="s">
        <v>405</v>
      </c>
      <c r="B2364" s="5">
        <v>1050551</v>
      </c>
      <c r="C2364" s="5" t="s">
        <v>76</v>
      </c>
      <c r="D2364" s="3">
        <f>VLOOKUP(B2364,Sheet2!$A:$O,12,0)</f>
        <v>54000</v>
      </c>
    </row>
    <row r="2365" spans="1:4">
      <c r="A2365" s="8" t="s">
        <v>405</v>
      </c>
      <c r="B2365" s="5">
        <v>1050561</v>
      </c>
      <c r="C2365" s="5" t="s">
        <v>78</v>
      </c>
      <c r="D2365" s="3">
        <f>VLOOKUP(B2365,Sheet2!$A:$O,12,0)</f>
        <v>77321</v>
      </c>
    </row>
    <row r="2366" spans="1:4">
      <c r="A2366" s="8" t="s">
        <v>405</v>
      </c>
      <c r="B2366" s="5">
        <v>1050571</v>
      </c>
      <c r="C2366" s="5" t="s">
        <v>80</v>
      </c>
      <c r="D2366" s="3">
        <f>VLOOKUP(B2366,Sheet2!$A:$O,12,0)</f>
        <v>58000</v>
      </c>
    </row>
    <row r="2367" spans="1:4">
      <c r="A2367" s="8" t="s">
        <v>405</v>
      </c>
      <c r="B2367" s="5">
        <v>1050581</v>
      </c>
      <c r="C2367" s="5" t="s">
        <v>82</v>
      </c>
      <c r="D2367" s="3">
        <f>VLOOKUP(B2367,Sheet2!$A:$O,12,0)</f>
        <v>57000</v>
      </c>
    </row>
    <row r="2368" spans="1:4">
      <c r="A2368" s="8" t="s">
        <v>405</v>
      </c>
      <c r="B2368" s="5">
        <v>1050591</v>
      </c>
      <c r="C2368" s="5" t="s">
        <v>84</v>
      </c>
      <c r="D2368" s="3">
        <f>VLOOKUP(B2368,Sheet2!$A:$O,12,0)</f>
        <v>97750</v>
      </c>
    </row>
    <row r="2369" spans="1:4">
      <c r="A2369" s="8" t="s">
        <v>405</v>
      </c>
      <c r="B2369" s="5">
        <v>1050601</v>
      </c>
      <c r="C2369" s="5" t="s">
        <v>86</v>
      </c>
      <c r="D2369" s="3">
        <f>VLOOKUP(B2369,Sheet2!$A:$O,12,0)</f>
        <v>5900</v>
      </c>
    </row>
    <row r="2370" spans="1:4">
      <c r="A2370" s="8" t="s">
        <v>405</v>
      </c>
      <c r="B2370" s="5">
        <v>1050701</v>
      </c>
      <c r="C2370" s="5" t="s">
        <v>88</v>
      </c>
      <c r="D2370" s="3">
        <f>VLOOKUP(B2370,Sheet2!$A:$O,12,0)</f>
        <v>5888</v>
      </c>
    </row>
    <row r="2371" spans="1:4">
      <c r="A2371" s="8" t="s">
        <v>405</v>
      </c>
      <c r="B2371" s="5">
        <v>1050702</v>
      </c>
      <c r="C2371" s="5" t="s">
        <v>90</v>
      </c>
      <c r="D2371" s="3">
        <f>VLOOKUP(B2371,Sheet2!$A:$O,12,0)</f>
        <v>6000</v>
      </c>
    </row>
    <row r="2372" spans="1:4">
      <c r="A2372" s="8" t="s">
        <v>405</v>
      </c>
      <c r="B2372" s="5">
        <v>1050711</v>
      </c>
      <c r="C2372" s="5" t="s">
        <v>92</v>
      </c>
      <c r="D2372" s="3">
        <f>VLOOKUP(B2372,Sheet2!$A:$O,12,0)</f>
        <v>2900</v>
      </c>
    </row>
    <row r="2373" spans="1:4">
      <c r="A2373" s="8" t="s">
        <v>405</v>
      </c>
      <c r="B2373" s="5">
        <v>1050721</v>
      </c>
      <c r="C2373" s="5" t="s">
        <v>94</v>
      </c>
      <c r="D2373" s="3">
        <f>VLOOKUP(B2373,Sheet2!$A:$O,12,0)</f>
        <v>14800</v>
      </c>
    </row>
    <row r="2374" spans="1:4">
      <c r="A2374" s="8" t="s">
        <v>405</v>
      </c>
      <c r="B2374" s="5">
        <v>1050801</v>
      </c>
      <c r="C2374" s="5" t="s">
        <v>7</v>
      </c>
      <c r="D2374" s="3">
        <f>VLOOKUP(B2374,Sheet2!$A:$O,12,0)</f>
        <v>1000</v>
      </c>
    </row>
    <row r="2375" spans="1:4">
      <c r="A2375" s="8" t="s">
        <v>405</v>
      </c>
      <c r="B2375" s="5">
        <v>1050901</v>
      </c>
      <c r="C2375" s="5" t="s">
        <v>96</v>
      </c>
      <c r="D2375" s="3">
        <f>VLOOKUP(B2375,Sheet2!$A:$O,12,0)</f>
        <v>1275</v>
      </c>
    </row>
    <row r="2376" spans="1:4">
      <c r="A2376" s="8" t="s">
        <v>405</v>
      </c>
      <c r="B2376" s="5">
        <v>1060101</v>
      </c>
      <c r="C2376" s="5" t="s">
        <v>98</v>
      </c>
      <c r="D2376" s="3">
        <f>VLOOKUP(B2376,Sheet2!$A:$O,12,0)</f>
        <v>2200</v>
      </c>
    </row>
    <row r="2377" spans="1:4">
      <c r="A2377" s="8" t="s">
        <v>405</v>
      </c>
      <c r="B2377" s="5">
        <v>1060401</v>
      </c>
      <c r="C2377" s="5" t="s">
        <v>100</v>
      </c>
      <c r="D2377" s="3">
        <f>VLOOKUP(B2377,Sheet2!$A:$O,12,0)</f>
        <v>71000</v>
      </c>
    </row>
    <row r="2378" spans="1:4">
      <c r="A2378" s="8" t="s">
        <v>405</v>
      </c>
      <c r="B2378" s="5">
        <v>1060412</v>
      </c>
      <c r="C2378" s="5" t="s">
        <v>230</v>
      </c>
      <c r="D2378" s="3">
        <f>VLOOKUP(B2378,Sheet2!$A:$O,12,0)</f>
        <v>33000</v>
      </c>
    </row>
    <row r="2379" spans="1:4">
      <c r="A2379" s="8" t="s">
        <v>405</v>
      </c>
      <c r="B2379" s="5">
        <v>1060421</v>
      </c>
      <c r="C2379" s="5" t="s">
        <v>104</v>
      </c>
      <c r="D2379" s="3">
        <f>VLOOKUP(B2379,Sheet2!$A:$O,12,0)</f>
        <v>130000</v>
      </c>
    </row>
    <row r="2380" spans="1:4">
      <c r="A2380" s="8" t="s">
        <v>405</v>
      </c>
      <c r="B2380" s="5">
        <v>1060441</v>
      </c>
      <c r="C2380" s="5" t="s">
        <v>106</v>
      </c>
      <c r="D2380" s="3">
        <f>VLOOKUP(B2380,Sheet2!$A:$O,12,0)</f>
        <v>6471</v>
      </c>
    </row>
    <row r="2381" spans="1:4">
      <c r="A2381" s="8" t="s">
        <v>405</v>
      </c>
      <c r="B2381" s="5">
        <v>1060451</v>
      </c>
      <c r="C2381" s="5" t="s">
        <v>108</v>
      </c>
      <c r="D2381" s="3">
        <f>VLOOKUP(B2381,Sheet2!$A:$O,12,0)</f>
        <v>38235</v>
      </c>
    </row>
    <row r="2382" spans="1:4">
      <c r="A2382" s="8" t="s">
        <v>405</v>
      </c>
      <c r="B2382" s="5">
        <v>1070101</v>
      </c>
      <c r="C2382" s="5" t="s">
        <v>110</v>
      </c>
      <c r="D2382" s="3">
        <f>VLOOKUP(B2382,Sheet2!$A:$O,12,0)</f>
        <v>3820</v>
      </c>
    </row>
    <row r="2383" spans="1:4">
      <c r="A2383" s="8" t="s">
        <v>405</v>
      </c>
      <c r="B2383" s="5">
        <v>1070301</v>
      </c>
      <c r="C2383" s="5" t="s">
        <v>112</v>
      </c>
      <c r="D2383" s="3">
        <f>VLOOKUP(B2383,Sheet2!$A:$O,12,0)</f>
        <v>35000</v>
      </c>
    </row>
    <row r="2384" spans="1:4">
      <c r="A2384" s="8" t="s">
        <v>405</v>
      </c>
      <c r="B2384" s="5">
        <v>1070401</v>
      </c>
      <c r="C2384" s="5" t="s">
        <v>114</v>
      </c>
      <c r="D2384" s="3">
        <f>VLOOKUP(B2384,Sheet2!$A:$O,12,0)</f>
        <v>12000</v>
      </c>
    </row>
    <row r="2385" spans="1:4">
      <c r="A2385" s="8" t="s">
        <v>405</v>
      </c>
      <c r="B2385" s="5">
        <v>1070501</v>
      </c>
      <c r="C2385" s="5" t="s">
        <v>231</v>
      </c>
      <c r="D2385" s="3">
        <f>VLOOKUP(B2385,Sheet2!$A:$O,12,0)</f>
        <v>5500</v>
      </c>
    </row>
    <row r="2386" spans="1:4">
      <c r="A2386" s="8" t="s">
        <v>405</v>
      </c>
      <c r="B2386" s="5">
        <v>1070701</v>
      </c>
      <c r="C2386" s="5" t="s">
        <v>118</v>
      </c>
      <c r="D2386" s="3">
        <f>VLOOKUP(B2386,Sheet2!$A:$O,12,0)</f>
        <v>36000</v>
      </c>
    </row>
    <row r="2387" spans="1:4">
      <c r="A2387" s="8" t="s">
        <v>405</v>
      </c>
      <c r="B2387" s="5">
        <v>1070801</v>
      </c>
      <c r="C2387" s="5" t="s">
        <v>232</v>
      </c>
      <c r="D2387" s="3">
        <f>VLOOKUP(B2387,Sheet2!$A:$O,12,0)</f>
        <v>35000</v>
      </c>
    </row>
    <row r="2388" spans="1:4">
      <c r="A2388" s="8" t="s">
        <v>405</v>
      </c>
      <c r="B2388" s="5">
        <v>1080101</v>
      </c>
      <c r="C2388" s="5" t="s">
        <v>120</v>
      </c>
      <c r="D2388" s="3">
        <f>VLOOKUP(B2388,Sheet2!$A:$O,12,0)</f>
        <v>11000</v>
      </c>
    </row>
    <row r="2389" spans="1:4">
      <c r="A2389" s="8" t="s">
        <v>405</v>
      </c>
      <c r="B2389" s="5">
        <v>1080201</v>
      </c>
      <c r="C2389" s="5" t="s">
        <v>122</v>
      </c>
      <c r="D2389" s="3">
        <f>VLOOKUP(B2389,Sheet2!$A:$O,12,0)</f>
        <v>540</v>
      </c>
    </row>
    <row r="2390" spans="1:4">
      <c r="A2390" s="8" t="s">
        <v>405</v>
      </c>
      <c r="B2390" s="5">
        <v>1080301</v>
      </c>
      <c r="C2390" s="5" t="s">
        <v>124</v>
      </c>
      <c r="D2390" s="3">
        <f>VLOOKUP(B2390,Sheet2!$A:$O,12,0)</f>
        <v>1550</v>
      </c>
    </row>
    <row r="2391" spans="1:4">
      <c r="A2391" s="8" t="s">
        <v>405</v>
      </c>
      <c r="B2391" s="5">
        <v>1080401</v>
      </c>
      <c r="C2391" s="5" t="s">
        <v>233</v>
      </c>
      <c r="D2391" s="3">
        <f>VLOOKUP(B2391,Sheet2!$A:$O,12,0)</f>
        <v>3300</v>
      </c>
    </row>
    <row r="2392" spans="1:4">
      <c r="A2392" s="8" t="s">
        <v>405</v>
      </c>
      <c r="B2392" s="5">
        <v>1080411</v>
      </c>
      <c r="C2392" s="5" t="s">
        <v>128</v>
      </c>
      <c r="D2392" s="3">
        <f>VLOOKUP(B2392,Sheet2!$A:$O,12,0)</f>
        <v>3300</v>
      </c>
    </row>
    <row r="2393" spans="1:4">
      <c r="A2393" s="8" t="s">
        <v>405</v>
      </c>
      <c r="B2393" s="5">
        <v>1080501</v>
      </c>
      <c r="C2393" s="5" t="s">
        <v>130</v>
      </c>
      <c r="D2393" s="3">
        <f>VLOOKUP(B2393,Sheet2!$A:$O,12,0)</f>
        <v>3800</v>
      </c>
    </row>
    <row r="2394" spans="1:4">
      <c r="A2394" s="8" t="s">
        <v>405</v>
      </c>
      <c r="B2394" s="5">
        <v>1080602</v>
      </c>
      <c r="C2394" s="5" t="s">
        <v>234</v>
      </c>
      <c r="D2394" s="3">
        <f>VLOOKUP(B2394,Sheet2!$A:$O,12,0)</f>
        <v>38600</v>
      </c>
    </row>
    <row r="2395" spans="1:4">
      <c r="A2395" s="8" t="s">
        <v>405</v>
      </c>
      <c r="B2395" s="5">
        <v>1080604</v>
      </c>
      <c r="C2395" s="5" t="s">
        <v>235</v>
      </c>
      <c r="D2395" s="3">
        <f>VLOOKUP(B2395,Sheet2!$A:$O,12,0)</f>
        <v>0</v>
      </c>
    </row>
    <row r="2396" spans="1:4">
      <c r="A2396" s="8" t="s">
        <v>405</v>
      </c>
      <c r="B2396" s="5">
        <v>1080702</v>
      </c>
      <c r="C2396" s="5" t="s">
        <v>236</v>
      </c>
      <c r="D2396" s="3">
        <f>VLOOKUP(B2396,Sheet2!$A:$O,12,0)</f>
        <v>43500</v>
      </c>
    </row>
    <row r="2397" spans="1:4">
      <c r="A2397" s="8" t="s">
        <v>405</v>
      </c>
      <c r="B2397" s="5">
        <v>1080704</v>
      </c>
      <c r="C2397" s="5" t="s">
        <v>237</v>
      </c>
      <c r="D2397" s="3">
        <f>VLOOKUP(B2397,Sheet2!$A:$O,12,0)</f>
        <v>0</v>
      </c>
    </row>
    <row r="2398" spans="1:4">
      <c r="A2398" s="8" t="s">
        <v>405</v>
      </c>
      <c r="B2398" s="5">
        <v>1090104</v>
      </c>
      <c r="C2398" s="5" t="s">
        <v>136</v>
      </c>
      <c r="D2398" s="3">
        <f>VLOOKUP(B2398,Sheet2!$A:$O,12,0)</f>
        <v>40000</v>
      </c>
    </row>
    <row r="2399" spans="1:4">
      <c r="A2399" s="8" t="s">
        <v>405</v>
      </c>
      <c r="B2399" s="5">
        <v>1090112</v>
      </c>
      <c r="C2399" s="5" t="s">
        <v>138</v>
      </c>
      <c r="D2399" s="3">
        <f>VLOOKUP(B2399,Sheet2!$A:$O,12,0)</f>
        <v>35000</v>
      </c>
    </row>
    <row r="2400" spans="1:4">
      <c r="A2400" s="8" t="s">
        <v>405</v>
      </c>
      <c r="B2400" s="5">
        <v>1090201</v>
      </c>
      <c r="C2400" s="5" t="s">
        <v>140</v>
      </c>
      <c r="D2400" s="3">
        <f>VLOOKUP(B2400,Sheet2!$A:$O,12,0)</f>
        <v>15800</v>
      </c>
    </row>
    <row r="2401" spans="1:4">
      <c r="A2401" s="8" t="s">
        <v>405</v>
      </c>
      <c r="B2401" s="5">
        <v>1090202</v>
      </c>
      <c r="C2401" s="5" t="s">
        <v>142</v>
      </c>
      <c r="D2401" s="3">
        <f>VLOOKUP(B2401,Sheet2!$A:$O,12,0)</f>
        <v>98000</v>
      </c>
    </row>
    <row r="2402" spans="1:4">
      <c r="A2402" s="8" t="s">
        <v>405</v>
      </c>
      <c r="B2402" s="5">
        <v>1090203</v>
      </c>
      <c r="C2402" s="5" t="s">
        <v>144</v>
      </c>
      <c r="D2402" s="3">
        <f>VLOOKUP(B2402,Sheet2!$A:$O,12,0)</f>
        <v>23000</v>
      </c>
    </row>
    <row r="2403" spans="1:4">
      <c r="A2403" s="8" t="s">
        <v>405</v>
      </c>
      <c r="B2403" s="5">
        <v>1090211</v>
      </c>
      <c r="C2403" s="5" t="s">
        <v>146</v>
      </c>
      <c r="D2403" s="3">
        <f>VLOOKUP(B2403,Sheet2!$A:$O,12,0)</f>
        <v>64706</v>
      </c>
    </row>
    <row r="2404" spans="1:4">
      <c r="A2404" s="8" t="s">
        <v>405</v>
      </c>
      <c r="B2404" s="5">
        <v>1090301</v>
      </c>
      <c r="C2404" s="5" t="s">
        <v>238</v>
      </c>
      <c r="D2404" s="3">
        <f>VLOOKUP(B2404,Sheet2!$A:$O,12,0)</f>
        <v>32000</v>
      </c>
    </row>
    <row r="2405" spans="1:4">
      <c r="A2405" s="8" t="s">
        <v>405</v>
      </c>
      <c r="B2405" s="5">
        <v>1090311</v>
      </c>
      <c r="C2405" s="5" t="s">
        <v>150</v>
      </c>
      <c r="D2405" s="3">
        <f>VLOOKUP(B2405,Sheet2!$A:$O,12,0)</f>
        <v>37000</v>
      </c>
    </row>
    <row r="2406" spans="1:4">
      <c r="A2406" s="8" t="s">
        <v>405</v>
      </c>
      <c r="B2406" s="5">
        <v>1090321</v>
      </c>
      <c r="C2406" s="5" t="s">
        <v>152</v>
      </c>
      <c r="D2406" s="3">
        <f>VLOOKUP(B2406,Sheet2!$A:$O,12,0)</f>
        <v>66000</v>
      </c>
    </row>
    <row r="2407" spans="1:4">
      <c r="A2407" s="8" t="s">
        <v>405</v>
      </c>
      <c r="B2407" s="5">
        <v>1090401</v>
      </c>
      <c r="C2407" s="5" t="s">
        <v>154</v>
      </c>
      <c r="D2407" s="3">
        <f>VLOOKUP(B2407,Sheet2!$A:$O,12,0)</f>
        <v>8300</v>
      </c>
    </row>
    <row r="2408" spans="1:4">
      <c r="A2408" s="8" t="s">
        <v>405</v>
      </c>
      <c r="B2408" s="5">
        <v>1090411</v>
      </c>
      <c r="C2408" s="5" t="s">
        <v>156</v>
      </c>
      <c r="D2408" s="3">
        <f>VLOOKUP(B2408,Sheet2!$A:$O,12,0)</f>
        <v>45000</v>
      </c>
    </row>
    <row r="2409" spans="1:4">
      <c r="A2409" s="8" t="s">
        <v>405</v>
      </c>
      <c r="B2409" s="5">
        <v>1090421</v>
      </c>
      <c r="C2409" s="5" t="s">
        <v>158</v>
      </c>
      <c r="D2409" s="3">
        <f>VLOOKUP(B2409,Sheet2!$A:$O,12,0)</f>
        <v>36000</v>
      </c>
    </row>
    <row r="2410" spans="1:4">
      <c r="A2410" s="8" t="s">
        <v>405</v>
      </c>
      <c r="B2410" s="5">
        <v>1090551</v>
      </c>
      <c r="C2410" s="5" t="s">
        <v>239</v>
      </c>
      <c r="D2410" s="3">
        <f>VLOOKUP(B2410,Sheet2!$A:$O,12,0)</f>
        <v>4900</v>
      </c>
    </row>
    <row r="2411" spans="1:4">
      <c r="A2411" s="8" t="s">
        <v>405</v>
      </c>
      <c r="B2411" s="5">
        <v>1090602</v>
      </c>
      <c r="C2411" s="5" t="s">
        <v>162</v>
      </c>
      <c r="D2411" s="3">
        <f>VLOOKUP(B2411,Sheet2!$A:$O,12,0)</f>
        <v>5130</v>
      </c>
    </row>
    <row r="2412" spans="1:4">
      <c r="A2412" s="8" t="s">
        <v>405</v>
      </c>
      <c r="B2412" s="5">
        <v>1090611</v>
      </c>
      <c r="C2412" s="5" t="s">
        <v>164</v>
      </c>
      <c r="D2412" s="3">
        <f>VLOOKUP(B2412,Sheet2!$A:$O,12,0)</f>
        <v>4300</v>
      </c>
    </row>
    <row r="2413" spans="1:4">
      <c r="A2413" s="8" t="s">
        <v>405</v>
      </c>
      <c r="B2413" s="5">
        <v>1090701</v>
      </c>
      <c r="C2413" s="5" t="s">
        <v>166</v>
      </c>
      <c r="D2413" s="3">
        <f>VLOOKUP(B2413,Sheet2!$A:$O,12,0)</f>
        <v>21000</v>
      </c>
    </row>
    <row r="2414" spans="1:4">
      <c r="A2414" s="8" t="s">
        <v>405</v>
      </c>
      <c r="B2414" s="5">
        <v>1090901</v>
      </c>
      <c r="C2414" s="5" t="s">
        <v>168</v>
      </c>
      <c r="D2414" s="3">
        <f>VLOOKUP(B2414,Sheet2!$A:$O,12,0)</f>
        <v>4300</v>
      </c>
    </row>
    <row r="2415" spans="1:4">
      <c r="A2415" s="8" t="s">
        <v>405</v>
      </c>
      <c r="B2415" s="5">
        <v>1091001</v>
      </c>
      <c r="C2415" s="5" t="s">
        <v>170</v>
      </c>
      <c r="D2415" s="3">
        <f>VLOOKUP(B2415,Sheet2!$A:$O,12,0)</f>
        <v>7000</v>
      </c>
    </row>
    <row r="2416" spans="1:4">
      <c r="A2416" s="8" t="s">
        <v>405</v>
      </c>
      <c r="B2416" s="5">
        <v>1091002</v>
      </c>
      <c r="C2416" s="5" t="s">
        <v>172</v>
      </c>
      <c r="D2416" s="3">
        <f>VLOOKUP(B2416,Sheet2!$A:$O,12,0)</f>
        <v>6304</v>
      </c>
    </row>
    <row r="2417" spans="1:4">
      <c r="A2417" s="8" t="s">
        <v>405</v>
      </c>
      <c r="B2417" s="5">
        <v>1091003</v>
      </c>
      <c r="C2417" s="5" t="s">
        <v>174</v>
      </c>
      <c r="D2417" s="3">
        <f>VLOOKUP(B2417,Sheet2!$A:$O,12,0)</f>
        <v>10400</v>
      </c>
    </row>
    <row r="2418" spans="1:4">
      <c r="A2418" s="8" t="s">
        <v>405</v>
      </c>
      <c r="B2418" s="5">
        <v>1091004</v>
      </c>
      <c r="C2418" s="5" t="s">
        <v>240</v>
      </c>
      <c r="D2418" s="3">
        <f>VLOOKUP(B2418,Sheet2!$A:$O,12,0)</f>
        <v>0</v>
      </c>
    </row>
    <row r="2419" spans="1:4">
      <c r="A2419" s="8" t="s">
        <v>405</v>
      </c>
      <c r="B2419" s="5">
        <v>1091005</v>
      </c>
      <c r="C2419" s="5" t="s">
        <v>241</v>
      </c>
      <c r="D2419" s="3">
        <f>VLOOKUP(B2419,Sheet2!$A:$O,12,0)</f>
        <v>0</v>
      </c>
    </row>
    <row r="2420" spans="1:4">
      <c r="A2420" s="8" t="s">
        <v>405</v>
      </c>
      <c r="B2420" s="5">
        <v>1091006</v>
      </c>
      <c r="C2420" s="5" t="s">
        <v>242</v>
      </c>
      <c r="D2420" s="3">
        <f>VLOOKUP(B2420,Sheet2!$A:$O,12,0)</f>
        <v>0</v>
      </c>
    </row>
    <row r="2421" spans="1:4">
      <c r="A2421" s="8" t="s">
        <v>405</v>
      </c>
      <c r="B2421" s="5">
        <v>1091007</v>
      </c>
      <c r="C2421" s="5" t="s">
        <v>243</v>
      </c>
      <c r="D2421" s="3">
        <f>VLOOKUP(B2421,Sheet2!$A:$O,12,0)</f>
        <v>2640</v>
      </c>
    </row>
    <row r="2422" spans="1:4">
      <c r="A2422" s="8" t="s">
        <v>405</v>
      </c>
      <c r="B2422" s="5">
        <v>1091008</v>
      </c>
      <c r="C2422" s="5" t="s">
        <v>176</v>
      </c>
      <c r="D2422" s="3">
        <f>VLOOKUP(B2422,Sheet2!$A:$O,12,0)</f>
        <v>450000</v>
      </c>
    </row>
    <row r="2423" spans="1:4">
      <c r="A2423" s="8" t="s">
        <v>405</v>
      </c>
      <c r="B2423" s="5">
        <v>1091009</v>
      </c>
      <c r="C2423" s="5" t="s">
        <v>178</v>
      </c>
      <c r="D2423" s="3">
        <f>VLOOKUP(B2423,Sheet2!$A:$O,12,0)</f>
        <v>190000</v>
      </c>
    </row>
    <row r="2424" spans="1:4">
      <c r="A2424" s="8" t="s">
        <v>405</v>
      </c>
      <c r="B2424" s="5">
        <v>1091010</v>
      </c>
      <c r="C2424" s="5" t="s">
        <v>180</v>
      </c>
      <c r="D2424" s="3">
        <f>VLOOKUP(B2424,Sheet2!$A:$O,12,0)</f>
        <v>27000</v>
      </c>
    </row>
    <row r="2425" spans="1:4">
      <c r="A2425" s="8" t="s">
        <v>405</v>
      </c>
      <c r="B2425" s="5">
        <v>1091011</v>
      </c>
      <c r="C2425" s="5" t="s">
        <v>182</v>
      </c>
      <c r="D2425" s="3">
        <f>VLOOKUP(B2425,Sheet2!$A:$O,12,0)</f>
        <v>33000</v>
      </c>
    </row>
    <row r="2426" spans="1:4">
      <c r="A2426" s="8" t="s">
        <v>405</v>
      </c>
      <c r="B2426" s="5">
        <v>1091012</v>
      </c>
      <c r="C2426" s="5" t="s">
        <v>184</v>
      </c>
      <c r="D2426" s="3">
        <f>VLOOKUP(B2426,Sheet2!$A:$O,12,0)</f>
        <v>47000</v>
      </c>
    </row>
    <row r="2427" spans="1:4">
      <c r="A2427" s="8" t="s">
        <v>405</v>
      </c>
      <c r="B2427" s="5">
        <v>1091013</v>
      </c>
      <c r="C2427" s="5" t="s">
        <v>186</v>
      </c>
      <c r="D2427" s="3">
        <f>VLOOKUP(B2427,Sheet2!$A:$O,12,0)</f>
        <v>33000</v>
      </c>
    </row>
    <row r="2428" spans="1:4">
      <c r="A2428" s="8" t="s">
        <v>405</v>
      </c>
      <c r="B2428" s="5">
        <v>1091014</v>
      </c>
      <c r="C2428" s="5" t="s">
        <v>244</v>
      </c>
      <c r="D2428" s="3">
        <f>VLOOKUP(B2428,Sheet2!$A:$O,12,0)</f>
        <v>6961</v>
      </c>
    </row>
    <row r="2429" spans="1:4">
      <c r="A2429" s="8" t="s">
        <v>405</v>
      </c>
      <c r="B2429" s="5">
        <v>1091015</v>
      </c>
      <c r="C2429" s="5" t="s">
        <v>245</v>
      </c>
      <c r="D2429" s="3">
        <f>VLOOKUP(B2429,Sheet2!$A:$O,12,0)</f>
        <v>28000</v>
      </c>
    </row>
    <row r="2430" spans="1:4">
      <c r="A2430" s="8" t="s">
        <v>405</v>
      </c>
      <c r="B2430" s="5">
        <v>1091016</v>
      </c>
      <c r="C2430" s="5" t="s">
        <v>246</v>
      </c>
      <c r="D2430" s="3">
        <f>VLOOKUP(B2430,Sheet2!$A:$O,12,0)</f>
        <v>77321</v>
      </c>
    </row>
    <row r="2431" spans="1:4">
      <c r="A2431" s="8" t="s">
        <v>405</v>
      </c>
      <c r="B2431" s="5">
        <v>1091017</v>
      </c>
      <c r="C2431" s="5" t="s">
        <v>247</v>
      </c>
      <c r="D2431" s="3">
        <f>VLOOKUP(B2431,Sheet2!$A:$O,12,0)</f>
        <v>74833</v>
      </c>
    </row>
    <row r="2432" spans="1:4">
      <c r="A2432" s="8" t="s">
        <v>405</v>
      </c>
      <c r="B2432" s="5">
        <v>1091018</v>
      </c>
      <c r="C2432" s="5" t="s">
        <v>248</v>
      </c>
      <c r="D2432" s="3">
        <f>VLOOKUP(B2432,Sheet2!$A:$O,12,0)</f>
        <v>33031</v>
      </c>
    </row>
    <row r="2433" spans="1:4">
      <c r="A2433" s="8" t="s">
        <v>405</v>
      </c>
      <c r="B2433" s="5">
        <v>1091019</v>
      </c>
      <c r="C2433" s="5" t="s">
        <v>249</v>
      </c>
      <c r="D2433" s="3">
        <f>VLOOKUP(B2433,Sheet2!$A:$O,12,0)</f>
        <v>53387</v>
      </c>
    </row>
    <row r="2434" spans="1:4">
      <c r="A2434" s="8" t="s">
        <v>405</v>
      </c>
      <c r="B2434" s="5">
        <v>1091020</v>
      </c>
      <c r="C2434" s="5" t="s">
        <v>250</v>
      </c>
      <c r="D2434" s="3">
        <f>VLOOKUP(B2434,Sheet2!$A:$O,12,0)</f>
        <v>100500</v>
      </c>
    </row>
    <row r="2435" spans="1:4">
      <c r="A2435" s="8" t="s">
        <v>405</v>
      </c>
      <c r="B2435" s="5">
        <v>1091021</v>
      </c>
      <c r="C2435" s="5" t="s">
        <v>251</v>
      </c>
      <c r="D2435" s="3">
        <f>VLOOKUP(B2435,Sheet2!$A:$O,12,0)</f>
        <v>50600</v>
      </c>
    </row>
    <row r="2436" spans="1:4">
      <c r="A2436" s="8" t="s">
        <v>405</v>
      </c>
      <c r="B2436" s="5">
        <v>1091022</v>
      </c>
      <c r="C2436" s="5" t="s">
        <v>252</v>
      </c>
      <c r="D2436" s="3">
        <f>VLOOKUP(B2436,Sheet2!$A:$O,12,0)</f>
        <v>3235</v>
      </c>
    </row>
    <row r="2437" spans="1:4">
      <c r="A2437" s="8" t="s">
        <v>405</v>
      </c>
      <c r="B2437" s="5">
        <v>1091023</v>
      </c>
      <c r="C2437" s="5" t="s">
        <v>253</v>
      </c>
      <c r="D2437" s="3">
        <f>VLOOKUP(B2437,Sheet2!$A:$O,12,0)</f>
        <v>4412</v>
      </c>
    </row>
    <row r="2438" spans="1:4">
      <c r="A2438" s="8" t="s">
        <v>405</v>
      </c>
      <c r="B2438" s="5">
        <v>1091024</v>
      </c>
      <c r="C2438" s="5" t="s">
        <v>254</v>
      </c>
      <c r="D2438" s="3">
        <f>VLOOKUP(B2438,Sheet2!$A:$O,12,0)</f>
        <v>3922</v>
      </c>
    </row>
    <row r="2439" spans="1:4">
      <c r="A2439" s="8" t="s">
        <v>405</v>
      </c>
      <c r="B2439" s="5">
        <v>1091025</v>
      </c>
      <c r="C2439" s="5" t="s">
        <v>255</v>
      </c>
      <c r="D2439" s="3">
        <f>VLOOKUP(B2439,Sheet2!$A:$O,12,0)</f>
        <v>6373</v>
      </c>
    </row>
    <row r="2440" spans="1:4">
      <c r="A2440" s="8" t="s">
        <v>405</v>
      </c>
      <c r="B2440" s="5">
        <v>1091026</v>
      </c>
      <c r="C2440" s="5" t="s">
        <v>256</v>
      </c>
      <c r="D2440" s="3">
        <f>VLOOKUP(B2440,Sheet2!$A:$O,12,0)</f>
        <v>30686</v>
      </c>
    </row>
    <row r="2441" spans="1:4">
      <c r="A2441" s="8" t="s">
        <v>405</v>
      </c>
      <c r="B2441" s="5">
        <v>1600101</v>
      </c>
      <c r="C2441" s="5" t="s">
        <v>188</v>
      </c>
      <c r="D2441" s="3">
        <f>VLOOKUP(B2441,Sheet2!$A:$O,12,0)</f>
        <v>3044</v>
      </c>
    </row>
    <row r="2442" spans="1:4">
      <c r="A2442" s="8" t="s">
        <v>405</v>
      </c>
      <c r="B2442" s="5">
        <v>1600102</v>
      </c>
      <c r="C2442" s="5" t="s">
        <v>257</v>
      </c>
      <c r="D2442" s="3">
        <f>VLOOKUP(B2442,Sheet2!$A:$O,12,0)</f>
        <v>36275</v>
      </c>
    </row>
    <row r="2443" spans="1:4">
      <c r="A2443" s="8" t="s">
        <v>405</v>
      </c>
      <c r="B2443" s="5">
        <v>1600103</v>
      </c>
      <c r="C2443" s="5" t="s">
        <v>258</v>
      </c>
      <c r="D2443" s="3">
        <f>VLOOKUP(B2443,Sheet2!$A:$O,12,0)</f>
        <v>19800</v>
      </c>
    </row>
    <row r="2444" spans="1:4">
      <c r="A2444" s="8" t="s">
        <v>405</v>
      </c>
      <c r="B2444" s="5">
        <v>1600104</v>
      </c>
      <c r="C2444" s="5" t="s">
        <v>259</v>
      </c>
      <c r="D2444" s="3">
        <f>VLOOKUP(B2444,Sheet2!$A:$O,12,0)</f>
        <v>73810</v>
      </c>
    </row>
    <row r="2445" spans="1:4">
      <c r="A2445" s="8" t="s">
        <v>405</v>
      </c>
      <c r="B2445" s="5">
        <v>1600105</v>
      </c>
      <c r="C2445" s="5" t="s">
        <v>260</v>
      </c>
      <c r="D2445" s="3">
        <f>VLOOKUP(B2445,Sheet2!$A:$O,12,0)</f>
        <v>83950</v>
      </c>
    </row>
    <row r="2446" spans="1:4">
      <c r="A2446" s="8" t="s">
        <v>405</v>
      </c>
      <c r="B2446" s="5">
        <v>1600106</v>
      </c>
      <c r="C2446" s="5" t="s">
        <v>261</v>
      </c>
      <c r="D2446" s="3">
        <f>VLOOKUP(B2446,Sheet2!$A:$O,12,0)</f>
        <v>108071</v>
      </c>
    </row>
    <row r="2447" spans="1:4">
      <c r="A2447" s="8" t="s">
        <v>405</v>
      </c>
      <c r="B2447" s="5">
        <v>1600107</v>
      </c>
      <c r="C2447" s="5" t="s">
        <v>262</v>
      </c>
      <c r="D2447" s="3">
        <f>VLOOKUP(B2447,Sheet2!$A:$O,12,0)</f>
        <v>86601</v>
      </c>
    </row>
    <row r="2448" spans="1:4">
      <c r="A2448" s="8" t="s">
        <v>405</v>
      </c>
      <c r="B2448" s="5">
        <v>1600108</v>
      </c>
      <c r="C2448" s="5" t="s">
        <v>263</v>
      </c>
      <c r="D2448" s="3">
        <f>VLOOKUP(B2448,Sheet2!$A:$O,12,0)</f>
        <v>73810</v>
      </c>
    </row>
    <row r="2449" spans="1:4">
      <c r="A2449" s="8" t="s">
        <v>405</v>
      </c>
      <c r="B2449" s="5">
        <v>1600109</v>
      </c>
      <c r="C2449" s="5" t="s">
        <v>264</v>
      </c>
      <c r="D2449" s="3">
        <f>VLOOKUP(B2449,Sheet2!$A:$O,12,0)</f>
        <v>5882</v>
      </c>
    </row>
    <row r="2450" spans="1:4">
      <c r="A2450" s="8" t="s">
        <v>405</v>
      </c>
      <c r="B2450" s="5">
        <v>1600110</v>
      </c>
      <c r="C2450" s="5" t="s">
        <v>265</v>
      </c>
      <c r="D2450" s="3">
        <f>VLOOKUP(B2450,Sheet2!$A:$O,12,0)</f>
        <v>7917</v>
      </c>
    </row>
    <row r="2451" spans="1:4">
      <c r="A2451" s="8" t="s">
        <v>405</v>
      </c>
      <c r="B2451" s="5">
        <v>1600111</v>
      </c>
      <c r="C2451" s="5" t="s">
        <v>266</v>
      </c>
      <c r="D2451" s="3">
        <f>VLOOKUP(B2451,Sheet2!$A:$O,12,0)</f>
        <v>2266</v>
      </c>
    </row>
    <row r="2452" spans="1:4">
      <c r="A2452" s="8" t="s">
        <v>405</v>
      </c>
      <c r="B2452" s="5">
        <v>1600112</v>
      </c>
      <c r="C2452" s="5" t="s">
        <v>190</v>
      </c>
      <c r="D2452" s="3">
        <f>VLOOKUP(B2452,Sheet2!$A:$O,12,0)</f>
        <v>4800</v>
      </c>
    </row>
    <row r="2453" spans="1:4">
      <c r="A2453" s="8" t="s">
        <v>405</v>
      </c>
      <c r="B2453" s="5">
        <v>1600113</v>
      </c>
      <c r="C2453" s="5" t="s">
        <v>267</v>
      </c>
      <c r="D2453" s="3">
        <f>VLOOKUP(B2453,Sheet2!$A:$O,12,0)</f>
        <v>0</v>
      </c>
    </row>
    <row r="2454" spans="1:4">
      <c r="A2454" s="8" t="s">
        <v>405</v>
      </c>
      <c r="B2454" s="5">
        <v>1600114</v>
      </c>
      <c r="C2454" s="5" t="s">
        <v>268</v>
      </c>
      <c r="D2454" s="3">
        <f>VLOOKUP(B2454,Sheet2!$A:$O,12,0)</f>
        <v>13333</v>
      </c>
    </row>
    <row r="2455" spans="1:4">
      <c r="A2455" s="8" t="s">
        <v>405</v>
      </c>
      <c r="B2455" s="5">
        <v>1700001</v>
      </c>
      <c r="C2455" s="5" t="s">
        <v>269</v>
      </c>
      <c r="D2455" s="3">
        <f>VLOOKUP(B2455,Sheet2!$A:$O,12,0)</f>
        <v>4681</v>
      </c>
    </row>
    <row r="2456" spans="1:4">
      <c r="A2456" s="8" t="s">
        <v>405</v>
      </c>
      <c r="B2456" s="5">
        <v>1700002</v>
      </c>
      <c r="C2456" s="5" t="s">
        <v>270</v>
      </c>
      <c r="D2456" s="3">
        <f>VLOOKUP(B2456,Sheet2!$A:$O,12,0)</f>
        <v>3726</v>
      </c>
    </row>
    <row r="2457" spans="1:4">
      <c r="A2457" s="8" t="s">
        <v>405</v>
      </c>
      <c r="B2457" s="5">
        <v>1700003</v>
      </c>
      <c r="C2457" s="5" t="s">
        <v>271</v>
      </c>
      <c r="D2457" s="3">
        <f>VLOOKUP(B2457,Sheet2!$A:$O,12,0)</f>
        <v>4902</v>
      </c>
    </row>
    <row r="2458" spans="1:4">
      <c r="A2458" s="8" t="s">
        <v>405</v>
      </c>
      <c r="B2458" s="5">
        <v>1700004</v>
      </c>
      <c r="C2458" s="5" t="s">
        <v>272</v>
      </c>
      <c r="D2458" s="3">
        <f>VLOOKUP(B2458,Sheet2!$A:$O,12,0)</f>
        <v>15784</v>
      </c>
    </row>
    <row r="2459" spans="1:4">
      <c r="A2459" s="8" t="s">
        <v>405</v>
      </c>
      <c r="B2459" s="5">
        <v>1700005</v>
      </c>
      <c r="C2459" s="5" t="s">
        <v>192</v>
      </c>
      <c r="D2459" s="3">
        <f>VLOOKUP(B2459,Sheet2!$A:$O,12,0)</f>
        <v>1765</v>
      </c>
    </row>
    <row r="2460" spans="1:4">
      <c r="A2460" s="8" t="s">
        <v>405</v>
      </c>
      <c r="B2460" s="5">
        <v>1700006</v>
      </c>
      <c r="C2460" s="5" t="s">
        <v>273</v>
      </c>
      <c r="D2460" s="3">
        <f>VLOOKUP(B2460,Sheet2!$A:$O,12,0)</f>
        <v>10383</v>
      </c>
    </row>
    <row r="2461" spans="1:4">
      <c r="A2461" s="8" t="s">
        <v>405</v>
      </c>
      <c r="B2461" s="5">
        <v>1700007</v>
      </c>
      <c r="C2461" s="5" t="s">
        <v>274</v>
      </c>
      <c r="D2461" s="3">
        <f>VLOOKUP(B2461,Sheet2!$A:$O,12,0)</f>
        <v>0</v>
      </c>
    </row>
    <row r="2462" spans="1:4">
      <c r="A2462" s="8" t="s">
        <v>405</v>
      </c>
      <c r="B2462" s="5">
        <v>1700008</v>
      </c>
      <c r="C2462" s="5" t="s">
        <v>275</v>
      </c>
      <c r="D2462" s="3">
        <f>VLOOKUP(B2462,Sheet2!$A:$O,12,0)</f>
        <v>0</v>
      </c>
    </row>
    <row r="2463" spans="1:4">
      <c r="A2463" s="8" t="s">
        <v>405</v>
      </c>
      <c r="B2463" s="5">
        <v>1700009</v>
      </c>
      <c r="C2463" s="5" t="s">
        <v>276</v>
      </c>
      <c r="D2463" s="3">
        <f>VLOOKUP(B2463,Sheet2!$A:$O,12,0)</f>
        <v>0</v>
      </c>
    </row>
    <row r="2464" spans="1:4">
      <c r="A2464" s="8" t="s">
        <v>405</v>
      </c>
      <c r="B2464" s="5">
        <v>1700010</v>
      </c>
      <c r="C2464" s="5" t="s">
        <v>277</v>
      </c>
      <c r="D2464" s="3">
        <f>VLOOKUP(B2464,Sheet2!$A:$O,12,0)</f>
        <v>3990</v>
      </c>
    </row>
    <row r="2465" spans="1:4">
      <c r="A2465" s="8" t="s">
        <v>405</v>
      </c>
      <c r="B2465" s="5">
        <v>1700011</v>
      </c>
      <c r="C2465" s="5" t="s">
        <v>278</v>
      </c>
      <c r="D2465" s="3">
        <f>VLOOKUP(B2465,Sheet2!$A:$O,12,0)</f>
        <v>12745</v>
      </c>
    </row>
    <row r="2466" spans="1:4">
      <c r="A2466" s="8" t="s">
        <v>405</v>
      </c>
      <c r="B2466" s="5">
        <v>1700012</v>
      </c>
      <c r="C2466" s="5" t="s">
        <v>279</v>
      </c>
      <c r="D2466" s="3">
        <f>VLOOKUP(B2466,Sheet2!$A:$O,12,0)</f>
        <v>15980</v>
      </c>
    </row>
    <row r="2467" spans="1:4">
      <c r="A2467" s="8" t="s">
        <v>405</v>
      </c>
      <c r="B2467" s="5">
        <v>1700013</v>
      </c>
      <c r="C2467" s="5" t="s">
        <v>280</v>
      </c>
      <c r="D2467" s="3">
        <f>VLOOKUP(B2467,Sheet2!$A:$O,12,0)</f>
        <v>18137</v>
      </c>
    </row>
    <row r="2468" spans="1:4">
      <c r="A2468" s="8" t="s">
        <v>405</v>
      </c>
      <c r="B2468" s="5">
        <v>1700014</v>
      </c>
      <c r="C2468" s="5" t="s">
        <v>194</v>
      </c>
      <c r="D2468" s="3">
        <f>VLOOKUP(B2468,Sheet2!$A:$O,12,0)</f>
        <v>2255</v>
      </c>
    </row>
    <row r="2469" spans="1:4">
      <c r="A2469" s="8" t="s">
        <v>405</v>
      </c>
      <c r="B2469" s="5">
        <v>1700015</v>
      </c>
      <c r="C2469" s="5" t="s">
        <v>281</v>
      </c>
      <c r="D2469" s="3">
        <f>VLOOKUP(B2469,Sheet2!$A:$O,12,0)</f>
        <v>5160</v>
      </c>
    </row>
    <row r="2470" spans="1:4">
      <c r="A2470" s="8" t="s">
        <v>405</v>
      </c>
      <c r="B2470" s="5">
        <v>1700016</v>
      </c>
      <c r="C2470" s="5" t="s">
        <v>282</v>
      </c>
      <c r="D2470" s="3">
        <f>VLOOKUP(B2470,Sheet2!$A:$O,12,0)</f>
        <v>4900</v>
      </c>
    </row>
    <row r="2471" spans="1:4">
      <c r="A2471" s="8" t="s">
        <v>405</v>
      </c>
      <c r="B2471" s="5">
        <v>1700017</v>
      </c>
      <c r="C2471" s="5" t="s">
        <v>283</v>
      </c>
      <c r="D2471" s="3">
        <f>VLOOKUP(B2471,Sheet2!$A:$O,12,0)</f>
        <v>10784</v>
      </c>
    </row>
    <row r="2472" spans="1:4">
      <c r="A2472" s="8" t="s">
        <v>405</v>
      </c>
      <c r="B2472" s="5">
        <v>1700018</v>
      </c>
      <c r="C2472" s="5" t="s">
        <v>284</v>
      </c>
      <c r="D2472" s="3">
        <f>VLOOKUP(B2472,Sheet2!$A:$O,12,0)</f>
        <v>4367</v>
      </c>
    </row>
    <row r="2473" spans="1:4">
      <c r="A2473" s="8" t="s">
        <v>405</v>
      </c>
      <c r="B2473" s="5">
        <v>1700019</v>
      </c>
      <c r="C2473" s="5" t="s">
        <v>285</v>
      </c>
      <c r="D2473" s="3">
        <f>VLOOKUP(B2473,Sheet2!$A:$O,12,0)</f>
        <v>0</v>
      </c>
    </row>
    <row r="2474" spans="1:4">
      <c r="A2474" s="8" t="s">
        <v>405</v>
      </c>
      <c r="B2474" s="5">
        <v>1700020</v>
      </c>
      <c r="C2474" s="5" t="s">
        <v>286</v>
      </c>
      <c r="D2474" s="3">
        <f>VLOOKUP(B2474,Sheet2!$A:$O,12,0)</f>
        <v>49412</v>
      </c>
    </row>
    <row r="2475" spans="1:4">
      <c r="A2475" s="8" t="s">
        <v>405</v>
      </c>
      <c r="B2475" s="5">
        <v>1700021</v>
      </c>
      <c r="C2475" s="5" t="s">
        <v>287</v>
      </c>
      <c r="D2475" s="3">
        <f>VLOOKUP(B2475,Sheet2!$A:$O,12,0)</f>
        <v>84332</v>
      </c>
    </row>
    <row r="2476" spans="1:4">
      <c r="A2476" s="8" t="s">
        <v>405</v>
      </c>
      <c r="B2476" s="5">
        <v>1700022</v>
      </c>
      <c r="C2476" s="5" t="s">
        <v>288</v>
      </c>
      <c r="D2476" s="3">
        <f>VLOOKUP(B2476,Sheet2!$A:$O,12,0)</f>
        <v>33706</v>
      </c>
    </row>
    <row r="2477" spans="1:4">
      <c r="A2477" s="8" t="s">
        <v>405</v>
      </c>
      <c r="B2477" s="5">
        <v>1700023</v>
      </c>
      <c r="C2477" s="5" t="s">
        <v>289</v>
      </c>
      <c r="D2477" s="3">
        <f>VLOOKUP(B2477,Sheet2!$A:$O,12,0)</f>
        <v>8581</v>
      </c>
    </row>
    <row r="2478" spans="1:4">
      <c r="A2478" s="8" t="s">
        <v>405</v>
      </c>
      <c r="B2478" s="5">
        <v>1700024</v>
      </c>
      <c r="C2478" s="5" t="s">
        <v>290</v>
      </c>
      <c r="D2478" s="3">
        <f>VLOOKUP(B2478,Sheet2!$A:$O,12,0)</f>
        <v>0</v>
      </c>
    </row>
    <row r="2479" spans="1:4">
      <c r="A2479" s="8" t="s">
        <v>405</v>
      </c>
      <c r="B2479" s="5">
        <v>1700025</v>
      </c>
      <c r="C2479" s="5" t="s">
        <v>291</v>
      </c>
      <c r="D2479" s="3">
        <f>VLOOKUP(B2479,Sheet2!$A:$O,12,0)</f>
        <v>1961</v>
      </c>
    </row>
    <row r="2480" spans="1:4">
      <c r="A2480" s="8" t="s">
        <v>405</v>
      </c>
      <c r="B2480" s="5">
        <v>1700026</v>
      </c>
      <c r="C2480" s="5" t="s">
        <v>292</v>
      </c>
      <c r="D2480" s="3">
        <f>VLOOKUP(B2480,Sheet2!$A:$O,12,0)</f>
        <v>3725</v>
      </c>
    </row>
    <row r="2481" spans="1:4">
      <c r="A2481" s="8" t="s">
        <v>405</v>
      </c>
      <c r="B2481" s="5">
        <v>1700027</v>
      </c>
      <c r="C2481" s="5" t="s">
        <v>293</v>
      </c>
      <c r="D2481" s="3">
        <f>VLOOKUP(B2481,Sheet2!$A:$O,12,0)</f>
        <v>4412</v>
      </c>
    </row>
    <row r="2482" spans="1:4">
      <c r="A2482" s="8" t="s">
        <v>405</v>
      </c>
      <c r="B2482" s="5">
        <v>1700028</v>
      </c>
      <c r="C2482" s="5" t="s">
        <v>294</v>
      </c>
      <c r="D2482" s="3">
        <f>VLOOKUP(B2482,Sheet2!$A:$O,12,0)</f>
        <v>9500</v>
      </c>
    </row>
    <row r="2483" spans="1:4">
      <c r="A2483" s="8" t="s">
        <v>405</v>
      </c>
      <c r="B2483" s="5">
        <v>1700029</v>
      </c>
      <c r="C2483" s="5" t="s">
        <v>295</v>
      </c>
      <c r="D2483" s="3">
        <f>VLOOKUP(B2483,Sheet2!$A:$O,12,0)</f>
        <v>10670</v>
      </c>
    </row>
    <row r="2484" spans="1:4">
      <c r="A2484" s="8" t="s">
        <v>405</v>
      </c>
      <c r="B2484" s="5">
        <v>1700030</v>
      </c>
      <c r="C2484" s="5" t="s">
        <v>296</v>
      </c>
      <c r="D2484" s="3">
        <f>VLOOKUP(B2484,Sheet2!$A:$O,12,0)</f>
        <v>12720</v>
      </c>
    </row>
    <row r="2485" spans="1:4">
      <c r="A2485" s="8" t="s">
        <v>405</v>
      </c>
      <c r="B2485" s="5">
        <v>1700031</v>
      </c>
      <c r="C2485" s="5" t="s">
        <v>196</v>
      </c>
      <c r="D2485" s="3">
        <f>VLOOKUP(B2485,Sheet2!$A:$O,12,0)</f>
        <v>2069</v>
      </c>
    </row>
    <row r="2486" spans="1:4">
      <c r="A2486" s="8" t="s">
        <v>405</v>
      </c>
      <c r="B2486" s="5">
        <v>1700032</v>
      </c>
      <c r="C2486" s="5" t="s">
        <v>297</v>
      </c>
      <c r="D2486" s="3">
        <f>VLOOKUP(B2486,Sheet2!$A:$O,12,0)</f>
        <v>0</v>
      </c>
    </row>
    <row r="2487" spans="1:4">
      <c r="A2487" s="8" t="s">
        <v>405</v>
      </c>
      <c r="B2487" s="5">
        <v>1700033</v>
      </c>
      <c r="C2487" s="5" t="s">
        <v>298</v>
      </c>
      <c r="D2487" s="3">
        <f>VLOOKUP(B2487,Sheet2!$A:$O,12,0)</f>
        <v>0</v>
      </c>
    </row>
    <row r="2488" spans="1:4">
      <c r="A2488" s="8" t="s">
        <v>405</v>
      </c>
      <c r="B2488" s="5">
        <v>1700034</v>
      </c>
      <c r="C2488" s="5" t="s">
        <v>299</v>
      </c>
      <c r="D2488" s="3">
        <f>VLOOKUP(B2488,Sheet2!$A:$O,12,0)</f>
        <v>17475</v>
      </c>
    </row>
    <row r="2489" spans="1:4">
      <c r="A2489" s="8" t="s">
        <v>405</v>
      </c>
      <c r="B2489" s="5">
        <v>1700035</v>
      </c>
      <c r="C2489" s="5" t="s">
        <v>300</v>
      </c>
      <c r="D2489" s="3">
        <f>VLOOKUP(B2489,Sheet2!$A:$O,12,0)</f>
        <v>64367</v>
      </c>
    </row>
    <row r="2490" spans="1:4">
      <c r="A2490" s="8" t="s">
        <v>405</v>
      </c>
      <c r="B2490" s="5">
        <v>1700036</v>
      </c>
      <c r="C2490" s="5" t="s">
        <v>301</v>
      </c>
      <c r="D2490" s="3">
        <f>VLOOKUP(B2490,Sheet2!$A:$O,12,0)</f>
        <v>5200</v>
      </c>
    </row>
    <row r="2491" spans="1:4">
      <c r="A2491" s="8" t="s">
        <v>405</v>
      </c>
      <c r="B2491" s="5">
        <v>1700037</v>
      </c>
      <c r="C2491" s="5" t="s">
        <v>302</v>
      </c>
      <c r="D2491" s="3">
        <f>VLOOKUP(B2491,Sheet2!$A:$O,12,0)</f>
        <v>7533</v>
      </c>
    </row>
    <row r="2492" spans="1:4">
      <c r="A2492" s="8" t="s">
        <v>405</v>
      </c>
      <c r="B2492" s="5">
        <v>1700038</v>
      </c>
      <c r="C2492" s="5" t="s">
        <v>303</v>
      </c>
      <c r="D2492" s="3">
        <f>VLOOKUP(B2492,Sheet2!$A:$O,12,0)</f>
        <v>2157</v>
      </c>
    </row>
    <row r="2493" spans="1:4">
      <c r="A2493" s="8" t="s">
        <v>405</v>
      </c>
      <c r="B2493" s="5">
        <v>1700039</v>
      </c>
      <c r="C2493" s="5" t="s">
        <v>304</v>
      </c>
      <c r="D2493" s="3">
        <f>VLOOKUP(B2493,Sheet2!$A:$O,12,0)</f>
        <v>2431</v>
      </c>
    </row>
    <row r="2494" spans="1:4">
      <c r="A2494" s="8" t="s">
        <v>405</v>
      </c>
      <c r="B2494" s="5">
        <v>1700040</v>
      </c>
      <c r="C2494" s="5" t="s">
        <v>305</v>
      </c>
      <c r="D2494" s="3">
        <f>VLOOKUP(B2494,Sheet2!$A:$O,12,0)</f>
        <v>1967</v>
      </c>
    </row>
    <row r="2495" spans="1:4">
      <c r="A2495" s="8" t="s">
        <v>405</v>
      </c>
      <c r="B2495" s="5">
        <v>1700041</v>
      </c>
      <c r="C2495" s="5" t="s">
        <v>306</v>
      </c>
      <c r="D2495" s="3">
        <f>VLOOKUP(B2495,Sheet2!$A:$O,12,0)</f>
        <v>3000</v>
      </c>
    </row>
    <row r="2496" spans="1:4">
      <c r="A2496" s="8" t="s">
        <v>405</v>
      </c>
      <c r="B2496" s="5">
        <v>1700042</v>
      </c>
      <c r="C2496" s="5" t="s">
        <v>307</v>
      </c>
      <c r="D2496" s="3">
        <f>VLOOKUP(B2496,Sheet2!$A:$O,12,0)</f>
        <v>3163</v>
      </c>
    </row>
    <row r="2497" spans="1:4">
      <c r="A2497" s="8" t="s">
        <v>405</v>
      </c>
      <c r="B2497" s="5">
        <v>1700043</v>
      </c>
      <c r="C2497" s="5" t="s">
        <v>308</v>
      </c>
      <c r="D2497" s="3">
        <f>VLOOKUP(B2497,Sheet2!$A:$O,12,0)</f>
        <v>5877</v>
      </c>
    </row>
    <row r="2498" spans="1:4">
      <c r="A2498" s="8" t="s">
        <v>405</v>
      </c>
      <c r="B2498" s="5">
        <v>1700044</v>
      </c>
      <c r="C2498" s="5" t="s">
        <v>309</v>
      </c>
      <c r="D2498" s="3">
        <f>VLOOKUP(B2498,Sheet2!$A:$O,12,0)</f>
        <v>7000</v>
      </c>
    </row>
    <row r="2499" spans="1:4">
      <c r="A2499" s="8" t="s">
        <v>405</v>
      </c>
      <c r="B2499" s="5">
        <v>1700045</v>
      </c>
      <c r="C2499" s="5" t="s">
        <v>310</v>
      </c>
      <c r="D2499" s="3">
        <f>VLOOKUP(B2499,Sheet2!$A:$O,12,0)</f>
        <v>3696</v>
      </c>
    </row>
    <row r="2500" spans="1:4">
      <c r="A2500" s="8" t="s">
        <v>405</v>
      </c>
      <c r="B2500" s="5">
        <v>1700046</v>
      </c>
      <c r="C2500" s="5" t="s">
        <v>311</v>
      </c>
      <c r="D2500" s="3">
        <f>VLOOKUP(B2500,Sheet2!$A:$O,12,0)</f>
        <v>6863</v>
      </c>
    </row>
    <row r="2501" spans="1:4">
      <c r="A2501" s="8" t="s">
        <v>405</v>
      </c>
      <c r="B2501" s="5">
        <v>1700047</v>
      </c>
      <c r="C2501" s="5" t="s">
        <v>312</v>
      </c>
      <c r="D2501" s="3">
        <f>VLOOKUP(B2501,Sheet2!$A:$O,12,0)</f>
        <v>22350</v>
      </c>
    </row>
    <row r="2502" spans="1:4">
      <c r="A2502" s="8" t="s">
        <v>405</v>
      </c>
      <c r="B2502" s="5">
        <v>1700048</v>
      </c>
      <c r="C2502" s="5" t="s">
        <v>313</v>
      </c>
      <c r="D2502" s="3">
        <f>VLOOKUP(B2502,Sheet2!$A:$O,12,0)</f>
        <v>13330</v>
      </c>
    </row>
    <row r="2503" spans="1:4">
      <c r="A2503" s="8" t="s">
        <v>405</v>
      </c>
      <c r="B2503" s="5">
        <v>1700049</v>
      </c>
      <c r="C2503" s="5" t="s">
        <v>314</v>
      </c>
      <c r="D2503" s="3">
        <f>VLOOKUP(B2503,Sheet2!$A:$O,12,0)</f>
        <v>5785</v>
      </c>
    </row>
    <row r="2504" spans="1:4">
      <c r="A2504" s="8" t="s">
        <v>405</v>
      </c>
      <c r="B2504" s="5">
        <v>1700050</v>
      </c>
      <c r="C2504" s="5" t="s">
        <v>315</v>
      </c>
      <c r="D2504" s="3">
        <f>VLOOKUP(B2504,Sheet2!$A:$O,12,0)</f>
        <v>39000</v>
      </c>
    </row>
    <row r="2505" spans="1:4">
      <c r="A2505" s="8" t="s">
        <v>405</v>
      </c>
      <c r="B2505" s="5">
        <v>1700051</v>
      </c>
      <c r="C2505" s="5" t="s">
        <v>316</v>
      </c>
      <c r="D2505" s="3">
        <f>VLOOKUP(B2505,Sheet2!$A:$O,12,0)</f>
        <v>11500</v>
      </c>
    </row>
    <row r="2506" spans="1:4">
      <c r="A2506" s="8" t="s">
        <v>405</v>
      </c>
      <c r="B2506" s="5">
        <v>1700052</v>
      </c>
      <c r="C2506" s="5" t="s">
        <v>317</v>
      </c>
      <c r="D2506" s="3">
        <f>VLOOKUP(B2506,Sheet2!$A:$O,12,0)</f>
        <v>3444</v>
      </c>
    </row>
    <row r="2507" spans="1:4">
      <c r="A2507" s="8" t="s">
        <v>405</v>
      </c>
      <c r="B2507" s="5">
        <v>1700053</v>
      </c>
      <c r="C2507" s="5" t="s">
        <v>318</v>
      </c>
      <c r="D2507" s="3">
        <f>VLOOKUP(B2507,Sheet2!$A:$O,12,0)</f>
        <v>15530</v>
      </c>
    </row>
    <row r="2508" spans="1:4">
      <c r="A2508" s="8" t="s">
        <v>405</v>
      </c>
      <c r="B2508" s="5">
        <v>1700054</v>
      </c>
      <c r="C2508" s="5" t="s">
        <v>319</v>
      </c>
      <c r="D2508" s="3">
        <f>VLOOKUP(B2508,Sheet2!$A:$O,12,0)</f>
        <v>11670</v>
      </c>
    </row>
    <row r="2509" spans="1:4">
      <c r="A2509" s="8" t="s">
        <v>405</v>
      </c>
      <c r="B2509" s="5">
        <v>1700055</v>
      </c>
      <c r="C2509" s="5" t="s">
        <v>320</v>
      </c>
      <c r="D2509" s="3">
        <f>VLOOKUP(B2509,Sheet2!$A:$O,12,0)</f>
        <v>11940</v>
      </c>
    </row>
    <row r="2510" spans="1:4">
      <c r="A2510" s="8" t="s">
        <v>405</v>
      </c>
      <c r="B2510" s="5">
        <v>1700056</v>
      </c>
      <c r="C2510" s="5" t="s">
        <v>321</v>
      </c>
      <c r="D2510" s="3">
        <f>VLOOKUP(B2510,Sheet2!$A:$O,12,0)</f>
        <v>6513</v>
      </c>
    </row>
    <row r="2511" spans="1:4">
      <c r="A2511" s="8" t="s">
        <v>405</v>
      </c>
      <c r="B2511" s="5">
        <v>1700057</v>
      </c>
      <c r="C2511" s="5" t="s">
        <v>322</v>
      </c>
      <c r="D2511" s="3">
        <f>VLOOKUP(B2511,Sheet2!$A:$O,12,0)</f>
        <v>2098</v>
      </c>
    </row>
    <row r="2512" spans="1:4">
      <c r="A2512" s="8" t="s">
        <v>405</v>
      </c>
      <c r="B2512" s="5">
        <v>1700058</v>
      </c>
      <c r="C2512" s="5" t="s">
        <v>323</v>
      </c>
      <c r="D2512" s="3">
        <f>VLOOKUP(B2512,Sheet2!$A:$O,12,0)</f>
        <v>5800</v>
      </c>
    </row>
    <row r="2513" spans="1:4">
      <c r="A2513" s="8" t="s">
        <v>405</v>
      </c>
      <c r="B2513" s="5">
        <v>1700059</v>
      </c>
      <c r="C2513" s="5" t="s">
        <v>324</v>
      </c>
      <c r="D2513" s="3">
        <f>VLOOKUP(B2513,Sheet2!$A:$O,12,0)</f>
        <v>27667</v>
      </c>
    </row>
    <row r="2514" spans="1:4">
      <c r="A2514" s="8" t="s">
        <v>405</v>
      </c>
      <c r="B2514" s="5">
        <v>1700060</v>
      </c>
      <c r="C2514" s="5" t="s">
        <v>325</v>
      </c>
      <c r="D2514" s="3">
        <f>VLOOKUP(B2514,Sheet2!$A:$O,12,0)</f>
        <v>3402</v>
      </c>
    </row>
    <row r="2515" spans="1:4">
      <c r="A2515" s="8" t="s">
        <v>405</v>
      </c>
      <c r="B2515" s="5">
        <v>1700061</v>
      </c>
      <c r="C2515" s="5" t="s">
        <v>326</v>
      </c>
      <c r="D2515" s="3">
        <f>VLOOKUP(B2515,Sheet2!$A:$O,12,0)</f>
        <v>8920</v>
      </c>
    </row>
    <row r="2516" spans="1:4">
      <c r="A2516" s="8" t="s">
        <v>405</v>
      </c>
      <c r="B2516" s="5">
        <v>1700062</v>
      </c>
      <c r="C2516" s="5" t="s">
        <v>327</v>
      </c>
      <c r="D2516" s="3">
        <f>VLOOKUP(B2516,Sheet2!$A:$O,12,0)</f>
        <v>10520</v>
      </c>
    </row>
    <row r="2517" spans="1:4">
      <c r="A2517" s="8" t="s">
        <v>405</v>
      </c>
      <c r="B2517" s="5">
        <v>1700063</v>
      </c>
      <c r="C2517" s="5" t="s">
        <v>328</v>
      </c>
      <c r="D2517" s="3">
        <f>VLOOKUP(B2517,Sheet2!$A:$O,12,0)</f>
        <v>10550</v>
      </c>
    </row>
    <row r="2518" spans="1:4">
      <c r="A2518" s="8" t="s">
        <v>405</v>
      </c>
      <c r="B2518" s="5">
        <v>1700064</v>
      </c>
      <c r="C2518" s="5" t="s">
        <v>329</v>
      </c>
      <c r="D2518" s="3">
        <f>VLOOKUP(B2518,Sheet2!$A:$O,12,0)</f>
        <v>11060</v>
      </c>
    </row>
    <row r="2519" spans="1:4">
      <c r="A2519" s="8" t="s">
        <v>405</v>
      </c>
      <c r="B2519" s="5">
        <v>1700065</v>
      </c>
      <c r="C2519" s="5" t="s">
        <v>330</v>
      </c>
      <c r="D2519" s="3">
        <f>VLOOKUP(B2519,Sheet2!$A:$O,12,0)</f>
        <v>12760</v>
      </c>
    </row>
    <row r="2520" spans="1:4">
      <c r="A2520" s="8" t="s">
        <v>405</v>
      </c>
      <c r="B2520" s="5">
        <v>1700066</v>
      </c>
      <c r="C2520" s="5" t="s">
        <v>331</v>
      </c>
      <c r="D2520" s="3">
        <f>VLOOKUP(B2520,Sheet2!$A:$O,12,0)</f>
        <v>13200</v>
      </c>
    </row>
    <row r="2521" spans="1:4">
      <c r="A2521" s="8" t="s">
        <v>405</v>
      </c>
      <c r="B2521" s="5">
        <v>1700067</v>
      </c>
      <c r="C2521" s="5" t="s">
        <v>332</v>
      </c>
      <c r="D2521" s="3">
        <f>VLOOKUP(B2521,Sheet2!$A:$O,12,0)</f>
        <v>10720</v>
      </c>
    </row>
    <row r="2522" spans="1:4">
      <c r="A2522" s="8" t="s">
        <v>405</v>
      </c>
      <c r="B2522" s="5">
        <v>1700068</v>
      </c>
      <c r="C2522" s="5" t="s">
        <v>333</v>
      </c>
      <c r="D2522" s="3">
        <f>VLOOKUP(B2522,Sheet2!$A:$O,12,0)</f>
        <v>12720</v>
      </c>
    </row>
    <row r="2523" spans="1:4">
      <c r="A2523" s="8" t="s">
        <v>405</v>
      </c>
      <c r="B2523" s="5">
        <v>1700069</v>
      </c>
      <c r="C2523" s="5" t="s">
        <v>334</v>
      </c>
      <c r="D2523" s="3">
        <f>VLOOKUP(B2523,Sheet2!$A:$O,12,0)</f>
        <v>14000</v>
      </c>
    </row>
    <row r="2524" spans="1:4">
      <c r="A2524" s="8" t="s">
        <v>405</v>
      </c>
      <c r="B2524" s="5">
        <v>1700070</v>
      </c>
      <c r="C2524" s="5" t="s">
        <v>335</v>
      </c>
      <c r="D2524" s="3">
        <f>VLOOKUP(B2524,Sheet2!$A:$O,12,0)</f>
        <v>1618</v>
      </c>
    </row>
    <row r="2525" spans="1:4">
      <c r="A2525" s="8" t="s">
        <v>405</v>
      </c>
      <c r="B2525" s="5">
        <v>1700071</v>
      </c>
      <c r="C2525" s="5" t="s">
        <v>336</v>
      </c>
      <c r="D2525" s="3">
        <f>VLOOKUP(B2525,Sheet2!$A:$O,12,0)</f>
        <v>12190</v>
      </c>
    </row>
    <row r="2526" spans="1:4">
      <c r="A2526" s="8" t="s">
        <v>405</v>
      </c>
      <c r="B2526" s="5">
        <v>1700072</v>
      </c>
      <c r="C2526" s="5" t="s">
        <v>337</v>
      </c>
      <c r="D2526" s="3">
        <f>VLOOKUP(B2526,Sheet2!$A:$O,12,0)</f>
        <v>10180</v>
      </c>
    </row>
    <row r="2527" spans="1:4">
      <c r="A2527" s="8" t="s">
        <v>405</v>
      </c>
      <c r="B2527" s="5">
        <v>1700073</v>
      </c>
      <c r="C2527" s="5" t="s">
        <v>338</v>
      </c>
      <c r="D2527" s="3">
        <f>VLOOKUP(B2527,Sheet2!$A:$O,12,0)</f>
        <v>9020</v>
      </c>
    </row>
    <row r="2528" spans="1:4">
      <c r="A2528" s="8" t="s">
        <v>405</v>
      </c>
      <c r="B2528" s="5">
        <v>1700076</v>
      </c>
      <c r="C2528" s="5" t="s">
        <v>339</v>
      </c>
      <c r="D2528" s="3">
        <f>VLOOKUP(B2528,Sheet2!$A:$O,12,0)</f>
        <v>3187</v>
      </c>
    </row>
    <row r="2529" spans="1:4">
      <c r="A2529" s="8" t="s">
        <v>405</v>
      </c>
      <c r="B2529" s="5">
        <v>1700077</v>
      </c>
      <c r="C2529" s="5" t="s">
        <v>340</v>
      </c>
      <c r="D2529" s="3">
        <f>VLOOKUP(B2529,Sheet2!$A:$O,12,0)</f>
        <v>3015</v>
      </c>
    </row>
    <row r="2530" spans="1:4">
      <c r="A2530" s="8" t="s">
        <v>405</v>
      </c>
      <c r="B2530" s="5">
        <v>1700078</v>
      </c>
      <c r="C2530" s="5" t="s">
        <v>341</v>
      </c>
      <c r="D2530" s="3">
        <f>VLOOKUP(B2530,Sheet2!$A:$O,12,0)</f>
        <v>4716</v>
      </c>
    </row>
    <row r="2531" spans="1:4">
      <c r="A2531" s="8" t="s">
        <v>405</v>
      </c>
      <c r="B2531" s="5">
        <v>1700080</v>
      </c>
      <c r="C2531" s="5" t="s">
        <v>342</v>
      </c>
      <c r="D2531" s="3">
        <f>VLOOKUP(B2531,Sheet2!$A:$O,12,0)</f>
        <v>3529</v>
      </c>
    </row>
    <row r="2532" spans="1:4">
      <c r="A2532" s="8" t="s">
        <v>405</v>
      </c>
      <c r="B2532" s="5">
        <v>1700083</v>
      </c>
      <c r="C2532" s="5" t="s">
        <v>343</v>
      </c>
      <c r="D2532" s="3">
        <f>VLOOKUP(B2532,Sheet2!$A:$O,12,0)</f>
        <v>8333</v>
      </c>
    </row>
    <row r="2533" spans="1:4">
      <c r="A2533" s="8" t="s">
        <v>405</v>
      </c>
      <c r="B2533" s="5">
        <v>1700084</v>
      </c>
      <c r="C2533" s="5" t="s">
        <v>344</v>
      </c>
      <c r="D2533" s="3">
        <f>VLOOKUP(B2533,Sheet2!$A:$O,12,0)</f>
        <v>6282</v>
      </c>
    </row>
    <row r="2534" spans="1:4">
      <c r="A2534" s="8" t="s">
        <v>405</v>
      </c>
      <c r="B2534" s="5">
        <v>1700085</v>
      </c>
      <c r="C2534" s="5" t="s">
        <v>345</v>
      </c>
      <c r="D2534" s="3">
        <f>VLOOKUP(B2534,Sheet2!$A:$O,12,0)</f>
        <v>7860</v>
      </c>
    </row>
    <row r="2535" spans="1:4">
      <c r="A2535" s="8" t="s">
        <v>405</v>
      </c>
      <c r="B2535" s="5">
        <v>1700086</v>
      </c>
      <c r="C2535" s="5" t="s">
        <v>346</v>
      </c>
      <c r="D2535" s="3">
        <f>VLOOKUP(B2535,Sheet2!$A:$O,12,0)</f>
        <v>1814</v>
      </c>
    </row>
    <row r="2536" spans="1:4">
      <c r="A2536" s="8" t="s">
        <v>405</v>
      </c>
      <c r="B2536" s="5">
        <v>1700087</v>
      </c>
      <c r="C2536" s="5" t="s">
        <v>347</v>
      </c>
      <c r="D2536" s="3">
        <f>VLOOKUP(B2536,Sheet2!$A:$O,12,0)</f>
        <v>4890</v>
      </c>
    </row>
    <row r="2537" spans="1:4">
      <c r="A2537" s="8" t="s">
        <v>405</v>
      </c>
      <c r="B2537" s="5">
        <v>1700088</v>
      </c>
      <c r="C2537" s="5" t="s">
        <v>348</v>
      </c>
      <c r="D2537" s="3">
        <f>VLOOKUP(B2537,Sheet2!$A:$O,12,0)</f>
        <v>15500</v>
      </c>
    </row>
    <row r="2538" spans="1:4">
      <c r="A2538" s="8" t="s">
        <v>405</v>
      </c>
      <c r="B2538" s="5">
        <v>1700089</v>
      </c>
      <c r="C2538" s="5" t="s">
        <v>349</v>
      </c>
      <c r="D2538" s="3">
        <f>VLOOKUP(B2538,Sheet2!$A:$O,12,0)</f>
        <v>18500</v>
      </c>
    </row>
    <row r="2539" spans="1:4">
      <c r="A2539" s="8" t="s">
        <v>405</v>
      </c>
      <c r="B2539" s="5">
        <v>1700090</v>
      </c>
      <c r="C2539" s="5" t="s">
        <v>350</v>
      </c>
      <c r="D2539" s="3">
        <f>VLOOKUP(B2539,Sheet2!$A:$O,12,0)</f>
        <v>36706</v>
      </c>
    </row>
    <row r="2540" spans="1:4">
      <c r="A2540" s="8" t="s">
        <v>405</v>
      </c>
      <c r="B2540" s="5">
        <v>1700091</v>
      </c>
      <c r="C2540" s="5" t="s">
        <v>351</v>
      </c>
      <c r="D2540" s="3">
        <f>VLOOKUP(B2540,Sheet2!$A:$O,12,0)</f>
        <v>18353</v>
      </c>
    </row>
    <row r="2541" spans="1:4">
      <c r="A2541" s="8" t="s">
        <v>405</v>
      </c>
      <c r="B2541" s="5">
        <v>1700092</v>
      </c>
      <c r="C2541" s="5" t="s">
        <v>352</v>
      </c>
      <c r="D2541" s="3">
        <f>VLOOKUP(B2541,Sheet2!$A:$O,12,0)</f>
        <v>1951</v>
      </c>
    </row>
    <row r="2542" spans="1:4">
      <c r="A2542" s="8" t="s">
        <v>405</v>
      </c>
      <c r="B2542" s="5">
        <v>1700093</v>
      </c>
      <c r="C2542" s="5" t="s">
        <v>353</v>
      </c>
      <c r="D2542" s="3">
        <f>VLOOKUP(B2542,Sheet2!$A:$O,12,0)</f>
        <v>11180</v>
      </c>
    </row>
    <row r="2543" spans="1:4">
      <c r="A2543" s="8" t="s">
        <v>405</v>
      </c>
      <c r="B2543" s="5">
        <v>1700094</v>
      </c>
      <c r="C2543" s="5" t="s">
        <v>354</v>
      </c>
      <c r="D2543" s="3">
        <f>VLOOKUP(B2543,Sheet2!$A:$O,12,0)</f>
        <v>13529</v>
      </c>
    </row>
    <row r="2544" spans="1:4">
      <c r="A2544" s="8" t="s">
        <v>405</v>
      </c>
      <c r="B2544" s="5">
        <v>1700095</v>
      </c>
      <c r="C2544" s="5" t="s">
        <v>355</v>
      </c>
      <c r="D2544" s="3">
        <f>VLOOKUP(B2544,Sheet2!$A:$O,12,0)</f>
        <v>4500</v>
      </c>
    </row>
    <row r="2545" spans="1:4">
      <c r="A2545" s="8" t="s">
        <v>405</v>
      </c>
      <c r="B2545" s="5">
        <v>1700096</v>
      </c>
      <c r="C2545" s="5" t="s">
        <v>356</v>
      </c>
      <c r="D2545" s="3">
        <f>VLOOKUP(B2545,Sheet2!$A:$O,12,0)</f>
        <v>24510</v>
      </c>
    </row>
    <row r="2546" spans="1:4">
      <c r="A2546" s="8" t="s">
        <v>405</v>
      </c>
      <c r="B2546" s="5">
        <v>1700097</v>
      </c>
      <c r="C2546" s="5" t="s">
        <v>357</v>
      </c>
      <c r="D2546" s="3">
        <f>VLOOKUP(B2546,Sheet2!$A:$O,12,0)</f>
        <v>19608</v>
      </c>
    </row>
    <row r="2547" spans="1:4">
      <c r="A2547" s="8" t="s">
        <v>405</v>
      </c>
      <c r="B2547" s="5">
        <v>1700098</v>
      </c>
      <c r="C2547" s="5" t="s">
        <v>358</v>
      </c>
      <c r="D2547" s="3">
        <f>VLOOKUP(B2547,Sheet2!$A:$O,12,0)</f>
        <v>19608</v>
      </c>
    </row>
    <row r="2548" spans="1:4">
      <c r="A2548" s="8" t="s">
        <v>405</v>
      </c>
      <c r="B2548" s="5">
        <v>1700099</v>
      </c>
      <c r="C2548" s="5" t="s">
        <v>359</v>
      </c>
      <c r="D2548" s="3">
        <f>VLOOKUP(B2548,Sheet2!$A:$O,12,0)</f>
        <v>9000</v>
      </c>
    </row>
    <row r="2549" spans="1:4">
      <c r="A2549" s="8" t="s">
        <v>405</v>
      </c>
      <c r="B2549" s="5">
        <v>1700100</v>
      </c>
      <c r="C2549" s="5" t="s">
        <v>360</v>
      </c>
      <c r="D2549" s="3">
        <f>VLOOKUP(B2549,Sheet2!$A:$O,12,0)</f>
        <v>3333</v>
      </c>
    </row>
    <row r="2550" spans="1:4">
      <c r="A2550" s="8" t="s">
        <v>405</v>
      </c>
      <c r="B2550" s="5">
        <v>1700101</v>
      </c>
      <c r="C2550" s="5" t="s">
        <v>361</v>
      </c>
      <c r="D2550" s="3">
        <f>VLOOKUP(B2550,Sheet2!$A:$O,12,0)</f>
        <v>7647</v>
      </c>
    </row>
    <row r="2551" spans="1:4">
      <c r="A2551" s="8" t="s">
        <v>405</v>
      </c>
      <c r="B2551" s="5">
        <v>1700102</v>
      </c>
      <c r="C2551" s="5" t="s">
        <v>362</v>
      </c>
      <c r="D2551" s="3">
        <f>VLOOKUP(B2551,Sheet2!$A:$O,12,0)</f>
        <v>40196</v>
      </c>
    </row>
    <row r="2552" spans="1:4">
      <c r="A2552" s="8" t="s">
        <v>405</v>
      </c>
      <c r="B2552" s="5">
        <v>1700103</v>
      </c>
      <c r="C2552" s="5" t="s">
        <v>363</v>
      </c>
      <c r="D2552" s="3">
        <f>VLOOKUP(B2552,Sheet2!$A:$O,12,0)</f>
        <v>9000</v>
      </c>
    </row>
    <row r="2553" spans="1:4">
      <c r="A2553" s="8" t="s">
        <v>405</v>
      </c>
      <c r="B2553" s="5">
        <v>1700104</v>
      </c>
      <c r="C2553" s="5" t="s">
        <v>364</v>
      </c>
      <c r="D2553" s="3">
        <f>VLOOKUP(B2553,Sheet2!$A:$O,12,0)</f>
        <v>25000</v>
      </c>
    </row>
    <row r="2554" spans="1:4">
      <c r="A2554" s="8" t="s">
        <v>405</v>
      </c>
      <c r="B2554" s="5">
        <v>1700105</v>
      </c>
      <c r="C2554" s="5" t="s">
        <v>365</v>
      </c>
      <c r="D2554" s="3">
        <f>VLOOKUP(B2554,Sheet2!$A:$O,12,0)</f>
        <v>10588</v>
      </c>
    </row>
    <row r="2555" spans="1:4">
      <c r="A2555" s="8" t="s">
        <v>405</v>
      </c>
      <c r="B2555" s="5">
        <v>1700106</v>
      </c>
      <c r="C2555" s="5" t="s">
        <v>366</v>
      </c>
      <c r="D2555" s="3">
        <f>VLOOKUP(B2555,Sheet2!$A:$O,12,0)</f>
        <v>14020</v>
      </c>
    </row>
    <row r="2556" spans="1:4">
      <c r="A2556" s="8" t="s">
        <v>405</v>
      </c>
      <c r="B2556" s="5">
        <v>1700107</v>
      </c>
      <c r="C2556" s="5" t="s">
        <v>367</v>
      </c>
      <c r="D2556" s="3">
        <f>VLOOKUP(B2556,Sheet2!$A:$O,12,0)</f>
        <v>9020</v>
      </c>
    </row>
    <row r="2557" spans="1:4">
      <c r="A2557" s="8" t="s">
        <v>405</v>
      </c>
      <c r="B2557" s="5">
        <v>1800002</v>
      </c>
      <c r="C2557" s="5" t="s">
        <v>368</v>
      </c>
      <c r="D2557" s="3">
        <f>VLOOKUP(B2557,Sheet2!$A:$O,12,0)</f>
        <v>9520</v>
      </c>
    </row>
    <row r="2558" spans="1:4">
      <c r="A2558" s="8" t="s">
        <v>405</v>
      </c>
      <c r="B2558" s="5">
        <v>1800004</v>
      </c>
      <c r="C2558" s="5" t="s">
        <v>369</v>
      </c>
      <c r="D2558" s="3">
        <f>VLOOKUP(B2558,Sheet2!$A:$O,12,0)</f>
        <v>0</v>
      </c>
    </row>
    <row r="2559" spans="1:4">
      <c r="A2559" s="8" t="s">
        <v>405</v>
      </c>
      <c r="B2559" s="5">
        <v>1800005</v>
      </c>
      <c r="C2559" s="5" t="s">
        <v>370</v>
      </c>
      <c r="D2559" s="3">
        <f>VLOOKUP(B2559,Sheet2!$A:$O,12,0)</f>
        <v>0</v>
      </c>
    </row>
    <row r="2560" spans="1:4">
      <c r="A2560" s="8" t="s">
        <v>405</v>
      </c>
      <c r="B2560" s="5">
        <v>1800006</v>
      </c>
      <c r="C2560" s="5" t="s">
        <v>371</v>
      </c>
      <c r="D2560" s="3">
        <f>VLOOKUP(B2560,Sheet2!$A:$O,12,0)</f>
        <v>0</v>
      </c>
    </row>
    <row r="2561" spans="1:4">
      <c r="A2561" s="8" t="s">
        <v>405</v>
      </c>
      <c r="B2561" s="5">
        <v>1800007</v>
      </c>
      <c r="C2561" s="5" t="s">
        <v>372</v>
      </c>
      <c r="D2561" s="3">
        <f>VLOOKUP(B2561,Sheet2!$A:$O,12,0)</f>
        <v>10000</v>
      </c>
    </row>
    <row r="2562" spans="1:4">
      <c r="A2562" s="8" t="s">
        <v>405</v>
      </c>
      <c r="B2562" s="5">
        <v>1800008</v>
      </c>
      <c r="C2562" s="5" t="s">
        <v>373</v>
      </c>
      <c r="D2562" s="3">
        <f>VLOOKUP(B2562,Sheet2!$A:$O,12,0)</f>
        <v>10110</v>
      </c>
    </row>
    <row r="2563" spans="1:4">
      <c r="A2563" s="8" t="s">
        <v>405</v>
      </c>
      <c r="B2563" s="5">
        <v>1800009</v>
      </c>
      <c r="C2563" s="5" t="s">
        <v>374</v>
      </c>
      <c r="D2563" s="3">
        <f>VLOOKUP(B2563,Sheet2!$A:$O,12,0)</f>
        <v>11800</v>
      </c>
    </row>
    <row r="2564" spans="1:4">
      <c r="A2564" s="8" t="s">
        <v>405</v>
      </c>
      <c r="B2564" s="5">
        <v>1800010</v>
      </c>
      <c r="C2564" s="5" t="s">
        <v>375</v>
      </c>
      <c r="D2564" s="3">
        <f>VLOOKUP(B2564,Sheet2!$A:$O,12,0)</f>
        <v>5784</v>
      </c>
    </row>
    <row r="2565" spans="1:4">
      <c r="A2565" s="8" t="s">
        <v>405</v>
      </c>
      <c r="B2565" s="5">
        <v>1800011</v>
      </c>
      <c r="C2565" s="5" t="s">
        <v>376</v>
      </c>
      <c r="D2565" s="3">
        <f>VLOOKUP(B2565,Sheet2!$A:$O,12,0)</f>
        <v>9363</v>
      </c>
    </row>
    <row r="2566" spans="1:4">
      <c r="A2566" s="8" t="s">
        <v>405</v>
      </c>
      <c r="B2566" s="5">
        <v>1800012</v>
      </c>
      <c r="C2566" s="5" t="s">
        <v>377</v>
      </c>
      <c r="D2566" s="3">
        <f>VLOOKUP(B2566,Sheet2!$A:$O,12,0)</f>
        <v>5725</v>
      </c>
    </row>
    <row r="2567" spans="1:4">
      <c r="A2567" s="8" t="s">
        <v>405</v>
      </c>
      <c r="B2567" s="5">
        <v>1800013</v>
      </c>
      <c r="C2567" s="5" t="s">
        <v>378</v>
      </c>
      <c r="D2567" s="3">
        <f>VLOOKUP(B2567,Sheet2!$A:$O,12,0)</f>
        <v>49100</v>
      </c>
    </row>
    <row r="2568" spans="1:4">
      <c r="A2568" s="8" t="s">
        <v>405</v>
      </c>
      <c r="B2568" s="5">
        <v>1800014</v>
      </c>
      <c r="C2568" s="5" t="s">
        <v>379</v>
      </c>
      <c r="D2568" s="3">
        <f>VLOOKUP(B2568,Sheet2!$A:$O,12,0)</f>
        <v>70000</v>
      </c>
    </row>
    <row r="2569" spans="1:4">
      <c r="A2569" s="8" t="s">
        <v>405</v>
      </c>
      <c r="B2569" s="5">
        <v>1800015</v>
      </c>
      <c r="C2569" s="5" t="s">
        <v>380</v>
      </c>
      <c r="D2569" s="3">
        <f>VLOOKUP(B2569,Sheet2!$A:$O,12,0)</f>
        <v>66700</v>
      </c>
    </row>
    <row r="2570" spans="1:4">
      <c r="A2570" s="8" t="s">
        <v>405</v>
      </c>
      <c r="B2570" s="5">
        <v>1900013</v>
      </c>
      <c r="C2570" s="5" t="s">
        <v>381</v>
      </c>
      <c r="D2570" s="3">
        <f>VLOOKUP(B2570,Sheet2!$A:$O,12,0)</f>
        <v>0</v>
      </c>
    </row>
    <row r="2571" spans="1:4">
      <c r="A2571" s="8" t="s">
        <v>405</v>
      </c>
      <c r="B2571" s="5">
        <v>1900018</v>
      </c>
      <c r="C2571" s="5" t="s">
        <v>382</v>
      </c>
      <c r="D2571" s="3">
        <f>VLOOKUP(B2571,Sheet2!$A:$O,12,0)</f>
        <v>0</v>
      </c>
    </row>
    <row r="2572" spans="1:4">
      <c r="A2572" s="8" t="s">
        <v>406</v>
      </c>
      <c r="B2572" s="5">
        <v>1010101</v>
      </c>
      <c r="C2572" s="5" t="s">
        <v>5</v>
      </c>
      <c r="D2572" s="3">
        <f>VLOOKUP(B2572,Sheet2!$A:$O,13,0)</f>
        <v>700</v>
      </c>
    </row>
    <row r="2573" spans="1:4">
      <c r="A2573" s="8" t="s">
        <v>406</v>
      </c>
      <c r="B2573" s="5">
        <v>1010111</v>
      </c>
      <c r="C2573" s="5" t="s">
        <v>9</v>
      </c>
      <c r="D2573" s="3">
        <f>VLOOKUP(B2573,Sheet2!$A:$O,13,0)</f>
        <v>19100</v>
      </c>
    </row>
    <row r="2574" spans="1:4">
      <c r="A2574" s="8" t="s">
        <v>406</v>
      </c>
      <c r="B2574" s="5">
        <v>1010201</v>
      </c>
      <c r="C2574" s="5" t="s">
        <v>11</v>
      </c>
      <c r="D2574" s="3">
        <f>VLOOKUP(B2574,Sheet2!$A:$O,13,0)</f>
        <v>882</v>
      </c>
    </row>
    <row r="2575" spans="1:4">
      <c r="A2575" s="8" t="s">
        <v>406</v>
      </c>
      <c r="B2575" s="5">
        <v>1010300</v>
      </c>
      <c r="C2575" s="5" t="s">
        <v>213</v>
      </c>
      <c r="D2575" s="3">
        <f>VLOOKUP(B2575,Sheet2!$A:$O,13,0)</f>
        <v>9020</v>
      </c>
    </row>
    <row r="2576" spans="1:4">
      <c r="A2576" s="8" t="s">
        <v>406</v>
      </c>
      <c r="B2576" s="5">
        <v>1010301</v>
      </c>
      <c r="C2576" s="5" t="s">
        <v>214</v>
      </c>
      <c r="D2576" s="3">
        <f>VLOOKUP(B2576,Sheet2!$A:$O,13,0)</f>
        <v>6373</v>
      </c>
    </row>
    <row r="2577" spans="1:4">
      <c r="A2577" s="8" t="s">
        <v>406</v>
      </c>
      <c r="B2577" s="5">
        <v>1010302</v>
      </c>
      <c r="C2577" s="5" t="s">
        <v>16</v>
      </c>
      <c r="D2577" s="3">
        <f>VLOOKUP(B2577,Sheet2!$A:$O,13,0)</f>
        <v>4216</v>
      </c>
    </row>
    <row r="2578" spans="1:4">
      <c r="A2578" s="8" t="s">
        <v>406</v>
      </c>
      <c r="B2578" s="5">
        <v>1010303</v>
      </c>
      <c r="C2578" s="5" t="s">
        <v>18</v>
      </c>
      <c r="D2578" s="3">
        <f>VLOOKUP(B2578,Sheet2!$A:$O,13,0)</f>
        <v>882</v>
      </c>
    </row>
    <row r="2579" spans="1:4">
      <c r="A2579" s="8" t="s">
        <v>406</v>
      </c>
      <c r="B2579" s="5">
        <v>1010304</v>
      </c>
      <c r="C2579" s="5" t="s">
        <v>215</v>
      </c>
      <c r="D2579" s="3">
        <f>VLOOKUP(B2579,Sheet2!$A:$O,13,0)</f>
        <v>1422</v>
      </c>
    </row>
    <row r="2580" spans="1:4">
      <c r="A2580" s="8" t="s">
        <v>406</v>
      </c>
      <c r="B2580" s="5">
        <v>1010401</v>
      </c>
      <c r="C2580" s="5" t="s">
        <v>20</v>
      </c>
      <c r="D2580" s="3">
        <f>VLOOKUP(B2580,Sheet2!$A:$O,13,0)</f>
        <v>3627</v>
      </c>
    </row>
    <row r="2581" spans="1:4">
      <c r="A2581" s="8" t="s">
        <v>406</v>
      </c>
      <c r="B2581" s="5">
        <v>1010405</v>
      </c>
      <c r="C2581" s="5" t="s">
        <v>22</v>
      </c>
      <c r="D2581" s="3">
        <f>VLOOKUP(B2581,Sheet2!$A:$O,13,0)</f>
        <v>9975</v>
      </c>
    </row>
    <row r="2582" spans="1:4">
      <c r="A2582" s="8" t="s">
        <v>406</v>
      </c>
      <c r="B2582" s="5">
        <v>1010501</v>
      </c>
      <c r="C2582" s="5" t="s">
        <v>24</v>
      </c>
      <c r="D2582" s="3">
        <f>VLOOKUP(B2582,Sheet2!$A:$O,13,0)</f>
        <v>980</v>
      </c>
    </row>
    <row r="2583" spans="1:4">
      <c r="A2583" s="8" t="s">
        <v>406</v>
      </c>
      <c r="B2583" s="5">
        <v>1010502</v>
      </c>
      <c r="C2583" s="5" t="s">
        <v>216</v>
      </c>
      <c r="D2583" s="3">
        <f>VLOOKUP(B2583,Sheet2!$A:$O,13,0)</f>
        <v>0</v>
      </c>
    </row>
    <row r="2584" spans="1:4">
      <c r="A2584" s="8" t="s">
        <v>406</v>
      </c>
      <c r="B2584" s="5">
        <v>1010601</v>
      </c>
      <c r="C2584" s="5" t="s">
        <v>26</v>
      </c>
      <c r="D2584" s="3">
        <f>VLOOKUP(B2584,Sheet2!$A:$O,13,0)</f>
        <v>4412</v>
      </c>
    </row>
    <row r="2585" spans="1:4">
      <c r="A2585" s="8" t="s">
        <v>406</v>
      </c>
      <c r="B2585" s="5">
        <v>1010701</v>
      </c>
      <c r="C2585" s="5" t="s">
        <v>28</v>
      </c>
      <c r="D2585" s="3">
        <f>VLOOKUP(B2585,Sheet2!$A:$O,13,0)</f>
        <v>686</v>
      </c>
    </row>
    <row r="2586" spans="1:4">
      <c r="A2586" s="8" t="s">
        <v>406</v>
      </c>
      <c r="B2586" s="5">
        <v>1010801</v>
      </c>
      <c r="C2586" s="5" t="s">
        <v>30</v>
      </c>
      <c r="D2586" s="3">
        <f>VLOOKUP(B2586,Sheet2!$A:$O,13,0)</f>
        <v>9118</v>
      </c>
    </row>
    <row r="2587" spans="1:4">
      <c r="A2587" s="8" t="s">
        <v>406</v>
      </c>
      <c r="B2587" s="5">
        <v>1010901</v>
      </c>
      <c r="C2587" s="5" t="s">
        <v>32</v>
      </c>
      <c r="D2587" s="3">
        <f>VLOOKUP(B2587,Sheet2!$A:$O,13,0)</f>
        <v>4804</v>
      </c>
    </row>
    <row r="2588" spans="1:4">
      <c r="A2588" s="8" t="s">
        <v>406</v>
      </c>
      <c r="B2588" s="5">
        <v>1020101</v>
      </c>
      <c r="C2588" s="5" t="s">
        <v>34</v>
      </c>
      <c r="D2588" s="3">
        <f>VLOOKUP(B2588,Sheet2!$A:$O,13,0)</f>
        <v>17451</v>
      </c>
    </row>
    <row r="2589" spans="1:4">
      <c r="A2589" s="8" t="s">
        <v>406</v>
      </c>
      <c r="B2589" s="5">
        <v>1020201</v>
      </c>
      <c r="C2589" s="5" t="s">
        <v>217</v>
      </c>
      <c r="D2589" s="3">
        <f>VLOOKUP(B2589,Sheet2!$A:$O,13,0)</f>
        <v>5600</v>
      </c>
    </row>
    <row r="2590" spans="1:4">
      <c r="A2590" s="8" t="s">
        <v>406</v>
      </c>
      <c r="B2590" s="5">
        <v>1020301</v>
      </c>
      <c r="C2590" s="5" t="s">
        <v>38</v>
      </c>
      <c r="D2590" s="3">
        <f>VLOOKUP(B2590,Sheet2!$A:$O,13,0)</f>
        <v>2000</v>
      </c>
    </row>
    <row r="2591" spans="1:4">
      <c r="A2591" s="8" t="s">
        <v>406</v>
      </c>
      <c r="B2591" s="5">
        <v>1020401</v>
      </c>
      <c r="C2591" s="5" t="s">
        <v>40</v>
      </c>
      <c r="D2591" s="3">
        <f>VLOOKUP(B2591,Sheet2!$A:$O,13,0)</f>
        <v>3500</v>
      </c>
    </row>
    <row r="2592" spans="1:4">
      <c r="A2592" s="8" t="s">
        <v>406</v>
      </c>
      <c r="B2592" s="5">
        <v>1030102</v>
      </c>
      <c r="C2592" s="5" t="s">
        <v>218</v>
      </c>
      <c r="D2592" s="3">
        <f>VLOOKUP(B2592,Sheet2!$A:$O,13,0)</f>
        <v>0</v>
      </c>
    </row>
    <row r="2593" spans="1:4">
      <c r="A2593" s="8" t="s">
        <v>406</v>
      </c>
      <c r="B2593" s="5">
        <v>1030201</v>
      </c>
      <c r="C2593" s="5" t="s">
        <v>42</v>
      </c>
      <c r="D2593" s="3">
        <f>VLOOKUP(B2593,Sheet2!$A:$O,13,0)</f>
        <v>3004</v>
      </c>
    </row>
    <row r="2594" spans="1:4">
      <c r="A2594" s="8" t="s">
        <v>406</v>
      </c>
      <c r="B2594" s="5">
        <v>1030203</v>
      </c>
      <c r="C2594" s="5" t="s">
        <v>219</v>
      </c>
      <c r="D2594" s="3">
        <f>VLOOKUP(B2594,Sheet2!$A:$O,13,0)</f>
        <v>0</v>
      </c>
    </row>
    <row r="2595" spans="1:4">
      <c r="A2595" s="8" t="s">
        <v>406</v>
      </c>
      <c r="B2595" s="5">
        <v>1030204</v>
      </c>
      <c r="C2595" s="5" t="s">
        <v>220</v>
      </c>
      <c r="D2595" s="3">
        <f>VLOOKUP(B2595,Sheet2!$A:$O,13,0)</f>
        <v>0</v>
      </c>
    </row>
    <row r="2596" spans="1:4">
      <c r="A2596" s="8" t="s">
        <v>406</v>
      </c>
      <c r="B2596" s="5">
        <v>1030205</v>
      </c>
      <c r="C2596" s="5" t="s">
        <v>44</v>
      </c>
      <c r="D2596" s="3">
        <f>VLOOKUP(B2596,Sheet2!$A:$O,13,0)</f>
        <v>5000</v>
      </c>
    </row>
    <row r="2597" spans="1:4">
      <c r="A2597" s="8" t="s">
        <v>406</v>
      </c>
      <c r="B2597" s="5">
        <v>1030206</v>
      </c>
      <c r="C2597" s="5" t="s">
        <v>46</v>
      </c>
      <c r="D2597" s="3">
        <f>VLOOKUP(B2597,Sheet2!$A:$O,13,0)</f>
        <v>6200</v>
      </c>
    </row>
    <row r="2598" spans="1:4">
      <c r="A2598" s="8" t="s">
        <v>406</v>
      </c>
      <c r="B2598" s="5">
        <v>1030207</v>
      </c>
      <c r="C2598" s="5" t="s">
        <v>48</v>
      </c>
      <c r="D2598" s="3">
        <f>VLOOKUP(B2598,Sheet2!$A:$O,13,0)</f>
        <v>4600</v>
      </c>
    </row>
    <row r="2599" spans="1:4">
      <c r="A2599" s="8" t="s">
        <v>406</v>
      </c>
      <c r="B2599" s="5">
        <v>1030501</v>
      </c>
      <c r="C2599" s="5" t="s">
        <v>50</v>
      </c>
      <c r="D2599" s="3">
        <f>VLOOKUP(B2599,Sheet2!$A:$O,13,0)</f>
        <v>1127</v>
      </c>
    </row>
    <row r="2600" spans="1:4">
      <c r="A2600" s="8" t="s">
        <v>406</v>
      </c>
      <c r="B2600" s="5">
        <v>1030601</v>
      </c>
      <c r="C2600" s="5" t="s">
        <v>52</v>
      </c>
      <c r="D2600" s="3">
        <f>VLOOKUP(B2600,Sheet2!$A:$O,13,0)</f>
        <v>3000</v>
      </c>
    </row>
    <row r="2601" spans="1:4">
      <c r="A2601" s="8" t="s">
        <v>406</v>
      </c>
      <c r="B2601" s="5">
        <v>1030701</v>
      </c>
      <c r="C2601" s="5" t="s">
        <v>221</v>
      </c>
      <c r="D2601" s="3">
        <f>VLOOKUP(B2601,Sheet2!$A:$O,13,0)</f>
        <v>3000</v>
      </c>
    </row>
    <row r="2602" spans="1:4">
      <c r="A2602" s="8" t="s">
        <v>406</v>
      </c>
      <c r="B2602" s="5">
        <v>1030705</v>
      </c>
      <c r="C2602" s="5" t="s">
        <v>222</v>
      </c>
      <c r="D2602" s="3">
        <f>VLOOKUP(B2602,Sheet2!$A:$O,13,0)</f>
        <v>0</v>
      </c>
    </row>
    <row r="2603" spans="1:4">
      <c r="A2603" s="8" t="s">
        <v>406</v>
      </c>
      <c r="B2603" s="5">
        <v>1030801</v>
      </c>
      <c r="C2603" s="5" t="s">
        <v>54</v>
      </c>
      <c r="D2603" s="3">
        <f>VLOOKUP(B2603,Sheet2!$A:$O,13,0)</f>
        <v>1225</v>
      </c>
    </row>
    <row r="2604" spans="1:4">
      <c r="A2604" s="8" t="s">
        <v>406</v>
      </c>
      <c r="B2604" s="5">
        <v>1030901</v>
      </c>
      <c r="C2604" s="5" t="s">
        <v>223</v>
      </c>
      <c r="D2604" s="3">
        <f>VLOOKUP(B2604,Sheet2!$A:$O,13,0)</f>
        <v>0</v>
      </c>
    </row>
    <row r="2605" spans="1:4">
      <c r="A2605" s="8" t="s">
        <v>406</v>
      </c>
      <c r="B2605" s="5">
        <v>1040201</v>
      </c>
      <c r="C2605" s="5" t="s">
        <v>56</v>
      </c>
      <c r="D2605" s="3">
        <f>VLOOKUP(B2605,Sheet2!$A:$O,13,0)</f>
        <v>1450</v>
      </c>
    </row>
    <row r="2606" spans="1:4">
      <c r="A2606" s="8" t="s">
        <v>406</v>
      </c>
      <c r="B2606" s="5">
        <v>1040202</v>
      </c>
      <c r="C2606" s="5" t="s">
        <v>224</v>
      </c>
      <c r="D2606" s="3">
        <f>VLOOKUP(B2606,Sheet2!$A:$O,13,0)</f>
        <v>0</v>
      </c>
    </row>
    <row r="2607" spans="1:4">
      <c r="A2607" s="8" t="s">
        <v>406</v>
      </c>
      <c r="B2607" s="5">
        <v>1040203</v>
      </c>
      <c r="C2607" s="5" t="s">
        <v>225</v>
      </c>
      <c r="D2607" s="3">
        <f>VLOOKUP(B2607,Sheet2!$A:$O,13,0)</f>
        <v>0</v>
      </c>
    </row>
    <row r="2608" spans="1:4">
      <c r="A2608" s="8" t="s">
        <v>406</v>
      </c>
      <c r="B2608" s="5">
        <v>1040204</v>
      </c>
      <c r="C2608" s="5" t="s">
        <v>226</v>
      </c>
      <c r="D2608" s="3">
        <f>VLOOKUP(B2608,Sheet2!$A:$O,13,0)</f>
        <v>8583</v>
      </c>
    </row>
    <row r="2609" spans="1:4">
      <c r="A2609" s="8" t="s">
        <v>406</v>
      </c>
      <c r="B2609" s="5">
        <v>1040301</v>
      </c>
      <c r="C2609" s="5" t="s">
        <v>58</v>
      </c>
      <c r="D2609" s="3">
        <f>VLOOKUP(B2609,Sheet2!$A:$O,13,0)</f>
        <v>1650</v>
      </c>
    </row>
    <row r="2610" spans="1:4">
      <c r="A2610" s="8" t="s">
        <v>406</v>
      </c>
      <c r="B2610" s="5">
        <v>1040401</v>
      </c>
      <c r="C2610" s="5" t="s">
        <v>227</v>
      </c>
      <c r="D2610" s="3">
        <f>VLOOKUP(B2610,Sheet2!$A:$O,13,0)</f>
        <v>0</v>
      </c>
    </row>
    <row r="2611" spans="1:4">
      <c r="A2611" s="8" t="s">
        <v>406</v>
      </c>
      <c r="B2611" s="5">
        <v>1050102</v>
      </c>
      <c r="C2611" s="5" t="s">
        <v>60</v>
      </c>
      <c r="D2611" s="3">
        <f>VLOOKUP(B2611,Sheet2!$A:$O,13,0)</f>
        <v>29500</v>
      </c>
    </row>
    <row r="2612" spans="1:4">
      <c r="A2612" s="8" t="s">
        <v>406</v>
      </c>
      <c r="B2612" s="5">
        <v>1050103</v>
      </c>
      <c r="C2612" s="5" t="s">
        <v>228</v>
      </c>
      <c r="D2612" s="3">
        <f>VLOOKUP(B2612,Sheet2!$A:$O,13,0)</f>
        <v>11275</v>
      </c>
    </row>
    <row r="2613" spans="1:4">
      <c r="A2613" s="8" t="s">
        <v>406</v>
      </c>
      <c r="B2613" s="5">
        <v>1050301</v>
      </c>
      <c r="C2613" s="5" t="s">
        <v>62</v>
      </c>
      <c r="D2613" s="3">
        <f>VLOOKUP(B2613,Sheet2!$A:$O,13,0)</f>
        <v>9804</v>
      </c>
    </row>
    <row r="2614" spans="1:4">
      <c r="A2614" s="8" t="s">
        <v>406</v>
      </c>
      <c r="B2614" s="5">
        <v>1050401</v>
      </c>
      <c r="C2614" s="5" t="s">
        <v>64</v>
      </c>
      <c r="D2614" s="3">
        <f>VLOOKUP(B2614,Sheet2!$A:$O,13,0)</f>
        <v>8824</v>
      </c>
    </row>
    <row r="2615" spans="1:4">
      <c r="A2615" s="8" t="s">
        <v>406</v>
      </c>
      <c r="B2615" s="5">
        <v>1050501</v>
      </c>
      <c r="C2615" s="5" t="s">
        <v>66</v>
      </c>
      <c r="D2615" s="3">
        <f>VLOOKUP(B2615,Sheet2!$A:$O,13,0)</f>
        <v>10784</v>
      </c>
    </row>
    <row r="2616" spans="1:4">
      <c r="A2616" s="8" t="s">
        <v>406</v>
      </c>
      <c r="B2616" s="5">
        <v>1050511</v>
      </c>
      <c r="C2616" s="5" t="s">
        <v>68</v>
      </c>
      <c r="D2616" s="3">
        <f>VLOOKUP(B2616,Sheet2!$A:$O,13,0)</f>
        <v>18000</v>
      </c>
    </row>
    <row r="2617" spans="1:4">
      <c r="A2617" s="8" t="s">
        <v>406</v>
      </c>
      <c r="B2617" s="5">
        <v>1050512</v>
      </c>
      <c r="C2617" s="5" t="s">
        <v>229</v>
      </c>
      <c r="D2617" s="3">
        <f>VLOOKUP(B2617,Sheet2!$A:$O,13,0)</f>
        <v>0</v>
      </c>
    </row>
    <row r="2618" spans="1:4">
      <c r="A2618" s="8" t="s">
        <v>406</v>
      </c>
      <c r="B2618" s="5">
        <v>1050521</v>
      </c>
      <c r="C2618" s="5" t="s">
        <v>70</v>
      </c>
      <c r="D2618" s="3">
        <f>VLOOKUP(B2618,Sheet2!$A:$O,13,0)</f>
        <v>14706</v>
      </c>
    </row>
    <row r="2619" spans="1:4">
      <c r="A2619" s="8" t="s">
        <v>406</v>
      </c>
      <c r="B2619" s="5">
        <v>1050531</v>
      </c>
      <c r="C2619" s="5" t="s">
        <v>72</v>
      </c>
      <c r="D2619" s="3">
        <f>VLOOKUP(B2619,Sheet2!$A:$O,13,0)</f>
        <v>21000</v>
      </c>
    </row>
    <row r="2620" spans="1:4">
      <c r="A2620" s="8" t="s">
        <v>406</v>
      </c>
      <c r="B2620" s="5">
        <v>1050541</v>
      </c>
      <c r="C2620" s="5" t="s">
        <v>74</v>
      </c>
      <c r="D2620" s="3">
        <f>VLOOKUP(B2620,Sheet2!$A:$O,13,0)</f>
        <v>11000</v>
      </c>
    </row>
    <row r="2621" spans="1:4">
      <c r="A2621" s="8" t="s">
        <v>406</v>
      </c>
      <c r="B2621" s="5">
        <v>1050551</v>
      </c>
      <c r="C2621" s="5" t="s">
        <v>76</v>
      </c>
      <c r="D2621" s="3">
        <f>VLOOKUP(B2621,Sheet2!$A:$O,13,0)</f>
        <v>54000</v>
      </c>
    </row>
    <row r="2622" spans="1:4">
      <c r="A2622" s="8" t="s">
        <v>406</v>
      </c>
      <c r="B2622" s="5">
        <v>1050561</v>
      </c>
      <c r="C2622" s="5" t="s">
        <v>78</v>
      </c>
      <c r="D2622" s="3">
        <f>VLOOKUP(B2622,Sheet2!$A:$O,13,0)</f>
        <v>77321</v>
      </c>
    </row>
    <row r="2623" spans="1:4">
      <c r="A2623" s="8" t="s">
        <v>406</v>
      </c>
      <c r="B2623" s="5">
        <v>1050571</v>
      </c>
      <c r="C2623" s="5" t="s">
        <v>80</v>
      </c>
      <c r="D2623" s="3">
        <f>VLOOKUP(B2623,Sheet2!$A:$O,13,0)</f>
        <v>58000</v>
      </c>
    </row>
    <row r="2624" spans="1:4">
      <c r="A2624" s="8" t="s">
        <v>406</v>
      </c>
      <c r="B2624" s="5">
        <v>1050581</v>
      </c>
      <c r="C2624" s="5" t="s">
        <v>82</v>
      </c>
      <c r="D2624" s="3">
        <f>VLOOKUP(B2624,Sheet2!$A:$O,13,0)</f>
        <v>57000</v>
      </c>
    </row>
    <row r="2625" spans="1:4">
      <c r="A2625" s="8" t="s">
        <v>406</v>
      </c>
      <c r="B2625" s="5">
        <v>1050591</v>
      </c>
      <c r="C2625" s="5" t="s">
        <v>84</v>
      </c>
      <c r="D2625" s="3">
        <f>VLOOKUP(B2625,Sheet2!$A:$O,13,0)</f>
        <v>97750</v>
      </c>
    </row>
    <row r="2626" spans="1:4">
      <c r="A2626" s="8" t="s">
        <v>406</v>
      </c>
      <c r="B2626" s="5">
        <v>1050601</v>
      </c>
      <c r="C2626" s="5" t="s">
        <v>86</v>
      </c>
      <c r="D2626" s="3">
        <f>VLOOKUP(B2626,Sheet2!$A:$O,13,0)</f>
        <v>5900</v>
      </c>
    </row>
    <row r="2627" spans="1:4">
      <c r="A2627" s="8" t="s">
        <v>406</v>
      </c>
      <c r="B2627" s="5">
        <v>1050701</v>
      </c>
      <c r="C2627" s="5" t="s">
        <v>88</v>
      </c>
      <c r="D2627" s="3">
        <f>VLOOKUP(B2627,Sheet2!$A:$O,13,0)</f>
        <v>5530</v>
      </c>
    </row>
    <row r="2628" spans="1:4">
      <c r="A2628" s="8" t="s">
        <v>406</v>
      </c>
      <c r="B2628" s="5">
        <v>1050702</v>
      </c>
      <c r="C2628" s="5" t="s">
        <v>90</v>
      </c>
      <c r="D2628" s="3">
        <f>VLOOKUP(B2628,Sheet2!$A:$O,13,0)</f>
        <v>6000</v>
      </c>
    </row>
    <row r="2629" spans="1:4">
      <c r="A2629" s="8" t="s">
        <v>406</v>
      </c>
      <c r="B2629" s="5">
        <v>1050711</v>
      </c>
      <c r="C2629" s="5" t="s">
        <v>92</v>
      </c>
      <c r="D2629" s="3">
        <f>VLOOKUP(B2629,Sheet2!$A:$O,13,0)</f>
        <v>2900</v>
      </c>
    </row>
    <row r="2630" spans="1:4">
      <c r="A2630" s="8" t="s">
        <v>406</v>
      </c>
      <c r="B2630" s="5">
        <v>1050721</v>
      </c>
      <c r="C2630" s="5" t="s">
        <v>94</v>
      </c>
      <c r="D2630" s="3">
        <f>VLOOKUP(B2630,Sheet2!$A:$O,13,0)</f>
        <v>14800</v>
      </c>
    </row>
    <row r="2631" spans="1:4">
      <c r="A2631" s="8" t="s">
        <v>406</v>
      </c>
      <c r="B2631" s="5">
        <v>1050801</v>
      </c>
      <c r="C2631" s="5" t="s">
        <v>7</v>
      </c>
      <c r="D2631" s="3">
        <f>VLOOKUP(B2631,Sheet2!$A:$O,13,0)</f>
        <v>1000</v>
      </c>
    </row>
    <row r="2632" spans="1:4">
      <c r="A2632" s="8" t="s">
        <v>406</v>
      </c>
      <c r="B2632" s="5">
        <v>1050901</v>
      </c>
      <c r="C2632" s="5" t="s">
        <v>96</v>
      </c>
      <c r="D2632" s="3">
        <f>VLOOKUP(B2632,Sheet2!$A:$O,13,0)</f>
        <v>1225</v>
      </c>
    </row>
    <row r="2633" spans="1:4">
      <c r="A2633" s="8" t="s">
        <v>406</v>
      </c>
      <c r="B2633" s="5">
        <v>1060101</v>
      </c>
      <c r="C2633" s="5" t="s">
        <v>98</v>
      </c>
      <c r="D2633" s="3">
        <f>VLOOKUP(B2633,Sheet2!$A:$O,13,0)</f>
        <v>2200</v>
      </c>
    </row>
    <row r="2634" spans="1:4">
      <c r="A2634" s="8" t="s">
        <v>406</v>
      </c>
      <c r="B2634" s="5">
        <v>1060401</v>
      </c>
      <c r="C2634" s="5" t="s">
        <v>100</v>
      </c>
      <c r="D2634" s="3">
        <f>VLOOKUP(B2634,Sheet2!$A:$O,13,0)</f>
        <v>71000</v>
      </c>
    </row>
    <row r="2635" spans="1:4">
      <c r="A2635" s="8" t="s">
        <v>406</v>
      </c>
      <c r="B2635" s="5">
        <v>1060412</v>
      </c>
      <c r="C2635" s="5" t="s">
        <v>230</v>
      </c>
      <c r="D2635" s="3">
        <f>VLOOKUP(B2635,Sheet2!$A:$O,13,0)</f>
        <v>33000</v>
      </c>
    </row>
    <row r="2636" spans="1:4">
      <c r="A2636" s="8" t="s">
        <v>406</v>
      </c>
      <c r="B2636" s="5">
        <v>1060421</v>
      </c>
      <c r="C2636" s="5" t="s">
        <v>104</v>
      </c>
      <c r="D2636" s="3">
        <f>VLOOKUP(B2636,Sheet2!$A:$O,13,0)</f>
        <v>130000</v>
      </c>
    </row>
    <row r="2637" spans="1:4">
      <c r="A2637" s="8" t="s">
        <v>406</v>
      </c>
      <c r="B2637" s="5">
        <v>1060441</v>
      </c>
      <c r="C2637" s="5" t="s">
        <v>106</v>
      </c>
      <c r="D2637" s="3">
        <f>VLOOKUP(B2637,Sheet2!$A:$O,13,0)</f>
        <v>6471</v>
      </c>
    </row>
    <row r="2638" spans="1:4">
      <c r="A2638" s="8" t="s">
        <v>406</v>
      </c>
      <c r="B2638" s="5">
        <v>1060451</v>
      </c>
      <c r="C2638" s="5" t="s">
        <v>108</v>
      </c>
      <c r="D2638" s="3">
        <f>VLOOKUP(B2638,Sheet2!$A:$O,13,0)</f>
        <v>38235</v>
      </c>
    </row>
    <row r="2639" spans="1:4">
      <c r="A2639" s="8" t="s">
        <v>406</v>
      </c>
      <c r="B2639" s="5">
        <v>1070101</v>
      </c>
      <c r="C2639" s="5" t="s">
        <v>110</v>
      </c>
      <c r="D2639" s="3">
        <f>VLOOKUP(B2639,Sheet2!$A:$O,13,0)</f>
        <v>3640</v>
      </c>
    </row>
    <row r="2640" spans="1:4">
      <c r="A2640" s="8" t="s">
        <v>406</v>
      </c>
      <c r="B2640" s="5">
        <v>1070301</v>
      </c>
      <c r="C2640" s="5" t="s">
        <v>112</v>
      </c>
      <c r="D2640" s="3">
        <f>VLOOKUP(B2640,Sheet2!$A:$O,13,0)</f>
        <v>35000</v>
      </c>
    </row>
    <row r="2641" spans="1:4">
      <c r="A2641" s="8" t="s">
        <v>406</v>
      </c>
      <c r="B2641" s="5">
        <v>1070401</v>
      </c>
      <c r="C2641" s="5" t="s">
        <v>114</v>
      </c>
      <c r="D2641" s="3">
        <f>VLOOKUP(B2641,Sheet2!$A:$O,13,0)</f>
        <v>12000</v>
      </c>
    </row>
    <row r="2642" spans="1:4">
      <c r="A2642" s="8" t="s">
        <v>406</v>
      </c>
      <c r="B2642" s="5">
        <v>1070501</v>
      </c>
      <c r="C2642" s="5" t="s">
        <v>231</v>
      </c>
      <c r="D2642" s="3">
        <f>VLOOKUP(B2642,Sheet2!$A:$O,13,0)</f>
        <v>5500</v>
      </c>
    </row>
    <row r="2643" spans="1:4">
      <c r="A2643" s="8" t="s">
        <v>406</v>
      </c>
      <c r="B2643" s="5">
        <v>1070701</v>
      </c>
      <c r="C2643" s="5" t="s">
        <v>118</v>
      </c>
      <c r="D2643" s="3">
        <f>VLOOKUP(B2643,Sheet2!$A:$O,13,0)</f>
        <v>36000</v>
      </c>
    </row>
    <row r="2644" spans="1:4">
      <c r="A2644" s="8" t="s">
        <v>406</v>
      </c>
      <c r="B2644" s="5">
        <v>1070801</v>
      </c>
      <c r="C2644" s="5" t="s">
        <v>232</v>
      </c>
      <c r="D2644" s="3">
        <f>VLOOKUP(B2644,Sheet2!$A:$O,13,0)</f>
        <v>35000</v>
      </c>
    </row>
    <row r="2645" spans="1:4">
      <c r="A2645" s="8" t="s">
        <v>406</v>
      </c>
      <c r="B2645" s="5">
        <v>1080101</v>
      </c>
      <c r="C2645" s="5" t="s">
        <v>120</v>
      </c>
      <c r="D2645" s="3">
        <f>VLOOKUP(B2645,Sheet2!$A:$O,13,0)</f>
        <v>11000</v>
      </c>
    </row>
    <row r="2646" spans="1:4">
      <c r="A2646" s="8" t="s">
        <v>406</v>
      </c>
      <c r="B2646" s="5">
        <v>1080201</v>
      </c>
      <c r="C2646" s="5" t="s">
        <v>122</v>
      </c>
      <c r="D2646" s="3">
        <f>VLOOKUP(B2646,Sheet2!$A:$O,13,0)</f>
        <v>540</v>
      </c>
    </row>
    <row r="2647" spans="1:4">
      <c r="A2647" s="8" t="s">
        <v>406</v>
      </c>
      <c r="B2647" s="5">
        <v>1080301</v>
      </c>
      <c r="C2647" s="5" t="s">
        <v>124</v>
      </c>
      <c r="D2647" s="3">
        <f>VLOOKUP(B2647,Sheet2!$A:$O,13,0)</f>
        <v>1550</v>
      </c>
    </row>
    <row r="2648" spans="1:4">
      <c r="A2648" s="8" t="s">
        <v>406</v>
      </c>
      <c r="B2648" s="5">
        <v>1080401</v>
      </c>
      <c r="C2648" s="5" t="s">
        <v>233</v>
      </c>
      <c r="D2648" s="3">
        <f>VLOOKUP(B2648,Sheet2!$A:$O,13,0)</f>
        <v>3300</v>
      </c>
    </row>
    <row r="2649" spans="1:4">
      <c r="A2649" s="8" t="s">
        <v>406</v>
      </c>
      <c r="B2649" s="5">
        <v>1080411</v>
      </c>
      <c r="C2649" s="5" t="s">
        <v>128</v>
      </c>
      <c r="D2649" s="3">
        <f>VLOOKUP(B2649,Sheet2!$A:$O,13,0)</f>
        <v>3300</v>
      </c>
    </row>
    <row r="2650" spans="1:4">
      <c r="A2650" s="8" t="s">
        <v>406</v>
      </c>
      <c r="B2650" s="5">
        <v>1080501</v>
      </c>
      <c r="C2650" s="5" t="s">
        <v>130</v>
      </c>
      <c r="D2650" s="3">
        <f>VLOOKUP(B2650,Sheet2!$A:$O,13,0)</f>
        <v>3800</v>
      </c>
    </row>
    <row r="2651" spans="1:4">
      <c r="A2651" s="8" t="s">
        <v>406</v>
      </c>
      <c r="B2651" s="5">
        <v>1080602</v>
      </c>
      <c r="C2651" s="5" t="s">
        <v>234</v>
      </c>
      <c r="D2651" s="3">
        <f>VLOOKUP(B2651,Sheet2!$A:$O,13,0)</f>
        <v>38600</v>
      </c>
    </row>
    <row r="2652" spans="1:4">
      <c r="A2652" s="8" t="s">
        <v>406</v>
      </c>
      <c r="B2652" s="5">
        <v>1080604</v>
      </c>
      <c r="C2652" s="5" t="s">
        <v>235</v>
      </c>
      <c r="D2652" s="3">
        <f>VLOOKUP(B2652,Sheet2!$A:$O,13,0)</f>
        <v>0</v>
      </c>
    </row>
    <row r="2653" spans="1:4">
      <c r="A2653" s="8" t="s">
        <v>406</v>
      </c>
      <c r="B2653" s="5">
        <v>1080702</v>
      </c>
      <c r="C2653" s="5" t="s">
        <v>236</v>
      </c>
      <c r="D2653" s="3">
        <f>VLOOKUP(B2653,Sheet2!$A:$O,13,0)</f>
        <v>43500</v>
      </c>
    </row>
    <row r="2654" spans="1:4">
      <c r="A2654" s="8" t="s">
        <v>406</v>
      </c>
      <c r="B2654" s="5">
        <v>1080704</v>
      </c>
      <c r="C2654" s="5" t="s">
        <v>237</v>
      </c>
      <c r="D2654" s="3">
        <f>VLOOKUP(B2654,Sheet2!$A:$O,13,0)</f>
        <v>0</v>
      </c>
    </row>
    <row r="2655" spans="1:4">
      <c r="A2655" s="8" t="s">
        <v>406</v>
      </c>
      <c r="B2655" s="5">
        <v>1090104</v>
      </c>
      <c r="C2655" s="5" t="s">
        <v>136</v>
      </c>
      <c r="D2655" s="3">
        <f>VLOOKUP(B2655,Sheet2!$A:$O,13,0)</f>
        <v>40000</v>
      </c>
    </row>
    <row r="2656" spans="1:4">
      <c r="A2656" s="8" t="s">
        <v>406</v>
      </c>
      <c r="B2656" s="5">
        <v>1090112</v>
      </c>
      <c r="C2656" s="5" t="s">
        <v>138</v>
      </c>
      <c r="D2656" s="3">
        <f>VLOOKUP(B2656,Sheet2!$A:$O,13,0)</f>
        <v>35000</v>
      </c>
    </row>
    <row r="2657" spans="1:4">
      <c r="A2657" s="8" t="s">
        <v>406</v>
      </c>
      <c r="B2657" s="5">
        <v>1090201</v>
      </c>
      <c r="C2657" s="5" t="s">
        <v>140</v>
      </c>
      <c r="D2657" s="3">
        <f>VLOOKUP(B2657,Sheet2!$A:$O,13,0)</f>
        <v>15800</v>
      </c>
    </row>
    <row r="2658" spans="1:4">
      <c r="A2658" s="8" t="s">
        <v>406</v>
      </c>
      <c r="B2658" s="5">
        <v>1090202</v>
      </c>
      <c r="C2658" s="5" t="s">
        <v>142</v>
      </c>
      <c r="D2658" s="3">
        <f>VLOOKUP(B2658,Sheet2!$A:$O,13,0)</f>
        <v>98000</v>
      </c>
    </row>
    <row r="2659" spans="1:4">
      <c r="A2659" s="8" t="s">
        <v>406</v>
      </c>
      <c r="B2659" s="5">
        <v>1090203</v>
      </c>
      <c r="C2659" s="5" t="s">
        <v>144</v>
      </c>
      <c r="D2659" s="3">
        <f>VLOOKUP(B2659,Sheet2!$A:$O,13,0)</f>
        <v>23000</v>
      </c>
    </row>
    <row r="2660" spans="1:4">
      <c r="A2660" s="8" t="s">
        <v>406</v>
      </c>
      <c r="B2660" s="5">
        <v>1090211</v>
      </c>
      <c r="C2660" s="5" t="s">
        <v>146</v>
      </c>
      <c r="D2660" s="3">
        <f>VLOOKUP(B2660,Sheet2!$A:$O,13,0)</f>
        <v>64706</v>
      </c>
    </row>
    <row r="2661" spans="1:4">
      <c r="A2661" s="8" t="s">
        <v>406</v>
      </c>
      <c r="B2661" s="5">
        <v>1090301</v>
      </c>
      <c r="C2661" s="5" t="s">
        <v>238</v>
      </c>
      <c r="D2661" s="3">
        <f>VLOOKUP(B2661,Sheet2!$A:$O,13,0)</f>
        <v>32000</v>
      </c>
    </row>
    <row r="2662" spans="1:4">
      <c r="A2662" s="8" t="s">
        <v>406</v>
      </c>
      <c r="B2662" s="5">
        <v>1090311</v>
      </c>
      <c r="C2662" s="5" t="s">
        <v>150</v>
      </c>
      <c r="D2662" s="3">
        <f>VLOOKUP(B2662,Sheet2!$A:$O,13,0)</f>
        <v>37000</v>
      </c>
    </row>
    <row r="2663" spans="1:4">
      <c r="A2663" s="8" t="s">
        <v>406</v>
      </c>
      <c r="B2663" s="5">
        <v>1090321</v>
      </c>
      <c r="C2663" s="5" t="s">
        <v>152</v>
      </c>
      <c r="D2663" s="3">
        <f>VLOOKUP(B2663,Sheet2!$A:$O,13,0)</f>
        <v>66000</v>
      </c>
    </row>
    <row r="2664" spans="1:4">
      <c r="A2664" s="8" t="s">
        <v>406</v>
      </c>
      <c r="B2664" s="5">
        <v>1090401</v>
      </c>
      <c r="C2664" s="5" t="s">
        <v>154</v>
      </c>
      <c r="D2664" s="3">
        <f>VLOOKUP(B2664,Sheet2!$A:$O,13,0)</f>
        <v>8300</v>
      </c>
    </row>
    <row r="2665" spans="1:4">
      <c r="A2665" s="8" t="s">
        <v>406</v>
      </c>
      <c r="B2665" s="5">
        <v>1090411</v>
      </c>
      <c r="C2665" s="5" t="s">
        <v>156</v>
      </c>
      <c r="D2665" s="3">
        <f>VLOOKUP(B2665,Sheet2!$A:$O,13,0)</f>
        <v>45000</v>
      </c>
    </row>
    <row r="2666" spans="1:4">
      <c r="A2666" s="8" t="s">
        <v>406</v>
      </c>
      <c r="B2666" s="5">
        <v>1090421</v>
      </c>
      <c r="C2666" s="5" t="s">
        <v>158</v>
      </c>
      <c r="D2666" s="3">
        <f>VLOOKUP(B2666,Sheet2!$A:$O,13,0)</f>
        <v>36000</v>
      </c>
    </row>
    <row r="2667" spans="1:4">
      <c r="A2667" s="8" t="s">
        <v>406</v>
      </c>
      <c r="B2667" s="5">
        <v>1090551</v>
      </c>
      <c r="C2667" s="5" t="s">
        <v>239</v>
      </c>
      <c r="D2667" s="3">
        <f>VLOOKUP(B2667,Sheet2!$A:$O,13,0)</f>
        <v>4900</v>
      </c>
    </row>
    <row r="2668" spans="1:4">
      <c r="A2668" s="8" t="s">
        <v>406</v>
      </c>
      <c r="B2668" s="5">
        <v>1090602</v>
      </c>
      <c r="C2668" s="5" t="s">
        <v>162</v>
      </c>
      <c r="D2668" s="3">
        <f>VLOOKUP(B2668,Sheet2!$A:$O,13,0)</f>
        <v>5130</v>
      </c>
    </row>
    <row r="2669" spans="1:4">
      <c r="A2669" s="8" t="s">
        <v>406</v>
      </c>
      <c r="B2669" s="5">
        <v>1090611</v>
      </c>
      <c r="C2669" s="5" t="s">
        <v>164</v>
      </c>
      <c r="D2669" s="3">
        <f>VLOOKUP(B2669,Sheet2!$A:$O,13,0)</f>
        <v>4300</v>
      </c>
    </row>
    <row r="2670" spans="1:4">
      <c r="A2670" s="8" t="s">
        <v>406</v>
      </c>
      <c r="B2670" s="5">
        <v>1090701</v>
      </c>
      <c r="C2670" s="5" t="s">
        <v>166</v>
      </c>
      <c r="D2670" s="3">
        <f>VLOOKUP(B2670,Sheet2!$A:$O,13,0)</f>
        <v>21000</v>
      </c>
    </row>
    <row r="2671" spans="1:4">
      <c r="A2671" s="8" t="s">
        <v>406</v>
      </c>
      <c r="B2671" s="5">
        <v>1090901</v>
      </c>
      <c r="C2671" s="5" t="s">
        <v>168</v>
      </c>
      <c r="D2671" s="3">
        <f>VLOOKUP(B2671,Sheet2!$A:$O,13,0)</f>
        <v>4300</v>
      </c>
    </row>
    <row r="2672" spans="1:4">
      <c r="A2672" s="8" t="s">
        <v>406</v>
      </c>
      <c r="B2672" s="5">
        <v>1091001</v>
      </c>
      <c r="C2672" s="5" t="s">
        <v>170</v>
      </c>
      <c r="D2672" s="3">
        <f>VLOOKUP(B2672,Sheet2!$A:$O,13,0)</f>
        <v>7000</v>
      </c>
    </row>
    <row r="2673" spans="1:4">
      <c r="A2673" s="8" t="s">
        <v>406</v>
      </c>
      <c r="B2673" s="5">
        <v>1091002</v>
      </c>
      <c r="C2673" s="5" t="s">
        <v>172</v>
      </c>
      <c r="D2673" s="3">
        <f>VLOOKUP(B2673,Sheet2!$A:$O,13,0)</f>
        <v>6304</v>
      </c>
    </row>
    <row r="2674" spans="1:4">
      <c r="A2674" s="8" t="s">
        <v>406</v>
      </c>
      <c r="B2674" s="5">
        <v>1091003</v>
      </c>
      <c r="C2674" s="5" t="s">
        <v>174</v>
      </c>
      <c r="D2674" s="3">
        <f>VLOOKUP(B2674,Sheet2!$A:$O,13,0)</f>
        <v>10069</v>
      </c>
    </row>
    <row r="2675" spans="1:4">
      <c r="A2675" s="8" t="s">
        <v>406</v>
      </c>
      <c r="B2675" s="5">
        <v>1091004</v>
      </c>
      <c r="C2675" s="5" t="s">
        <v>240</v>
      </c>
      <c r="D2675" s="3">
        <f>VLOOKUP(B2675,Sheet2!$A:$O,13,0)</f>
        <v>0</v>
      </c>
    </row>
    <row r="2676" spans="1:4">
      <c r="A2676" s="8" t="s">
        <v>406</v>
      </c>
      <c r="B2676" s="5">
        <v>1091005</v>
      </c>
      <c r="C2676" s="5" t="s">
        <v>241</v>
      </c>
      <c r="D2676" s="3">
        <f>VLOOKUP(B2676,Sheet2!$A:$O,13,0)</f>
        <v>0</v>
      </c>
    </row>
    <row r="2677" spans="1:4">
      <c r="A2677" s="8" t="s">
        <v>406</v>
      </c>
      <c r="B2677" s="5">
        <v>1091006</v>
      </c>
      <c r="C2677" s="5" t="s">
        <v>242</v>
      </c>
      <c r="D2677" s="3">
        <f>VLOOKUP(B2677,Sheet2!$A:$O,13,0)</f>
        <v>0</v>
      </c>
    </row>
    <row r="2678" spans="1:4">
      <c r="A2678" s="8" t="s">
        <v>406</v>
      </c>
      <c r="B2678" s="5">
        <v>1091007</v>
      </c>
      <c r="C2678" s="5" t="s">
        <v>243</v>
      </c>
      <c r="D2678" s="3">
        <f>VLOOKUP(B2678,Sheet2!$A:$O,13,0)</f>
        <v>2640</v>
      </c>
    </row>
    <row r="2679" spans="1:4">
      <c r="A2679" s="8" t="s">
        <v>406</v>
      </c>
      <c r="B2679" s="5">
        <v>1091008</v>
      </c>
      <c r="C2679" s="5" t="s">
        <v>176</v>
      </c>
      <c r="D2679" s="3">
        <f>VLOOKUP(B2679,Sheet2!$A:$O,13,0)</f>
        <v>450000</v>
      </c>
    </row>
    <row r="2680" spans="1:4">
      <c r="A2680" s="8" t="s">
        <v>406</v>
      </c>
      <c r="B2680" s="5">
        <v>1091009</v>
      </c>
      <c r="C2680" s="5" t="s">
        <v>178</v>
      </c>
      <c r="D2680" s="3">
        <f>VLOOKUP(B2680,Sheet2!$A:$O,13,0)</f>
        <v>190000</v>
      </c>
    </row>
    <row r="2681" spans="1:4">
      <c r="A2681" s="8" t="s">
        <v>406</v>
      </c>
      <c r="B2681" s="5">
        <v>1091010</v>
      </c>
      <c r="C2681" s="5" t="s">
        <v>180</v>
      </c>
      <c r="D2681" s="3">
        <f>VLOOKUP(B2681,Sheet2!$A:$O,13,0)</f>
        <v>27000</v>
      </c>
    </row>
    <row r="2682" spans="1:4">
      <c r="A2682" s="8" t="s">
        <v>406</v>
      </c>
      <c r="B2682" s="5">
        <v>1091011</v>
      </c>
      <c r="C2682" s="5" t="s">
        <v>182</v>
      </c>
      <c r="D2682" s="3">
        <f>VLOOKUP(B2682,Sheet2!$A:$O,13,0)</f>
        <v>33000</v>
      </c>
    </row>
    <row r="2683" spans="1:4">
      <c r="A2683" s="8" t="s">
        <v>406</v>
      </c>
      <c r="B2683" s="5">
        <v>1091012</v>
      </c>
      <c r="C2683" s="5" t="s">
        <v>184</v>
      </c>
      <c r="D2683" s="3">
        <f>VLOOKUP(B2683,Sheet2!$A:$O,13,0)</f>
        <v>47000</v>
      </c>
    </row>
    <row r="2684" spans="1:4">
      <c r="A2684" s="8" t="s">
        <v>406</v>
      </c>
      <c r="B2684" s="5">
        <v>1091013</v>
      </c>
      <c r="C2684" s="5" t="s">
        <v>186</v>
      </c>
      <c r="D2684" s="3">
        <f>VLOOKUP(B2684,Sheet2!$A:$O,13,0)</f>
        <v>33000</v>
      </c>
    </row>
    <row r="2685" spans="1:4">
      <c r="A2685" s="8" t="s">
        <v>406</v>
      </c>
      <c r="B2685" s="5">
        <v>1091014</v>
      </c>
      <c r="C2685" s="5" t="s">
        <v>244</v>
      </c>
      <c r="D2685" s="3">
        <f>VLOOKUP(B2685,Sheet2!$A:$O,13,0)</f>
        <v>6961</v>
      </c>
    </row>
    <row r="2686" spans="1:4">
      <c r="A2686" s="8" t="s">
        <v>406</v>
      </c>
      <c r="B2686" s="5">
        <v>1091015</v>
      </c>
      <c r="C2686" s="5" t="s">
        <v>245</v>
      </c>
      <c r="D2686" s="3">
        <f>VLOOKUP(B2686,Sheet2!$A:$O,13,0)</f>
        <v>28000</v>
      </c>
    </row>
    <row r="2687" spans="1:4">
      <c r="A2687" s="8" t="s">
        <v>406</v>
      </c>
      <c r="B2687" s="5">
        <v>1091016</v>
      </c>
      <c r="C2687" s="5" t="s">
        <v>246</v>
      </c>
      <c r="D2687" s="3">
        <f>VLOOKUP(B2687,Sheet2!$A:$O,13,0)</f>
        <v>50187</v>
      </c>
    </row>
    <row r="2688" spans="1:4">
      <c r="A2688" s="8" t="s">
        <v>406</v>
      </c>
      <c r="B2688" s="5">
        <v>1091017</v>
      </c>
      <c r="C2688" s="5" t="s">
        <v>247</v>
      </c>
      <c r="D2688" s="3">
        <f>VLOOKUP(B2688,Sheet2!$A:$O,13,0)</f>
        <v>74833</v>
      </c>
    </row>
    <row r="2689" spans="1:4">
      <c r="A2689" s="8" t="s">
        <v>406</v>
      </c>
      <c r="B2689" s="5">
        <v>1091018</v>
      </c>
      <c r="C2689" s="5" t="s">
        <v>248</v>
      </c>
      <c r="D2689" s="3">
        <f>VLOOKUP(B2689,Sheet2!$A:$O,13,0)</f>
        <v>33031</v>
      </c>
    </row>
    <row r="2690" spans="1:4">
      <c r="A2690" s="8" t="s">
        <v>406</v>
      </c>
      <c r="B2690" s="5">
        <v>1091019</v>
      </c>
      <c r="C2690" s="5" t="s">
        <v>249</v>
      </c>
      <c r="D2690" s="3">
        <f>VLOOKUP(B2690,Sheet2!$A:$O,13,0)</f>
        <v>53387</v>
      </c>
    </row>
    <row r="2691" spans="1:4">
      <c r="A2691" s="8" t="s">
        <v>406</v>
      </c>
      <c r="B2691" s="5">
        <v>1091020</v>
      </c>
      <c r="C2691" s="5" t="s">
        <v>250</v>
      </c>
      <c r="D2691" s="3">
        <f>VLOOKUP(B2691,Sheet2!$A:$O,13,0)</f>
        <v>100500</v>
      </c>
    </row>
    <row r="2692" spans="1:4">
      <c r="A2692" s="8" t="s">
        <v>406</v>
      </c>
      <c r="B2692" s="5">
        <v>1091021</v>
      </c>
      <c r="C2692" s="5" t="s">
        <v>251</v>
      </c>
      <c r="D2692" s="3">
        <f>VLOOKUP(B2692,Sheet2!$A:$O,13,0)</f>
        <v>50600</v>
      </c>
    </row>
    <row r="2693" spans="1:4">
      <c r="A2693" s="8" t="s">
        <v>406</v>
      </c>
      <c r="B2693" s="5">
        <v>1091022</v>
      </c>
      <c r="C2693" s="5" t="s">
        <v>252</v>
      </c>
      <c r="D2693" s="3">
        <f>VLOOKUP(B2693,Sheet2!$A:$O,13,0)</f>
        <v>3235</v>
      </c>
    </row>
    <row r="2694" spans="1:4">
      <c r="A2694" s="8" t="s">
        <v>406</v>
      </c>
      <c r="B2694" s="5">
        <v>1091023</v>
      </c>
      <c r="C2694" s="5" t="s">
        <v>253</v>
      </c>
      <c r="D2694" s="3">
        <f>VLOOKUP(B2694,Sheet2!$A:$O,13,0)</f>
        <v>4412</v>
      </c>
    </row>
    <row r="2695" spans="1:4">
      <c r="A2695" s="8" t="s">
        <v>406</v>
      </c>
      <c r="B2695" s="5">
        <v>1091024</v>
      </c>
      <c r="C2695" s="5" t="s">
        <v>254</v>
      </c>
      <c r="D2695" s="3">
        <f>VLOOKUP(B2695,Sheet2!$A:$O,13,0)</f>
        <v>3922</v>
      </c>
    </row>
    <row r="2696" spans="1:4">
      <c r="A2696" s="8" t="s">
        <v>406</v>
      </c>
      <c r="B2696" s="5">
        <v>1091025</v>
      </c>
      <c r="C2696" s="5" t="s">
        <v>255</v>
      </c>
      <c r="D2696" s="3">
        <f>VLOOKUP(B2696,Sheet2!$A:$O,13,0)</f>
        <v>6275</v>
      </c>
    </row>
    <row r="2697" spans="1:4">
      <c r="A2697" s="8" t="s">
        <v>406</v>
      </c>
      <c r="B2697" s="5">
        <v>1091026</v>
      </c>
      <c r="C2697" s="5" t="s">
        <v>256</v>
      </c>
      <c r="D2697" s="3">
        <f>VLOOKUP(B2697,Sheet2!$A:$O,13,0)</f>
        <v>30686</v>
      </c>
    </row>
    <row r="2698" spans="1:4">
      <c r="A2698" s="8" t="s">
        <v>406</v>
      </c>
      <c r="B2698" s="5">
        <v>1600101</v>
      </c>
      <c r="C2698" s="5" t="s">
        <v>188</v>
      </c>
      <c r="D2698" s="3">
        <f>VLOOKUP(B2698,Sheet2!$A:$O,13,0)</f>
        <v>2872</v>
      </c>
    </row>
    <row r="2699" spans="1:4">
      <c r="A2699" s="8" t="s">
        <v>406</v>
      </c>
      <c r="B2699" s="5">
        <v>1600102</v>
      </c>
      <c r="C2699" s="5" t="s">
        <v>257</v>
      </c>
      <c r="D2699" s="3">
        <f>VLOOKUP(B2699,Sheet2!$A:$O,13,0)</f>
        <v>36275</v>
      </c>
    </row>
    <row r="2700" spans="1:4">
      <c r="A2700" s="8" t="s">
        <v>406</v>
      </c>
      <c r="B2700" s="5">
        <v>1600103</v>
      </c>
      <c r="C2700" s="5" t="s">
        <v>258</v>
      </c>
      <c r="D2700" s="3">
        <f>VLOOKUP(B2700,Sheet2!$A:$O,13,0)</f>
        <v>19800</v>
      </c>
    </row>
    <row r="2701" spans="1:4">
      <c r="A2701" s="8" t="s">
        <v>406</v>
      </c>
      <c r="B2701" s="5">
        <v>1600104</v>
      </c>
      <c r="C2701" s="5" t="s">
        <v>259</v>
      </c>
      <c r="D2701" s="3">
        <f>VLOOKUP(B2701,Sheet2!$A:$O,13,0)</f>
        <v>73810</v>
      </c>
    </row>
    <row r="2702" spans="1:4">
      <c r="A2702" s="8" t="s">
        <v>406</v>
      </c>
      <c r="B2702" s="5">
        <v>1600105</v>
      </c>
      <c r="C2702" s="5" t="s">
        <v>260</v>
      </c>
      <c r="D2702" s="3">
        <f>VLOOKUP(B2702,Sheet2!$A:$O,13,0)</f>
        <v>83950</v>
      </c>
    </row>
    <row r="2703" spans="1:4">
      <c r="A2703" s="8" t="s">
        <v>406</v>
      </c>
      <c r="B2703" s="5">
        <v>1600106</v>
      </c>
      <c r="C2703" s="5" t="s">
        <v>261</v>
      </c>
      <c r="D2703" s="3">
        <f>VLOOKUP(B2703,Sheet2!$A:$O,13,0)</f>
        <v>108071</v>
      </c>
    </row>
    <row r="2704" spans="1:4">
      <c r="A2704" s="8" t="s">
        <v>406</v>
      </c>
      <c r="B2704" s="5">
        <v>1600107</v>
      </c>
      <c r="C2704" s="5" t="s">
        <v>262</v>
      </c>
      <c r="D2704" s="3">
        <f>VLOOKUP(B2704,Sheet2!$A:$O,13,0)</f>
        <v>86601</v>
      </c>
    </row>
    <row r="2705" spans="1:4">
      <c r="A2705" s="8" t="s">
        <v>406</v>
      </c>
      <c r="B2705" s="5">
        <v>1600108</v>
      </c>
      <c r="C2705" s="5" t="s">
        <v>263</v>
      </c>
      <c r="D2705" s="3">
        <f>VLOOKUP(B2705,Sheet2!$A:$O,13,0)</f>
        <v>73810</v>
      </c>
    </row>
    <row r="2706" spans="1:4">
      <c r="A2706" s="8" t="s">
        <v>406</v>
      </c>
      <c r="B2706" s="5">
        <v>1600109</v>
      </c>
      <c r="C2706" s="5" t="s">
        <v>264</v>
      </c>
      <c r="D2706" s="3">
        <f>VLOOKUP(B2706,Sheet2!$A:$O,13,0)</f>
        <v>5882</v>
      </c>
    </row>
    <row r="2707" spans="1:4">
      <c r="A2707" s="8" t="s">
        <v>406</v>
      </c>
      <c r="B2707" s="5">
        <v>1600110</v>
      </c>
      <c r="C2707" s="5" t="s">
        <v>265</v>
      </c>
      <c r="D2707" s="3">
        <f>VLOOKUP(B2707,Sheet2!$A:$O,13,0)</f>
        <v>7917</v>
      </c>
    </row>
    <row r="2708" spans="1:4">
      <c r="A2708" s="8" t="s">
        <v>406</v>
      </c>
      <c r="B2708" s="5">
        <v>1600111</v>
      </c>
      <c r="C2708" s="5" t="s">
        <v>266</v>
      </c>
      <c r="D2708" s="3">
        <f>VLOOKUP(B2708,Sheet2!$A:$O,13,0)</f>
        <v>2266</v>
      </c>
    </row>
    <row r="2709" spans="1:4">
      <c r="A2709" s="8" t="s">
        <v>406</v>
      </c>
      <c r="B2709" s="5">
        <v>1600112</v>
      </c>
      <c r="C2709" s="5" t="s">
        <v>190</v>
      </c>
      <c r="D2709" s="3">
        <f>VLOOKUP(B2709,Sheet2!$A:$O,13,0)</f>
        <v>4800</v>
      </c>
    </row>
    <row r="2710" spans="1:4">
      <c r="A2710" s="8" t="s">
        <v>406</v>
      </c>
      <c r="B2710" s="5">
        <v>1600113</v>
      </c>
      <c r="C2710" s="5" t="s">
        <v>267</v>
      </c>
      <c r="D2710" s="3">
        <f>VLOOKUP(B2710,Sheet2!$A:$O,13,0)</f>
        <v>0</v>
      </c>
    </row>
    <row r="2711" spans="1:4">
      <c r="A2711" s="8" t="s">
        <v>406</v>
      </c>
      <c r="B2711" s="5">
        <v>1600114</v>
      </c>
      <c r="C2711" s="5" t="s">
        <v>268</v>
      </c>
      <c r="D2711" s="3">
        <f>VLOOKUP(B2711,Sheet2!$A:$O,13,0)</f>
        <v>13333</v>
      </c>
    </row>
    <row r="2712" spans="1:4">
      <c r="A2712" s="8" t="s">
        <v>406</v>
      </c>
      <c r="B2712" s="5">
        <v>1700001</v>
      </c>
      <c r="C2712" s="5" t="s">
        <v>269</v>
      </c>
      <c r="D2712" s="3">
        <f>VLOOKUP(B2712,Sheet2!$A:$O,13,0)</f>
        <v>4570</v>
      </c>
    </row>
    <row r="2713" spans="1:4">
      <c r="A2713" s="8" t="s">
        <v>406</v>
      </c>
      <c r="B2713" s="5">
        <v>1700002</v>
      </c>
      <c r="C2713" s="5" t="s">
        <v>270</v>
      </c>
      <c r="D2713" s="3">
        <f>VLOOKUP(B2713,Sheet2!$A:$O,13,0)</f>
        <v>3726</v>
      </c>
    </row>
    <row r="2714" spans="1:4">
      <c r="A2714" s="8" t="s">
        <v>406</v>
      </c>
      <c r="B2714" s="5">
        <v>1700003</v>
      </c>
      <c r="C2714" s="5" t="s">
        <v>271</v>
      </c>
      <c r="D2714" s="3">
        <f>VLOOKUP(B2714,Sheet2!$A:$O,13,0)</f>
        <v>4902</v>
      </c>
    </row>
    <row r="2715" spans="1:4">
      <c r="A2715" s="8" t="s">
        <v>406</v>
      </c>
      <c r="B2715" s="5">
        <v>1700004</v>
      </c>
      <c r="C2715" s="5" t="s">
        <v>272</v>
      </c>
      <c r="D2715" s="3">
        <f>VLOOKUP(B2715,Sheet2!$A:$O,13,0)</f>
        <v>15784</v>
      </c>
    </row>
    <row r="2716" spans="1:4">
      <c r="A2716" s="8" t="s">
        <v>406</v>
      </c>
      <c r="B2716" s="5">
        <v>1700005</v>
      </c>
      <c r="C2716" s="5" t="s">
        <v>192</v>
      </c>
      <c r="D2716" s="3">
        <f>VLOOKUP(B2716,Sheet2!$A:$O,13,0)</f>
        <v>1765</v>
      </c>
    </row>
    <row r="2717" spans="1:4">
      <c r="A2717" s="8" t="s">
        <v>406</v>
      </c>
      <c r="B2717" s="5">
        <v>1700006</v>
      </c>
      <c r="C2717" s="5" t="s">
        <v>273</v>
      </c>
      <c r="D2717" s="3">
        <f>VLOOKUP(B2717,Sheet2!$A:$O,13,0)</f>
        <v>6676</v>
      </c>
    </row>
    <row r="2718" spans="1:4">
      <c r="A2718" s="8" t="s">
        <v>406</v>
      </c>
      <c r="B2718" s="5">
        <v>1700007</v>
      </c>
      <c r="C2718" s="5" t="s">
        <v>274</v>
      </c>
      <c r="D2718" s="3">
        <f>VLOOKUP(B2718,Sheet2!$A:$O,13,0)</f>
        <v>0</v>
      </c>
    </row>
    <row r="2719" spans="1:4">
      <c r="A2719" s="8" t="s">
        <v>406</v>
      </c>
      <c r="B2719" s="5">
        <v>1700008</v>
      </c>
      <c r="C2719" s="5" t="s">
        <v>275</v>
      </c>
      <c r="D2719" s="3">
        <f>VLOOKUP(B2719,Sheet2!$A:$O,13,0)</f>
        <v>0</v>
      </c>
    </row>
    <row r="2720" spans="1:4">
      <c r="A2720" s="8" t="s">
        <v>406</v>
      </c>
      <c r="B2720" s="5">
        <v>1700009</v>
      </c>
      <c r="C2720" s="5" t="s">
        <v>276</v>
      </c>
      <c r="D2720" s="3">
        <f>VLOOKUP(B2720,Sheet2!$A:$O,13,0)</f>
        <v>0</v>
      </c>
    </row>
    <row r="2721" spans="1:4">
      <c r="A2721" s="8" t="s">
        <v>406</v>
      </c>
      <c r="B2721" s="5">
        <v>1700010</v>
      </c>
      <c r="C2721" s="5" t="s">
        <v>277</v>
      </c>
      <c r="D2721" s="3">
        <f>VLOOKUP(B2721,Sheet2!$A:$O,13,0)</f>
        <v>3990</v>
      </c>
    </row>
    <row r="2722" spans="1:4">
      <c r="A2722" s="8" t="s">
        <v>406</v>
      </c>
      <c r="B2722" s="5">
        <v>1700011</v>
      </c>
      <c r="C2722" s="5" t="s">
        <v>278</v>
      </c>
      <c r="D2722" s="3">
        <f>VLOOKUP(B2722,Sheet2!$A:$O,13,0)</f>
        <v>12745</v>
      </c>
    </row>
    <row r="2723" spans="1:4">
      <c r="A2723" s="8" t="s">
        <v>406</v>
      </c>
      <c r="B2723" s="5">
        <v>1700012</v>
      </c>
      <c r="C2723" s="5" t="s">
        <v>279</v>
      </c>
      <c r="D2723" s="3">
        <f>VLOOKUP(B2723,Sheet2!$A:$O,13,0)</f>
        <v>15980</v>
      </c>
    </row>
    <row r="2724" spans="1:4">
      <c r="A2724" s="8" t="s">
        <v>406</v>
      </c>
      <c r="B2724" s="5">
        <v>1700013</v>
      </c>
      <c r="C2724" s="5" t="s">
        <v>280</v>
      </c>
      <c r="D2724" s="3">
        <f>VLOOKUP(B2724,Sheet2!$A:$O,13,0)</f>
        <v>18137</v>
      </c>
    </row>
    <row r="2725" spans="1:4">
      <c r="A2725" s="8" t="s">
        <v>406</v>
      </c>
      <c r="B2725" s="5">
        <v>1700014</v>
      </c>
      <c r="C2725" s="5" t="s">
        <v>194</v>
      </c>
      <c r="D2725" s="3">
        <f>VLOOKUP(B2725,Sheet2!$A:$O,13,0)</f>
        <v>2255</v>
      </c>
    </row>
    <row r="2726" spans="1:4">
      <c r="A2726" s="8" t="s">
        <v>406</v>
      </c>
      <c r="B2726" s="5">
        <v>1700015</v>
      </c>
      <c r="C2726" s="5" t="s">
        <v>281</v>
      </c>
      <c r="D2726" s="3">
        <f>VLOOKUP(B2726,Sheet2!$A:$O,13,0)</f>
        <v>5160</v>
      </c>
    </row>
    <row r="2727" spans="1:4">
      <c r="A2727" s="8" t="s">
        <v>406</v>
      </c>
      <c r="B2727" s="5">
        <v>1700016</v>
      </c>
      <c r="C2727" s="5" t="s">
        <v>282</v>
      </c>
      <c r="D2727" s="3">
        <f>VLOOKUP(B2727,Sheet2!$A:$O,13,0)</f>
        <v>3568</v>
      </c>
    </row>
    <row r="2728" spans="1:4">
      <c r="A2728" s="8" t="s">
        <v>406</v>
      </c>
      <c r="B2728" s="5">
        <v>1700017</v>
      </c>
      <c r="C2728" s="5" t="s">
        <v>283</v>
      </c>
      <c r="D2728" s="3">
        <f>VLOOKUP(B2728,Sheet2!$A:$O,13,0)</f>
        <v>10784</v>
      </c>
    </row>
    <row r="2729" spans="1:4">
      <c r="A2729" s="8" t="s">
        <v>406</v>
      </c>
      <c r="B2729" s="5">
        <v>1700018</v>
      </c>
      <c r="C2729" s="5" t="s">
        <v>284</v>
      </c>
      <c r="D2729" s="3">
        <f>VLOOKUP(B2729,Sheet2!$A:$O,13,0)</f>
        <v>4130</v>
      </c>
    </row>
    <row r="2730" spans="1:4">
      <c r="A2730" s="8" t="s">
        <v>406</v>
      </c>
      <c r="B2730" s="5">
        <v>1700019</v>
      </c>
      <c r="C2730" s="5" t="s">
        <v>285</v>
      </c>
      <c r="D2730" s="3">
        <f>VLOOKUP(B2730,Sheet2!$A:$O,13,0)</f>
        <v>0</v>
      </c>
    </row>
    <row r="2731" spans="1:4">
      <c r="A2731" s="8" t="s">
        <v>406</v>
      </c>
      <c r="B2731" s="5">
        <v>1700020</v>
      </c>
      <c r="C2731" s="5" t="s">
        <v>286</v>
      </c>
      <c r="D2731" s="3">
        <f>VLOOKUP(B2731,Sheet2!$A:$O,13,0)</f>
        <v>49412</v>
      </c>
    </row>
    <row r="2732" spans="1:4">
      <c r="A2732" s="8" t="s">
        <v>406</v>
      </c>
      <c r="B2732" s="5">
        <v>1700021</v>
      </c>
      <c r="C2732" s="5" t="s">
        <v>287</v>
      </c>
      <c r="D2732" s="3">
        <f>VLOOKUP(B2732,Sheet2!$A:$O,13,0)</f>
        <v>86137</v>
      </c>
    </row>
    <row r="2733" spans="1:4">
      <c r="A2733" s="8" t="s">
        <v>406</v>
      </c>
      <c r="B2733" s="5">
        <v>1700022</v>
      </c>
      <c r="C2733" s="5" t="s">
        <v>288</v>
      </c>
      <c r="D2733" s="3">
        <f>VLOOKUP(B2733,Sheet2!$A:$O,13,0)</f>
        <v>33706</v>
      </c>
    </row>
    <row r="2734" spans="1:4">
      <c r="A2734" s="8" t="s">
        <v>406</v>
      </c>
      <c r="B2734" s="5">
        <v>1700023</v>
      </c>
      <c r="C2734" s="5" t="s">
        <v>289</v>
      </c>
      <c r="D2734" s="3">
        <f>VLOOKUP(B2734,Sheet2!$A:$O,13,0)</f>
        <v>8581</v>
      </c>
    </row>
    <row r="2735" spans="1:4">
      <c r="A2735" s="8" t="s">
        <v>406</v>
      </c>
      <c r="B2735" s="5">
        <v>1700024</v>
      </c>
      <c r="C2735" s="5" t="s">
        <v>290</v>
      </c>
      <c r="D2735" s="3">
        <f>VLOOKUP(B2735,Sheet2!$A:$O,13,0)</f>
        <v>0</v>
      </c>
    </row>
    <row r="2736" spans="1:4">
      <c r="A2736" s="8" t="s">
        <v>406</v>
      </c>
      <c r="B2736" s="5">
        <v>1700025</v>
      </c>
      <c r="C2736" s="5" t="s">
        <v>291</v>
      </c>
      <c r="D2736" s="3">
        <f>VLOOKUP(B2736,Sheet2!$A:$O,13,0)</f>
        <v>1961</v>
      </c>
    </row>
    <row r="2737" spans="1:4">
      <c r="A2737" s="8" t="s">
        <v>406</v>
      </c>
      <c r="B2737" s="5">
        <v>1700026</v>
      </c>
      <c r="C2737" s="5" t="s">
        <v>292</v>
      </c>
      <c r="D2737" s="3">
        <f>VLOOKUP(B2737,Sheet2!$A:$O,13,0)</f>
        <v>3725</v>
      </c>
    </row>
    <row r="2738" spans="1:4">
      <c r="A2738" s="8" t="s">
        <v>406</v>
      </c>
      <c r="B2738" s="5">
        <v>1700027</v>
      </c>
      <c r="C2738" s="5" t="s">
        <v>293</v>
      </c>
      <c r="D2738" s="3">
        <f>VLOOKUP(B2738,Sheet2!$A:$O,13,0)</f>
        <v>4412</v>
      </c>
    </row>
    <row r="2739" spans="1:4">
      <c r="A2739" s="8" t="s">
        <v>406</v>
      </c>
      <c r="B2739" s="5">
        <v>1700028</v>
      </c>
      <c r="C2739" s="5" t="s">
        <v>294</v>
      </c>
      <c r="D2739" s="3">
        <f>VLOOKUP(B2739,Sheet2!$A:$O,13,0)</f>
        <v>9500</v>
      </c>
    </row>
    <row r="2740" spans="1:4">
      <c r="A2740" s="8" t="s">
        <v>406</v>
      </c>
      <c r="B2740" s="5">
        <v>1700029</v>
      </c>
      <c r="C2740" s="5" t="s">
        <v>295</v>
      </c>
      <c r="D2740" s="3">
        <f>VLOOKUP(B2740,Sheet2!$A:$O,13,0)</f>
        <v>10670</v>
      </c>
    </row>
    <row r="2741" spans="1:4">
      <c r="A2741" s="8" t="s">
        <v>406</v>
      </c>
      <c r="B2741" s="5">
        <v>1700030</v>
      </c>
      <c r="C2741" s="5" t="s">
        <v>296</v>
      </c>
      <c r="D2741" s="3">
        <f>VLOOKUP(B2741,Sheet2!$A:$O,13,0)</f>
        <v>12720</v>
      </c>
    </row>
    <row r="2742" spans="1:4">
      <c r="A2742" s="8" t="s">
        <v>406</v>
      </c>
      <c r="B2742" s="5">
        <v>1700031</v>
      </c>
      <c r="C2742" s="5" t="s">
        <v>196</v>
      </c>
      <c r="D2742" s="3">
        <f>VLOOKUP(B2742,Sheet2!$A:$O,13,0)</f>
        <v>2069</v>
      </c>
    </row>
    <row r="2743" spans="1:4">
      <c r="A2743" s="8" t="s">
        <v>406</v>
      </c>
      <c r="B2743" s="5">
        <v>1700032</v>
      </c>
      <c r="C2743" s="5" t="s">
        <v>297</v>
      </c>
      <c r="D2743" s="3">
        <f>VLOOKUP(B2743,Sheet2!$A:$O,13,0)</f>
        <v>0</v>
      </c>
    </row>
    <row r="2744" spans="1:4">
      <c r="A2744" s="8" t="s">
        <v>406</v>
      </c>
      <c r="B2744" s="5">
        <v>1700033</v>
      </c>
      <c r="C2744" s="5" t="s">
        <v>298</v>
      </c>
      <c r="D2744" s="3">
        <f>VLOOKUP(B2744,Sheet2!$A:$O,13,0)</f>
        <v>0</v>
      </c>
    </row>
    <row r="2745" spans="1:4">
      <c r="A2745" s="8" t="s">
        <v>406</v>
      </c>
      <c r="B2745" s="5">
        <v>1700034</v>
      </c>
      <c r="C2745" s="5" t="s">
        <v>299</v>
      </c>
      <c r="D2745" s="3">
        <f>VLOOKUP(B2745,Sheet2!$A:$O,13,0)</f>
        <v>17475</v>
      </c>
    </row>
    <row r="2746" spans="1:4">
      <c r="A2746" s="8" t="s">
        <v>406</v>
      </c>
      <c r="B2746" s="5">
        <v>1700035</v>
      </c>
      <c r="C2746" s="5" t="s">
        <v>300</v>
      </c>
      <c r="D2746" s="3">
        <f>VLOOKUP(B2746,Sheet2!$A:$O,13,0)</f>
        <v>34000</v>
      </c>
    </row>
    <row r="2747" spans="1:4">
      <c r="A2747" s="8" t="s">
        <v>406</v>
      </c>
      <c r="B2747" s="5">
        <v>1700036</v>
      </c>
      <c r="C2747" s="5" t="s">
        <v>301</v>
      </c>
      <c r="D2747" s="3">
        <f>VLOOKUP(B2747,Sheet2!$A:$O,13,0)</f>
        <v>5200</v>
      </c>
    </row>
    <row r="2748" spans="1:4">
      <c r="A2748" s="8" t="s">
        <v>406</v>
      </c>
      <c r="B2748" s="5">
        <v>1700037</v>
      </c>
      <c r="C2748" s="5" t="s">
        <v>302</v>
      </c>
      <c r="D2748" s="3">
        <f>VLOOKUP(B2748,Sheet2!$A:$O,13,0)</f>
        <v>7533</v>
      </c>
    </row>
    <row r="2749" spans="1:4">
      <c r="A2749" s="8" t="s">
        <v>406</v>
      </c>
      <c r="B2749" s="5">
        <v>1700038</v>
      </c>
      <c r="C2749" s="5" t="s">
        <v>303</v>
      </c>
      <c r="D2749" s="3">
        <f>VLOOKUP(B2749,Sheet2!$A:$O,13,0)</f>
        <v>2108</v>
      </c>
    </row>
    <row r="2750" spans="1:4">
      <c r="A2750" s="8" t="s">
        <v>406</v>
      </c>
      <c r="B2750" s="5">
        <v>1700039</v>
      </c>
      <c r="C2750" s="5" t="s">
        <v>304</v>
      </c>
      <c r="D2750" s="3">
        <f>VLOOKUP(B2750,Sheet2!$A:$O,13,0)</f>
        <v>3480</v>
      </c>
    </row>
    <row r="2751" spans="1:4">
      <c r="A2751" s="8" t="s">
        <v>406</v>
      </c>
      <c r="B2751" s="5">
        <v>1700040</v>
      </c>
      <c r="C2751" s="5" t="s">
        <v>305</v>
      </c>
      <c r="D2751" s="3">
        <f>VLOOKUP(B2751,Sheet2!$A:$O,13,0)</f>
        <v>1967</v>
      </c>
    </row>
    <row r="2752" spans="1:4">
      <c r="A2752" s="8" t="s">
        <v>406</v>
      </c>
      <c r="B2752" s="5">
        <v>1700041</v>
      </c>
      <c r="C2752" s="5" t="s">
        <v>306</v>
      </c>
      <c r="D2752" s="3">
        <f>VLOOKUP(B2752,Sheet2!$A:$O,13,0)</f>
        <v>3000</v>
      </c>
    </row>
    <row r="2753" spans="1:4">
      <c r="A2753" s="8" t="s">
        <v>406</v>
      </c>
      <c r="B2753" s="5">
        <v>1700042</v>
      </c>
      <c r="C2753" s="5" t="s">
        <v>307</v>
      </c>
      <c r="D2753" s="3">
        <f>VLOOKUP(B2753,Sheet2!$A:$O,13,0)</f>
        <v>3163</v>
      </c>
    </row>
    <row r="2754" spans="1:4">
      <c r="A2754" s="8" t="s">
        <v>406</v>
      </c>
      <c r="B2754" s="5">
        <v>1700043</v>
      </c>
      <c r="C2754" s="5" t="s">
        <v>308</v>
      </c>
      <c r="D2754" s="3">
        <f>VLOOKUP(B2754,Sheet2!$A:$O,13,0)</f>
        <v>5877</v>
      </c>
    </row>
    <row r="2755" spans="1:4">
      <c r="A2755" s="8" t="s">
        <v>406</v>
      </c>
      <c r="B2755" s="5">
        <v>1700044</v>
      </c>
      <c r="C2755" s="5" t="s">
        <v>309</v>
      </c>
      <c r="D2755" s="3">
        <f>VLOOKUP(B2755,Sheet2!$A:$O,13,0)</f>
        <v>7000</v>
      </c>
    </row>
    <row r="2756" spans="1:4">
      <c r="A2756" s="8" t="s">
        <v>406</v>
      </c>
      <c r="B2756" s="5">
        <v>1700045</v>
      </c>
      <c r="C2756" s="5" t="s">
        <v>310</v>
      </c>
      <c r="D2756" s="3">
        <f>VLOOKUP(B2756,Sheet2!$A:$O,13,0)</f>
        <v>3770</v>
      </c>
    </row>
    <row r="2757" spans="1:4">
      <c r="A2757" s="8" t="s">
        <v>406</v>
      </c>
      <c r="B2757" s="5">
        <v>1700046</v>
      </c>
      <c r="C2757" s="5" t="s">
        <v>311</v>
      </c>
      <c r="D2757" s="3">
        <f>VLOOKUP(B2757,Sheet2!$A:$O,13,0)</f>
        <v>6863</v>
      </c>
    </row>
    <row r="2758" spans="1:4">
      <c r="A2758" s="8" t="s">
        <v>406</v>
      </c>
      <c r="B2758" s="5">
        <v>1700047</v>
      </c>
      <c r="C2758" s="5" t="s">
        <v>312</v>
      </c>
      <c r="D2758" s="3">
        <f>VLOOKUP(B2758,Sheet2!$A:$O,13,0)</f>
        <v>22350</v>
      </c>
    </row>
    <row r="2759" spans="1:4">
      <c r="A2759" s="8" t="s">
        <v>406</v>
      </c>
      <c r="B2759" s="5">
        <v>1700048</v>
      </c>
      <c r="C2759" s="5" t="s">
        <v>313</v>
      </c>
      <c r="D2759" s="3">
        <f>VLOOKUP(B2759,Sheet2!$A:$O,13,0)</f>
        <v>13330</v>
      </c>
    </row>
    <row r="2760" spans="1:4">
      <c r="A2760" s="8" t="s">
        <v>406</v>
      </c>
      <c r="B2760" s="5">
        <v>1700049</v>
      </c>
      <c r="C2760" s="5" t="s">
        <v>314</v>
      </c>
      <c r="D2760" s="3">
        <f>VLOOKUP(B2760,Sheet2!$A:$O,13,0)</f>
        <v>5785</v>
      </c>
    </row>
    <row r="2761" spans="1:4">
      <c r="A2761" s="8" t="s">
        <v>406</v>
      </c>
      <c r="B2761" s="5">
        <v>1700050</v>
      </c>
      <c r="C2761" s="5" t="s">
        <v>315</v>
      </c>
      <c r="D2761" s="3">
        <f>VLOOKUP(B2761,Sheet2!$A:$O,13,0)</f>
        <v>39000</v>
      </c>
    </row>
    <row r="2762" spans="1:4">
      <c r="A2762" s="8" t="s">
        <v>406</v>
      </c>
      <c r="B2762" s="5">
        <v>1700051</v>
      </c>
      <c r="C2762" s="5" t="s">
        <v>316</v>
      </c>
      <c r="D2762" s="3">
        <f>VLOOKUP(B2762,Sheet2!$A:$O,13,0)</f>
        <v>11500</v>
      </c>
    </row>
    <row r="2763" spans="1:4">
      <c r="A2763" s="8" t="s">
        <v>406</v>
      </c>
      <c r="B2763" s="5">
        <v>1700052</v>
      </c>
      <c r="C2763" s="5" t="s">
        <v>317</v>
      </c>
      <c r="D2763" s="3">
        <f>VLOOKUP(B2763,Sheet2!$A:$O,13,0)</f>
        <v>3444</v>
      </c>
    </row>
    <row r="2764" spans="1:4">
      <c r="A2764" s="8" t="s">
        <v>406</v>
      </c>
      <c r="B2764" s="5">
        <v>1700053</v>
      </c>
      <c r="C2764" s="5" t="s">
        <v>318</v>
      </c>
      <c r="D2764" s="3">
        <f>VLOOKUP(B2764,Sheet2!$A:$O,13,0)</f>
        <v>15530</v>
      </c>
    </row>
    <row r="2765" spans="1:4">
      <c r="A2765" s="8" t="s">
        <v>406</v>
      </c>
      <c r="B2765" s="5">
        <v>1700054</v>
      </c>
      <c r="C2765" s="5" t="s">
        <v>319</v>
      </c>
      <c r="D2765" s="3">
        <f>VLOOKUP(B2765,Sheet2!$A:$O,13,0)</f>
        <v>11670</v>
      </c>
    </row>
    <row r="2766" spans="1:4">
      <c r="A2766" s="8" t="s">
        <v>406</v>
      </c>
      <c r="B2766" s="5">
        <v>1700055</v>
      </c>
      <c r="C2766" s="5" t="s">
        <v>320</v>
      </c>
      <c r="D2766" s="3">
        <f>VLOOKUP(B2766,Sheet2!$A:$O,13,0)</f>
        <v>11940</v>
      </c>
    </row>
    <row r="2767" spans="1:4">
      <c r="A2767" s="8" t="s">
        <v>406</v>
      </c>
      <c r="B2767" s="5">
        <v>1700056</v>
      </c>
      <c r="C2767" s="5" t="s">
        <v>321</v>
      </c>
      <c r="D2767" s="3">
        <f>VLOOKUP(B2767,Sheet2!$A:$O,13,0)</f>
        <v>6226</v>
      </c>
    </row>
    <row r="2768" spans="1:4">
      <c r="A2768" s="8" t="s">
        <v>406</v>
      </c>
      <c r="B2768" s="5">
        <v>1700057</v>
      </c>
      <c r="C2768" s="5" t="s">
        <v>322</v>
      </c>
      <c r="D2768" s="3">
        <f>VLOOKUP(B2768,Sheet2!$A:$O,13,0)</f>
        <v>2098</v>
      </c>
    </row>
    <row r="2769" spans="1:4">
      <c r="A2769" s="8" t="s">
        <v>406</v>
      </c>
      <c r="B2769" s="5">
        <v>1700058</v>
      </c>
      <c r="C2769" s="5" t="s">
        <v>323</v>
      </c>
      <c r="D2769" s="3">
        <f>VLOOKUP(B2769,Sheet2!$A:$O,13,0)</f>
        <v>5800</v>
      </c>
    </row>
    <row r="2770" spans="1:4">
      <c r="A2770" s="8" t="s">
        <v>406</v>
      </c>
      <c r="B2770" s="5">
        <v>1700059</v>
      </c>
      <c r="C2770" s="5" t="s">
        <v>324</v>
      </c>
      <c r="D2770" s="3">
        <f>VLOOKUP(B2770,Sheet2!$A:$O,13,0)</f>
        <v>27667</v>
      </c>
    </row>
    <row r="2771" spans="1:4">
      <c r="A2771" s="8" t="s">
        <v>406</v>
      </c>
      <c r="B2771" s="5">
        <v>1700060</v>
      </c>
      <c r="C2771" s="5" t="s">
        <v>325</v>
      </c>
      <c r="D2771" s="3">
        <f>VLOOKUP(B2771,Sheet2!$A:$O,13,0)</f>
        <v>5471</v>
      </c>
    </row>
    <row r="2772" spans="1:4">
      <c r="A2772" s="8" t="s">
        <v>406</v>
      </c>
      <c r="B2772" s="5">
        <v>1700061</v>
      </c>
      <c r="C2772" s="5" t="s">
        <v>326</v>
      </c>
      <c r="D2772" s="3">
        <f>VLOOKUP(B2772,Sheet2!$A:$O,13,0)</f>
        <v>8920</v>
      </c>
    </row>
    <row r="2773" spans="1:4">
      <c r="A2773" s="8" t="s">
        <v>406</v>
      </c>
      <c r="B2773" s="5">
        <v>1700062</v>
      </c>
      <c r="C2773" s="5" t="s">
        <v>327</v>
      </c>
      <c r="D2773" s="3">
        <f>VLOOKUP(B2773,Sheet2!$A:$O,13,0)</f>
        <v>10520</v>
      </c>
    </row>
    <row r="2774" spans="1:4">
      <c r="A2774" s="8" t="s">
        <v>406</v>
      </c>
      <c r="B2774" s="5">
        <v>1700063</v>
      </c>
      <c r="C2774" s="5" t="s">
        <v>328</v>
      </c>
      <c r="D2774" s="3">
        <f>VLOOKUP(B2774,Sheet2!$A:$O,13,0)</f>
        <v>10550</v>
      </c>
    </row>
    <row r="2775" spans="1:4">
      <c r="A2775" s="8" t="s">
        <v>406</v>
      </c>
      <c r="B2775" s="5">
        <v>1700064</v>
      </c>
      <c r="C2775" s="5" t="s">
        <v>329</v>
      </c>
      <c r="D2775" s="3">
        <f>VLOOKUP(B2775,Sheet2!$A:$O,13,0)</f>
        <v>11060</v>
      </c>
    </row>
    <row r="2776" spans="1:4">
      <c r="A2776" s="8" t="s">
        <v>406</v>
      </c>
      <c r="B2776" s="5">
        <v>1700065</v>
      </c>
      <c r="C2776" s="5" t="s">
        <v>330</v>
      </c>
      <c r="D2776" s="3">
        <f>VLOOKUP(B2776,Sheet2!$A:$O,13,0)</f>
        <v>12760</v>
      </c>
    </row>
    <row r="2777" spans="1:4">
      <c r="A2777" s="8" t="s">
        <v>406</v>
      </c>
      <c r="B2777" s="5">
        <v>1700066</v>
      </c>
      <c r="C2777" s="5" t="s">
        <v>331</v>
      </c>
      <c r="D2777" s="3">
        <f>VLOOKUP(B2777,Sheet2!$A:$O,13,0)</f>
        <v>13200</v>
      </c>
    </row>
    <row r="2778" spans="1:4">
      <c r="A2778" s="8" t="s">
        <v>406</v>
      </c>
      <c r="B2778" s="5">
        <v>1700067</v>
      </c>
      <c r="C2778" s="5" t="s">
        <v>332</v>
      </c>
      <c r="D2778" s="3">
        <f>VLOOKUP(B2778,Sheet2!$A:$O,13,0)</f>
        <v>10720</v>
      </c>
    </row>
    <row r="2779" spans="1:4">
      <c r="A2779" s="8" t="s">
        <v>406</v>
      </c>
      <c r="B2779" s="5">
        <v>1700068</v>
      </c>
      <c r="C2779" s="5" t="s">
        <v>333</v>
      </c>
      <c r="D2779" s="3">
        <f>VLOOKUP(B2779,Sheet2!$A:$O,13,0)</f>
        <v>12720</v>
      </c>
    </row>
    <row r="2780" spans="1:4">
      <c r="A2780" s="8" t="s">
        <v>406</v>
      </c>
      <c r="B2780" s="5">
        <v>1700069</v>
      </c>
      <c r="C2780" s="5" t="s">
        <v>334</v>
      </c>
      <c r="D2780" s="3">
        <f>VLOOKUP(B2780,Sheet2!$A:$O,13,0)</f>
        <v>14000</v>
      </c>
    </row>
    <row r="2781" spans="1:4">
      <c r="A2781" s="8" t="s">
        <v>406</v>
      </c>
      <c r="B2781" s="5">
        <v>1700070</v>
      </c>
      <c r="C2781" s="5" t="s">
        <v>335</v>
      </c>
      <c r="D2781" s="3">
        <f>VLOOKUP(B2781,Sheet2!$A:$O,13,0)</f>
        <v>1618</v>
      </c>
    </row>
    <row r="2782" spans="1:4">
      <c r="A2782" s="8" t="s">
        <v>406</v>
      </c>
      <c r="B2782" s="5">
        <v>1700071</v>
      </c>
      <c r="C2782" s="5" t="s">
        <v>336</v>
      </c>
      <c r="D2782" s="3">
        <f>VLOOKUP(B2782,Sheet2!$A:$O,13,0)</f>
        <v>12190</v>
      </c>
    </row>
    <row r="2783" spans="1:4">
      <c r="A2783" s="8" t="s">
        <v>406</v>
      </c>
      <c r="B2783" s="5">
        <v>1700072</v>
      </c>
      <c r="C2783" s="5" t="s">
        <v>337</v>
      </c>
      <c r="D2783" s="3">
        <f>VLOOKUP(B2783,Sheet2!$A:$O,13,0)</f>
        <v>10180</v>
      </c>
    </row>
    <row r="2784" spans="1:4">
      <c r="A2784" s="8" t="s">
        <v>406</v>
      </c>
      <c r="B2784" s="5">
        <v>1700073</v>
      </c>
      <c r="C2784" s="5" t="s">
        <v>338</v>
      </c>
      <c r="D2784" s="3">
        <f>VLOOKUP(B2784,Sheet2!$A:$O,13,0)</f>
        <v>9020</v>
      </c>
    </row>
    <row r="2785" spans="1:4">
      <c r="A2785" s="8" t="s">
        <v>406</v>
      </c>
      <c r="B2785" s="5">
        <v>1700076</v>
      </c>
      <c r="C2785" s="5" t="s">
        <v>339</v>
      </c>
      <c r="D2785" s="3">
        <f>VLOOKUP(B2785,Sheet2!$A:$O,13,0)</f>
        <v>4108</v>
      </c>
    </row>
    <row r="2786" spans="1:4">
      <c r="A2786" s="8" t="s">
        <v>406</v>
      </c>
      <c r="B2786" s="5">
        <v>1700077</v>
      </c>
      <c r="C2786" s="5" t="s">
        <v>340</v>
      </c>
      <c r="D2786" s="3">
        <f>VLOOKUP(B2786,Sheet2!$A:$O,13,0)</f>
        <v>3843</v>
      </c>
    </row>
    <row r="2787" spans="1:4">
      <c r="A2787" s="8" t="s">
        <v>406</v>
      </c>
      <c r="B2787" s="5">
        <v>1700078</v>
      </c>
      <c r="C2787" s="5" t="s">
        <v>341</v>
      </c>
      <c r="D2787" s="3">
        <f>VLOOKUP(B2787,Sheet2!$A:$O,13,0)</f>
        <v>4716</v>
      </c>
    </row>
    <row r="2788" spans="1:4">
      <c r="A2788" s="8" t="s">
        <v>406</v>
      </c>
      <c r="B2788" s="5">
        <v>1700080</v>
      </c>
      <c r="C2788" s="5" t="s">
        <v>342</v>
      </c>
      <c r="D2788" s="3">
        <f>VLOOKUP(B2788,Sheet2!$A:$O,13,0)</f>
        <v>3529</v>
      </c>
    </row>
    <row r="2789" spans="1:4">
      <c r="A2789" s="8" t="s">
        <v>406</v>
      </c>
      <c r="B2789" s="5">
        <v>1700083</v>
      </c>
      <c r="C2789" s="5" t="s">
        <v>343</v>
      </c>
      <c r="D2789" s="3">
        <f>VLOOKUP(B2789,Sheet2!$A:$O,13,0)</f>
        <v>8333</v>
      </c>
    </row>
    <row r="2790" spans="1:4">
      <c r="A2790" s="8" t="s">
        <v>406</v>
      </c>
      <c r="B2790" s="5">
        <v>1700084</v>
      </c>
      <c r="C2790" s="5" t="s">
        <v>344</v>
      </c>
      <c r="D2790" s="3">
        <f>VLOOKUP(B2790,Sheet2!$A:$O,13,0)</f>
        <v>12010</v>
      </c>
    </row>
    <row r="2791" spans="1:4">
      <c r="A2791" s="8" t="s">
        <v>406</v>
      </c>
      <c r="B2791" s="5">
        <v>1700085</v>
      </c>
      <c r="C2791" s="5" t="s">
        <v>345</v>
      </c>
      <c r="D2791" s="3">
        <f>VLOOKUP(B2791,Sheet2!$A:$O,13,0)</f>
        <v>7860</v>
      </c>
    </row>
    <row r="2792" spans="1:4">
      <c r="A2792" s="8" t="s">
        <v>406</v>
      </c>
      <c r="B2792" s="5">
        <v>1700086</v>
      </c>
      <c r="C2792" s="5" t="s">
        <v>346</v>
      </c>
      <c r="D2792" s="3">
        <f>VLOOKUP(B2792,Sheet2!$A:$O,13,0)</f>
        <v>1814</v>
      </c>
    </row>
    <row r="2793" spans="1:4">
      <c r="A2793" s="8" t="s">
        <v>406</v>
      </c>
      <c r="B2793" s="5">
        <v>1700087</v>
      </c>
      <c r="C2793" s="5" t="s">
        <v>347</v>
      </c>
      <c r="D2793" s="3">
        <f>VLOOKUP(B2793,Sheet2!$A:$O,13,0)</f>
        <v>4890</v>
      </c>
    </row>
    <row r="2794" spans="1:4">
      <c r="A2794" s="8" t="s">
        <v>406</v>
      </c>
      <c r="B2794" s="5">
        <v>1700088</v>
      </c>
      <c r="C2794" s="5" t="s">
        <v>348</v>
      </c>
      <c r="D2794" s="3">
        <f>VLOOKUP(B2794,Sheet2!$A:$O,13,0)</f>
        <v>15500</v>
      </c>
    </row>
    <row r="2795" spans="1:4">
      <c r="A2795" s="8" t="s">
        <v>406</v>
      </c>
      <c r="B2795" s="5">
        <v>1700089</v>
      </c>
      <c r="C2795" s="5" t="s">
        <v>349</v>
      </c>
      <c r="D2795" s="3">
        <f>VLOOKUP(B2795,Sheet2!$A:$O,13,0)</f>
        <v>18500</v>
      </c>
    </row>
    <row r="2796" spans="1:4">
      <c r="A2796" s="8" t="s">
        <v>406</v>
      </c>
      <c r="B2796" s="5">
        <v>1700090</v>
      </c>
      <c r="C2796" s="5" t="s">
        <v>350</v>
      </c>
      <c r="D2796" s="3">
        <f>VLOOKUP(B2796,Sheet2!$A:$O,13,0)</f>
        <v>25490</v>
      </c>
    </row>
    <row r="2797" spans="1:4">
      <c r="A2797" s="8" t="s">
        <v>406</v>
      </c>
      <c r="B2797" s="5">
        <v>1700091</v>
      </c>
      <c r="C2797" s="5" t="s">
        <v>351</v>
      </c>
      <c r="D2797" s="3">
        <f>VLOOKUP(B2797,Sheet2!$A:$O,13,0)</f>
        <v>18353</v>
      </c>
    </row>
    <row r="2798" spans="1:4">
      <c r="A2798" s="8" t="s">
        <v>406</v>
      </c>
      <c r="B2798" s="5">
        <v>1700092</v>
      </c>
      <c r="C2798" s="5" t="s">
        <v>352</v>
      </c>
      <c r="D2798" s="3">
        <f>VLOOKUP(B2798,Sheet2!$A:$O,13,0)</f>
        <v>1784</v>
      </c>
    </row>
    <row r="2799" spans="1:4">
      <c r="A2799" s="8" t="s">
        <v>406</v>
      </c>
      <c r="B2799" s="5">
        <v>1700093</v>
      </c>
      <c r="C2799" s="5" t="s">
        <v>353</v>
      </c>
      <c r="D2799" s="3">
        <f>VLOOKUP(B2799,Sheet2!$A:$O,13,0)</f>
        <v>11180</v>
      </c>
    </row>
    <row r="2800" spans="1:4">
      <c r="A2800" s="8" t="s">
        <v>406</v>
      </c>
      <c r="B2800" s="5">
        <v>1700094</v>
      </c>
      <c r="C2800" s="5" t="s">
        <v>354</v>
      </c>
      <c r="D2800" s="3">
        <f>VLOOKUP(B2800,Sheet2!$A:$O,13,0)</f>
        <v>13529</v>
      </c>
    </row>
    <row r="2801" spans="1:4">
      <c r="A2801" s="8" t="s">
        <v>406</v>
      </c>
      <c r="B2801" s="5">
        <v>1700095</v>
      </c>
      <c r="C2801" s="5" t="s">
        <v>355</v>
      </c>
      <c r="D2801" s="3">
        <f>VLOOKUP(B2801,Sheet2!$A:$O,13,0)</f>
        <v>4500</v>
      </c>
    </row>
    <row r="2802" spans="1:4">
      <c r="A2802" s="8" t="s">
        <v>406</v>
      </c>
      <c r="B2802" s="5">
        <v>1700096</v>
      </c>
      <c r="C2802" s="5" t="s">
        <v>356</v>
      </c>
      <c r="D2802" s="3">
        <f>VLOOKUP(B2802,Sheet2!$A:$O,13,0)</f>
        <v>24510</v>
      </c>
    </row>
    <row r="2803" spans="1:4">
      <c r="A2803" s="8" t="s">
        <v>406</v>
      </c>
      <c r="B2803" s="5">
        <v>1700097</v>
      </c>
      <c r="C2803" s="5" t="s">
        <v>357</v>
      </c>
      <c r="D2803" s="3">
        <f>VLOOKUP(B2803,Sheet2!$A:$O,13,0)</f>
        <v>19608</v>
      </c>
    </row>
    <row r="2804" spans="1:4">
      <c r="A2804" s="8" t="s">
        <v>406</v>
      </c>
      <c r="B2804" s="5">
        <v>1700098</v>
      </c>
      <c r="C2804" s="5" t="s">
        <v>358</v>
      </c>
      <c r="D2804" s="3">
        <f>VLOOKUP(B2804,Sheet2!$A:$O,13,0)</f>
        <v>19608</v>
      </c>
    </row>
    <row r="2805" spans="1:4">
      <c r="A2805" s="8" t="s">
        <v>406</v>
      </c>
      <c r="B2805" s="5">
        <v>1700099</v>
      </c>
      <c r="C2805" s="5" t="s">
        <v>359</v>
      </c>
      <c r="D2805" s="3">
        <f>VLOOKUP(B2805,Sheet2!$A:$O,13,0)</f>
        <v>9000</v>
      </c>
    </row>
    <row r="2806" spans="1:4">
      <c r="A2806" s="8" t="s">
        <v>406</v>
      </c>
      <c r="B2806" s="5">
        <v>1700100</v>
      </c>
      <c r="C2806" s="5" t="s">
        <v>360</v>
      </c>
      <c r="D2806" s="3">
        <f>VLOOKUP(B2806,Sheet2!$A:$O,13,0)</f>
        <v>3333</v>
      </c>
    </row>
    <row r="2807" spans="1:4">
      <c r="A2807" s="8" t="s">
        <v>406</v>
      </c>
      <c r="B2807" s="5">
        <v>1700101</v>
      </c>
      <c r="C2807" s="5" t="s">
        <v>361</v>
      </c>
      <c r="D2807" s="3">
        <f>VLOOKUP(B2807,Sheet2!$A:$O,13,0)</f>
        <v>7647</v>
      </c>
    </row>
    <row r="2808" spans="1:4">
      <c r="A2808" s="8" t="s">
        <v>406</v>
      </c>
      <c r="B2808" s="5">
        <v>1700102</v>
      </c>
      <c r="C2808" s="5" t="s">
        <v>362</v>
      </c>
      <c r="D2808" s="3">
        <f>VLOOKUP(B2808,Sheet2!$A:$O,13,0)</f>
        <v>40197</v>
      </c>
    </row>
    <row r="2809" spans="1:4">
      <c r="A2809" s="8" t="s">
        <v>406</v>
      </c>
      <c r="B2809" s="5">
        <v>1700103</v>
      </c>
      <c r="C2809" s="5" t="s">
        <v>363</v>
      </c>
      <c r="D2809" s="3">
        <f>VLOOKUP(B2809,Sheet2!$A:$O,13,0)</f>
        <v>9000</v>
      </c>
    </row>
    <row r="2810" spans="1:4">
      <c r="A2810" s="8" t="s">
        <v>406</v>
      </c>
      <c r="B2810" s="5">
        <v>1700104</v>
      </c>
      <c r="C2810" s="5" t="s">
        <v>364</v>
      </c>
      <c r="D2810" s="3">
        <f>VLOOKUP(B2810,Sheet2!$A:$O,13,0)</f>
        <v>25000</v>
      </c>
    </row>
    <row r="2811" spans="1:4">
      <c r="A2811" s="8" t="s">
        <v>406</v>
      </c>
      <c r="B2811" s="5">
        <v>1700105</v>
      </c>
      <c r="C2811" s="5" t="s">
        <v>365</v>
      </c>
      <c r="D2811" s="3">
        <f>VLOOKUP(B2811,Sheet2!$A:$O,13,0)</f>
        <v>10588</v>
      </c>
    </row>
    <row r="2812" spans="1:4">
      <c r="A2812" s="8" t="s">
        <v>406</v>
      </c>
      <c r="B2812" s="5">
        <v>1700106</v>
      </c>
      <c r="C2812" s="5" t="s">
        <v>366</v>
      </c>
      <c r="D2812" s="3">
        <f>VLOOKUP(B2812,Sheet2!$A:$O,13,0)</f>
        <v>14020</v>
      </c>
    </row>
    <row r="2813" spans="1:4">
      <c r="A2813" s="8" t="s">
        <v>406</v>
      </c>
      <c r="B2813" s="5">
        <v>1700107</v>
      </c>
      <c r="C2813" s="5" t="s">
        <v>367</v>
      </c>
      <c r="D2813" s="3">
        <f>VLOOKUP(B2813,Sheet2!$A:$O,13,0)</f>
        <v>9020</v>
      </c>
    </row>
    <row r="2814" spans="1:4">
      <c r="A2814" s="8" t="s">
        <v>406</v>
      </c>
      <c r="B2814" s="5">
        <v>1800002</v>
      </c>
      <c r="C2814" s="5" t="s">
        <v>368</v>
      </c>
      <c r="D2814" s="3">
        <f>VLOOKUP(B2814,Sheet2!$A:$O,13,0)</f>
        <v>9520</v>
      </c>
    </row>
    <row r="2815" spans="1:4">
      <c r="A2815" s="8" t="s">
        <v>406</v>
      </c>
      <c r="B2815" s="5">
        <v>1800004</v>
      </c>
      <c r="C2815" s="5" t="s">
        <v>369</v>
      </c>
      <c r="D2815" s="3">
        <f>VLOOKUP(B2815,Sheet2!$A:$O,13,0)</f>
        <v>0</v>
      </c>
    </row>
    <row r="2816" spans="1:4">
      <c r="A2816" s="8" t="s">
        <v>406</v>
      </c>
      <c r="B2816" s="5">
        <v>1800005</v>
      </c>
      <c r="C2816" s="5" t="s">
        <v>370</v>
      </c>
      <c r="D2816" s="3">
        <f>VLOOKUP(B2816,Sheet2!$A:$O,13,0)</f>
        <v>0</v>
      </c>
    </row>
    <row r="2817" spans="1:4">
      <c r="A2817" s="8" t="s">
        <v>406</v>
      </c>
      <c r="B2817" s="5">
        <v>1800006</v>
      </c>
      <c r="C2817" s="5" t="s">
        <v>371</v>
      </c>
      <c r="D2817" s="3">
        <f>VLOOKUP(B2817,Sheet2!$A:$O,13,0)</f>
        <v>0</v>
      </c>
    </row>
    <row r="2818" spans="1:4">
      <c r="A2818" s="8" t="s">
        <v>406</v>
      </c>
      <c r="B2818" s="5">
        <v>1800007</v>
      </c>
      <c r="C2818" s="5" t="s">
        <v>372</v>
      </c>
      <c r="D2818" s="3">
        <f>VLOOKUP(B2818,Sheet2!$A:$O,13,0)</f>
        <v>10000</v>
      </c>
    </row>
    <row r="2819" spans="1:4">
      <c r="A2819" s="8" t="s">
        <v>406</v>
      </c>
      <c r="B2819" s="5">
        <v>1800008</v>
      </c>
      <c r="C2819" s="5" t="s">
        <v>373</v>
      </c>
      <c r="D2819" s="3">
        <f>VLOOKUP(B2819,Sheet2!$A:$O,13,0)</f>
        <v>10110</v>
      </c>
    </row>
    <row r="2820" spans="1:4">
      <c r="A2820" s="8" t="s">
        <v>406</v>
      </c>
      <c r="B2820" s="5">
        <v>1800009</v>
      </c>
      <c r="C2820" s="5" t="s">
        <v>374</v>
      </c>
      <c r="D2820" s="3">
        <f>VLOOKUP(B2820,Sheet2!$A:$O,13,0)</f>
        <v>11800</v>
      </c>
    </row>
    <row r="2821" spans="1:4">
      <c r="A2821" s="8" t="s">
        <v>406</v>
      </c>
      <c r="B2821" s="5">
        <v>1800010</v>
      </c>
      <c r="C2821" s="5" t="s">
        <v>375</v>
      </c>
      <c r="D2821" s="3">
        <f>VLOOKUP(B2821,Sheet2!$A:$O,13,0)</f>
        <v>6863</v>
      </c>
    </row>
    <row r="2822" spans="1:4">
      <c r="A2822" s="8" t="s">
        <v>406</v>
      </c>
      <c r="B2822" s="5">
        <v>1800011</v>
      </c>
      <c r="C2822" s="5" t="s">
        <v>376</v>
      </c>
      <c r="D2822" s="3">
        <f>VLOOKUP(B2822,Sheet2!$A:$O,13,0)</f>
        <v>13235</v>
      </c>
    </row>
    <row r="2823" spans="1:4">
      <c r="A2823" s="8" t="s">
        <v>406</v>
      </c>
      <c r="B2823" s="5">
        <v>1800012</v>
      </c>
      <c r="C2823" s="5" t="s">
        <v>377</v>
      </c>
      <c r="D2823" s="3">
        <f>VLOOKUP(B2823,Sheet2!$A:$O,13,0)</f>
        <v>8235</v>
      </c>
    </row>
    <row r="2824" spans="1:4">
      <c r="A2824" s="8" t="s">
        <v>406</v>
      </c>
      <c r="B2824" s="5">
        <v>1800013</v>
      </c>
      <c r="C2824" s="5" t="s">
        <v>378</v>
      </c>
      <c r="D2824" s="3">
        <f>VLOOKUP(B2824,Sheet2!$A:$O,13,0)</f>
        <v>49100</v>
      </c>
    </row>
    <row r="2825" spans="1:4">
      <c r="A2825" s="8" t="s">
        <v>406</v>
      </c>
      <c r="B2825" s="5">
        <v>1800014</v>
      </c>
      <c r="C2825" s="5" t="s">
        <v>379</v>
      </c>
      <c r="D2825" s="3">
        <f>VLOOKUP(B2825,Sheet2!$A:$O,13,0)</f>
        <v>70000</v>
      </c>
    </row>
    <row r="2826" spans="1:4">
      <c r="A2826" s="8" t="s">
        <v>406</v>
      </c>
      <c r="B2826" s="5">
        <v>1800015</v>
      </c>
      <c r="C2826" s="5" t="s">
        <v>380</v>
      </c>
      <c r="D2826" s="3">
        <f>VLOOKUP(B2826,Sheet2!$A:$O,13,0)</f>
        <v>66700</v>
      </c>
    </row>
    <row r="2827" spans="1:4">
      <c r="A2827" s="8" t="s">
        <v>406</v>
      </c>
      <c r="B2827" s="5">
        <v>1900013</v>
      </c>
      <c r="C2827" s="5" t="s">
        <v>381</v>
      </c>
      <c r="D2827" s="3">
        <f>VLOOKUP(B2827,Sheet2!$A:$O,13,0)</f>
        <v>0</v>
      </c>
    </row>
    <row r="2828" spans="1:4">
      <c r="A2828" s="8" t="s">
        <v>406</v>
      </c>
      <c r="B2828" s="5">
        <v>1900018</v>
      </c>
      <c r="C2828" s="5" t="s">
        <v>382</v>
      </c>
      <c r="D2828" s="3">
        <f>VLOOKUP(B2828,Sheet2!$A:$O,13,0)</f>
        <v>0</v>
      </c>
    </row>
    <row r="2829" spans="1:4">
      <c r="A2829" s="8" t="s">
        <v>407</v>
      </c>
      <c r="B2829" s="5">
        <v>1010101</v>
      </c>
      <c r="C2829" s="5" t="s">
        <v>5</v>
      </c>
      <c r="D2829" s="3">
        <f>VLOOKUP(B2829,Sheet2!$A:$O,14,0)</f>
        <v>698</v>
      </c>
    </row>
    <row r="2830" spans="1:4">
      <c r="A2830" s="8" t="s">
        <v>407</v>
      </c>
      <c r="B2830" s="5">
        <v>1010111</v>
      </c>
      <c r="C2830" s="5" t="s">
        <v>9</v>
      </c>
      <c r="D2830" s="3">
        <f>VLOOKUP(B2830,Sheet2!$A:$O,14,0)</f>
        <v>19100</v>
      </c>
    </row>
    <row r="2831" spans="1:4">
      <c r="A2831" s="8" t="s">
        <v>407</v>
      </c>
      <c r="B2831" s="5">
        <v>1010201</v>
      </c>
      <c r="C2831" s="5" t="s">
        <v>11</v>
      </c>
      <c r="D2831" s="3">
        <f>VLOOKUP(B2831,Sheet2!$A:$O,14,0)</f>
        <v>882</v>
      </c>
    </row>
    <row r="2832" spans="1:4">
      <c r="A2832" s="8" t="s">
        <v>407</v>
      </c>
      <c r="B2832" s="5">
        <v>1010300</v>
      </c>
      <c r="C2832" s="5" t="s">
        <v>213</v>
      </c>
      <c r="D2832" s="3">
        <f>VLOOKUP(B2832,Sheet2!$A:$O,14,0)</f>
        <v>9020</v>
      </c>
    </row>
    <row r="2833" spans="1:4">
      <c r="A2833" s="8" t="s">
        <v>407</v>
      </c>
      <c r="B2833" s="5">
        <v>1010301</v>
      </c>
      <c r="C2833" s="5" t="s">
        <v>214</v>
      </c>
      <c r="D2833" s="3">
        <f>VLOOKUP(B2833,Sheet2!$A:$O,14,0)</f>
        <v>6765</v>
      </c>
    </row>
    <row r="2834" spans="1:4">
      <c r="A2834" s="8" t="s">
        <v>407</v>
      </c>
      <c r="B2834" s="5">
        <v>1010302</v>
      </c>
      <c r="C2834" s="5" t="s">
        <v>16</v>
      </c>
      <c r="D2834" s="3">
        <f>VLOOKUP(B2834,Sheet2!$A:$O,14,0)</f>
        <v>4314</v>
      </c>
    </row>
    <row r="2835" spans="1:4">
      <c r="A2835" s="8" t="s">
        <v>407</v>
      </c>
      <c r="B2835" s="5">
        <v>1010303</v>
      </c>
      <c r="C2835" s="5" t="s">
        <v>18</v>
      </c>
      <c r="D2835" s="3">
        <f>VLOOKUP(B2835,Sheet2!$A:$O,14,0)</f>
        <v>882</v>
      </c>
    </row>
    <row r="2836" spans="1:4">
      <c r="A2836" s="8" t="s">
        <v>407</v>
      </c>
      <c r="B2836" s="5">
        <v>1010304</v>
      </c>
      <c r="C2836" s="5" t="s">
        <v>215</v>
      </c>
      <c r="D2836" s="3">
        <f>VLOOKUP(B2836,Sheet2!$A:$O,14,0)</f>
        <v>1422</v>
      </c>
    </row>
    <row r="2837" spans="1:4">
      <c r="A2837" s="8" t="s">
        <v>407</v>
      </c>
      <c r="B2837" s="5">
        <v>1010401</v>
      </c>
      <c r="C2837" s="5" t="s">
        <v>20</v>
      </c>
      <c r="D2837" s="3">
        <f>VLOOKUP(B2837,Sheet2!$A:$O,14,0)</f>
        <v>3627</v>
      </c>
    </row>
    <row r="2838" spans="1:4">
      <c r="A2838" s="8" t="s">
        <v>407</v>
      </c>
      <c r="B2838" s="5">
        <v>1010405</v>
      </c>
      <c r="C2838" s="5" t="s">
        <v>22</v>
      </c>
      <c r="D2838" s="3">
        <f>VLOOKUP(B2838,Sheet2!$A:$O,14,0)</f>
        <v>9975</v>
      </c>
    </row>
    <row r="2839" spans="1:4">
      <c r="A2839" s="8" t="s">
        <v>407</v>
      </c>
      <c r="B2839" s="5">
        <v>1010501</v>
      </c>
      <c r="C2839" s="5" t="s">
        <v>24</v>
      </c>
      <c r="D2839" s="3">
        <f>VLOOKUP(B2839,Sheet2!$A:$O,14,0)</f>
        <v>980</v>
      </c>
    </row>
    <row r="2840" spans="1:4">
      <c r="A2840" s="8" t="s">
        <v>407</v>
      </c>
      <c r="B2840" s="5">
        <v>1010502</v>
      </c>
      <c r="C2840" s="5" t="s">
        <v>216</v>
      </c>
      <c r="D2840" s="3">
        <f>VLOOKUP(B2840,Sheet2!$A:$O,14,0)</f>
        <v>0</v>
      </c>
    </row>
    <row r="2841" spans="1:4">
      <c r="A2841" s="8" t="s">
        <v>407</v>
      </c>
      <c r="B2841" s="5">
        <v>1010601</v>
      </c>
      <c r="C2841" s="5" t="s">
        <v>26</v>
      </c>
      <c r="D2841" s="3">
        <f>VLOOKUP(B2841,Sheet2!$A:$O,14,0)</f>
        <v>4412</v>
      </c>
    </row>
    <row r="2842" spans="1:4">
      <c r="A2842" s="8" t="s">
        <v>407</v>
      </c>
      <c r="B2842" s="5">
        <v>1010701</v>
      </c>
      <c r="C2842" s="5" t="s">
        <v>28</v>
      </c>
      <c r="D2842" s="3">
        <f>VLOOKUP(B2842,Sheet2!$A:$O,14,0)</f>
        <v>686</v>
      </c>
    </row>
    <row r="2843" spans="1:4">
      <c r="A2843" s="8" t="s">
        <v>407</v>
      </c>
      <c r="B2843" s="5">
        <v>1010801</v>
      </c>
      <c r="C2843" s="5" t="s">
        <v>30</v>
      </c>
      <c r="D2843" s="3">
        <f>VLOOKUP(B2843,Sheet2!$A:$O,14,0)</f>
        <v>9118</v>
      </c>
    </row>
    <row r="2844" spans="1:4">
      <c r="A2844" s="8" t="s">
        <v>407</v>
      </c>
      <c r="B2844" s="5">
        <v>1010901</v>
      </c>
      <c r="C2844" s="5" t="s">
        <v>32</v>
      </c>
      <c r="D2844" s="3">
        <f>VLOOKUP(B2844,Sheet2!$A:$O,14,0)</f>
        <v>4804</v>
      </c>
    </row>
    <row r="2845" spans="1:4">
      <c r="A2845" s="8" t="s">
        <v>407</v>
      </c>
      <c r="B2845" s="5">
        <v>1020101</v>
      </c>
      <c r="C2845" s="5" t="s">
        <v>34</v>
      </c>
      <c r="D2845" s="3">
        <f>VLOOKUP(B2845,Sheet2!$A:$O,14,0)</f>
        <v>17451</v>
      </c>
    </row>
    <row r="2846" spans="1:4">
      <c r="A2846" s="8" t="s">
        <v>407</v>
      </c>
      <c r="B2846" s="5">
        <v>1020201</v>
      </c>
      <c r="C2846" s="5" t="s">
        <v>217</v>
      </c>
      <c r="D2846" s="3">
        <f>VLOOKUP(B2846,Sheet2!$A:$O,14,0)</f>
        <v>5600</v>
      </c>
    </row>
    <row r="2847" spans="1:4">
      <c r="A2847" s="8" t="s">
        <v>407</v>
      </c>
      <c r="B2847" s="5">
        <v>1020301</v>
      </c>
      <c r="C2847" s="5" t="s">
        <v>38</v>
      </c>
      <c r="D2847" s="3">
        <f>VLOOKUP(B2847,Sheet2!$A:$O,14,0)</f>
        <v>2200</v>
      </c>
    </row>
    <row r="2848" spans="1:4">
      <c r="A2848" s="8" t="s">
        <v>407</v>
      </c>
      <c r="B2848" s="5">
        <v>1020401</v>
      </c>
      <c r="C2848" s="5" t="s">
        <v>40</v>
      </c>
      <c r="D2848" s="3">
        <f>VLOOKUP(B2848,Sheet2!$A:$O,14,0)</f>
        <v>3500</v>
      </c>
    </row>
    <row r="2849" spans="1:4">
      <c r="A2849" s="8" t="s">
        <v>407</v>
      </c>
      <c r="B2849" s="5">
        <v>1030102</v>
      </c>
      <c r="C2849" s="5" t="s">
        <v>218</v>
      </c>
      <c r="D2849" s="3">
        <f>VLOOKUP(B2849,Sheet2!$A:$O,14,0)</f>
        <v>0</v>
      </c>
    </row>
    <row r="2850" spans="1:4">
      <c r="A2850" s="8" t="s">
        <v>407</v>
      </c>
      <c r="B2850" s="5">
        <v>1030201</v>
      </c>
      <c r="C2850" s="5" t="s">
        <v>42</v>
      </c>
      <c r="D2850" s="3">
        <f>VLOOKUP(B2850,Sheet2!$A:$O,14,0)</f>
        <v>2843</v>
      </c>
    </row>
    <row r="2851" spans="1:4">
      <c r="A2851" s="8" t="s">
        <v>407</v>
      </c>
      <c r="B2851" s="5">
        <v>1030203</v>
      </c>
      <c r="C2851" s="5" t="s">
        <v>219</v>
      </c>
      <c r="D2851" s="3">
        <f>VLOOKUP(B2851,Sheet2!$A:$O,14,0)</f>
        <v>0</v>
      </c>
    </row>
    <row r="2852" spans="1:4">
      <c r="A2852" s="8" t="s">
        <v>407</v>
      </c>
      <c r="B2852" s="5">
        <v>1030204</v>
      </c>
      <c r="C2852" s="5" t="s">
        <v>220</v>
      </c>
      <c r="D2852" s="3">
        <f>VLOOKUP(B2852,Sheet2!$A:$O,14,0)</f>
        <v>0</v>
      </c>
    </row>
    <row r="2853" spans="1:4">
      <c r="A2853" s="8" t="s">
        <v>407</v>
      </c>
      <c r="B2853" s="5">
        <v>1030205</v>
      </c>
      <c r="C2853" s="5" t="s">
        <v>44</v>
      </c>
      <c r="D2853" s="3">
        <f>VLOOKUP(B2853,Sheet2!$A:$O,14,0)</f>
        <v>5000</v>
      </c>
    </row>
    <row r="2854" spans="1:4">
      <c r="A2854" s="8" t="s">
        <v>407</v>
      </c>
      <c r="B2854" s="5">
        <v>1030206</v>
      </c>
      <c r="C2854" s="5" t="s">
        <v>46</v>
      </c>
      <c r="D2854" s="3">
        <f>VLOOKUP(B2854,Sheet2!$A:$O,14,0)</f>
        <v>6200</v>
      </c>
    </row>
    <row r="2855" spans="1:4">
      <c r="A2855" s="8" t="s">
        <v>407</v>
      </c>
      <c r="B2855" s="5">
        <v>1030207</v>
      </c>
      <c r="C2855" s="5" t="s">
        <v>48</v>
      </c>
      <c r="D2855" s="3">
        <f>VLOOKUP(B2855,Sheet2!$A:$O,14,0)</f>
        <v>4600</v>
      </c>
    </row>
    <row r="2856" spans="1:4">
      <c r="A2856" s="8" t="s">
        <v>407</v>
      </c>
      <c r="B2856" s="5">
        <v>1030501</v>
      </c>
      <c r="C2856" s="5" t="s">
        <v>50</v>
      </c>
      <c r="D2856" s="3">
        <f>VLOOKUP(B2856,Sheet2!$A:$O,14,0)</f>
        <v>1127</v>
      </c>
    </row>
    <row r="2857" spans="1:4">
      <c r="A2857" s="8" t="s">
        <v>407</v>
      </c>
      <c r="B2857" s="5">
        <v>1030601</v>
      </c>
      <c r="C2857" s="5" t="s">
        <v>52</v>
      </c>
      <c r="D2857" s="3">
        <f>VLOOKUP(B2857,Sheet2!$A:$O,14,0)</f>
        <v>3000</v>
      </c>
    </row>
    <row r="2858" spans="1:4">
      <c r="A2858" s="8" t="s">
        <v>407</v>
      </c>
      <c r="B2858" s="5">
        <v>1030701</v>
      </c>
      <c r="C2858" s="5" t="s">
        <v>221</v>
      </c>
      <c r="D2858" s="3">
        <f>VLOOKUP(B2858,Sheet2!$A:$O,14,0)</f>
        <v>3000</v>
      </c>
    </row>
    <row r="2859" spans="1:4">
      <c r="A2859" s="8" t="s">
        <v>407</v>
      </c>
      <c r="B2859" s="5">
        <v>1030705</v>
      </c>
      <c r="C2859" s="5" t="s">
        <v>222</v>
      </c>
      <c r="D2859" s="3">
        <f>VLOOKUP(B2859,Sheet2!$A:$O,14,0)</f>
        <v>0</v>
      </c>
    </row>
    <row r="2860" spans="1:4">
      <c r="A2860" s="8" t="s">
        <v>407</v>
      </c>
      <c r="B2860" s="5">
        <v>1030801</v>
      </c>
      <c r="C2860" s="5" t="s">
        <v>54</v>
      </c>
      <c r="D2860" s="3">
        <f>VLOOKUP(B2860,Sheet2!$A:$O,14,0)</f>
        <v>1176</v>
      </c>
    </row>
    <row r="2861" spans="1:4">
      <c r="A2861" s="8" t="s">
        <v>407</v>
      </c>
      <c r="B2861" s="5">
        <v>1030901</v>
      </c>
      <c r="C2861" s="5" t="s">
        <v>223</v>
      </c>
      <c r="D2861" s="3">
        <f>VLOOKUP(B2861,Sheet2!$A:$O,14,0)</f>
        <v>0</v>
      </c>
    </row>
    <row r="2862" spans="1:4">
      <c r="A2862" s="8" t="s">
        <v>407</v>
      </c>
      <c r="B2862" s="5">
        <v>1040201</v>
      </c>
      <c r="C2862" s="5" t="s">
        <v>56</v>
      </c>
      <c r="D2862" s="3">
        <f>VLOOKUP(B2862,Sheet2!$A:$O,14,0)</f>
        <v>1450</v>
      </c>
    </row>
    <row r="2863" spans="1:4">
      <c r="A2863" s="8" t="s">
        <v>407</v>
      </c>
      <c r="B2863" s="5">
        <v>1040202</v>
      </c>
      <c r="C2863" s="5" t="s">
        <v>224</v>
      </c>
      <c r="D2863" s="3">
        <f>VLOOKUP(B2863,Sheet2!$A:$O,14,0)</f>
        <v>0</v>
      </c>
    </row>
    <row r="2864" spans="1:4">
      <c r="A2864" s="8" t="s">
        <v>407</v>
      </c>
      <c r="B2864" s="5">
        <v>1040203</v>
      </c>
      <c r="C2864" s="5" t="s">
        <v>225</v>
      </c>
      <c r="D2864" s="3">
        <f>VLOOKUP(B2864,Sheet2!$A:$O,14,0)</f>
        <v>0</v>
      </c>
    </row>
    <row r="2865" spans="1:4">
      <c r="A2865" s="8" t="s">
        <v>407</v>
      </c>
      <c r="B2865" s="5">
        <v>1040204</v>
      </c>
      <c r="C2865" s="5" t="s">
        <v>226</v>
      </c>
      <c r="D2865" s="3">
        <f>VLOOKUP(B2865,Sheet2!$A:$O,14,0)</f>
        <v>8583</v>
      </c>
    </row>
    <row r="2866" spans="1:4">
      <c r="A2866" s="8" t="s">
        <v>407</v>
      </c>
      <c r="B2866" s="5">
        <v>1040301</v>
      </c>
      <c r="C2866" s="5" t="s">
        <v>58</v>
      </c>
      <c r="D2866" s="3">
        <f>VLOOKUP(B2866,Sheet2!$A:$O,14,0)</f>
        <v>1650</v>
      </c>
    </row>
    <row r="2867" spans="1:4">
      <c r="A2867" s="8" t="s">
        <v>407</v>
      </c>
      <c r="B2867" s="5">
        <v>1040401</v>
      </c>
      <c r="C2867" s="5" t="s">
        <v>227</v>
      </c>
      <c r="D2867" s="3">
        <f>VLOOKUP(B2867,Sheet2!$A:$O,14,0)</f>
        <v>0</v>
      </c>
    </row>
    <row r="2868" spans="1:4">
      <c r="A2868" s="8" t="s">
        <v>407</v>
      </c>
      <c r="B2868" s="5">
        <v>1050102</v>
      </c>
      <c r="C2868" s="5" t="s">
        <v>60</v>
      </c>
      <c r="D2868" s="3">
        <f>VLOOKUP(B2868,Sheet2!$A:$O,14,0)</f>
        <v>31000</v>
      </c>
    </row>
    <row r="2869" spans="1:4">
      <c r="A2869" s="8" t="s">
        <v>407</v>
      </c>
      <c r="B2869" s="5">
        <v>1050103</v>
      </c>
      <c r="C2869" s="5" t="s">
        <v>228</v>
      </c>
      <c r="D2869" s="3">
        <f>VLOOKUP(B2869,Sheet2!$A:$O,14,0)</f>
        <v>11275</v>
      </c>
    </row>
    <row r="2870" spans="1:4">
      <c r="A2870" s="8" t="s">
        <v>407</v>
      </c>
      <c r="B2870" s="5">
        <v>1050301</v>
      </c>
      <c r="C2870" s="5" t="s">
        <v>62</v>
      </c>
      <c r="D2870" s="3">
        <f>VLOOKUP(B2870,Sheet2!$A:$O,14,0)</f>
        <v>9804</v>
      </c>
    </row>
    <row r="2871" spans="1:4">
      <c r="A2871" s="8" t="s">
        <v>407</v>
      </c>
      <c r="B2871" s="5">
        <v>1050401</v>
      </c>
      <c r="C2871" s="5" t="s">
        <v>64</v>
      </c>
      <c r="D2871" s="3">
        <f>VLOOKUP(B2871,Sheet2!$A:$O,14,0)</f>
        <v>8824</v>
      </c>
    </row>
    <row r="2872" spans="1:4">
      <c r="A2872" s="8" t="s">
        <v>407</v>
      </c>
      <c r="B2872" s="5">
        <v>1050501</v>
      </c>
      <c r="C2872" s="5" t="s">
        <v>66</v>
      </c>
      <c r="D2872" s="3">
        <f>VLOOKUP(B2872,Sheet2!$A:$O,14,0)</f>
        <v>10784</v>
      </c>
    </row>
    <row r="2873" spans="1:4">
      <c r="A2873" s="8" t="s">
        <v>407</v>
      </c>
      <c r="B2873" s="5">
        <v>1050511</v>
      </c>
      <c r="C2873" s="5" t="s">
        <v>68</v>
      </c>
      <c r="D2873" s="3">
        <f>VLOOKUP(B2873,Sheet2!$A:$O,14,0)</f>
        <v>18000</v>
      </c>
    </row>
    <row r="2874" spans="1:4">
      <c r="A2874" s="8" t="s">
        <v>407</v>
      </c>
      <c r="B2874" s="5">
        <v>1050512</v>
      </c>
      <c r="C2874" s="5" t="s">
        <v>229</v>
      </c>
      <c r="D2874" s="3">
        <f>VLOOKUP(B2874,Sheet2!$A:$O,14,0)</f>
        <v>0</v>
      </c>
    </row>
    <row r="2875" spans="1:4">
      <c r="A2875" s="8" t="s">
        <v>407</v>
      </c>
      <c r="B2875" s="5">
        <v>1050521</v>
      </c>
      <c r="C2875" s="5" t="s">
        <v>70</v>
      </c>
      <c r="D2875" s="3">
        <f>VLOOKUP(B2875,Sheet2!$A:$O,14,0)</f>
        <v>14706</v>
      </c>
    </row>
    <row r="2876" spans="1:4">
      <c r="A2876" s="8" t="s">
        <v>407</v>
      </c>
      <c r="B2876" s="5">
        <v>1050531</v>
      </c>
      <c r="C2876" s="5" t="s">
        <v>72</v>
      </c>
      <c r="D2876" s="3">
        <f>VLOOKUP(B2876,Sheet2!$A:$O,14,0)</f>
        <v>21000</v>
      </c>
    </row>
    <row r="2877" spans="1:4">
      <c r="A2877" s="8" t="s">
        <v>407</v>
      </c>
      <c r="B2877" s="5">
        <v>1050541</v>
      </c>
      <c r="C2877" s="5" t="s">
        <v>74</v>
      </c>
      <c r="D2877" s="3">
        <f>VLOOKUP(B2877,Sheet2!$A:$O,14,0)</f>
        <v>11000</v>
      </c>
    </row>
    <row r="2878" spans="1:4">
      <c r="A2878" s="8" t="s">
        <v>407</v>
      </c>
      <c r="B2878" s="5">
        <v>1050551</v>
      </c>
      <c r="C2878" s="5" t="s">
        <v>76</v>
      </c>
      <c r="D2878" s="3">
        <f>VLOOKUP(B2878,Sheet2!$A:$O,14,0)</f>
        <v>54000</v>
      </c>
    </row>
    <row r="2879" spans="1:4">
      <c r="A2879" s="8" t="s">
        <v>407</v>
      </c>
      <c r="B2879" s="5">
        <v>1050561</v>
      </c>
      <c r="C2879" s="5" t="s">
        <v>78</v>
      </c>
      <c r="D2879" s="3">
        <f>VLOOKUP(B2879,Sheet2!$A:$O,14,0)</f>
        <v>77321</v>
      </c>
    </row>
    <row r="2880" spans="1:4">
      <c r="A2880" s="8" t="s">
        <v>407</v>
      </c>
      <c r="B2880" s="5">
        <v>1050571</v>
      </c>
      <c r="C2880" s="5" t="s">
        <v>80</v>
      </c>
      <c r="D2880" s="3">
        <f>VLOOKUP(B2880,Sheet2!$A:$O,14,0)</f>
        <v>58000</v>
      </c>
    </row>
    <row r="2881" spans="1:4">
      <c r="A2881" s="8" t="s">
        <v>407</v>
      </c>
      <c r="B2881" s="5">
        <v>1050581</v>
      </c>
      <c r="C2881" s="5" t="s">
        <v>82</v>
      </c>
      <c r="D2881" s="3">
        <f>VLOOKUP(B2881,Sheet2!$A:$O,14,0)</f>
        <v>57000</v>
      </c>
    </row>
    <row r="2882" spans="1:4">
      <c r="A2882" s="8" t="s">
        <v>407</v>
      </c>
      <c r="B2882" s="5">
        <v>1050591</v>
      </c>
      <c r="C2882" s="5" t="s">
        <v>84</v>
      </c>
      <c r="D2882" s="3">
        <f>VLOOKUP(B2882,Sheet2!$A:$O,14,0)</f>
        <v>97750</v>
      </c>
    </row>
    <row r="2883" spans="1:4">
      <c r="A2883" s="8" t="s">
        <v>407</v>
      </c>
      <c r="B2883" s="5">
        <v>1050601</v>
      </c>
      <c r="C2883" s="5" t="s">
        <v>86</v>
      </c>
      <c r="D2883" s="3">
        <f>VLOOKUP(B2883,Sheet2!$A:$O,14,0)</f>
        <v>5900</v>
      </c>
    </row>
    <row r="2884" spans="1:4">
      <c r="A2884" s="8" t="s">
        <v>407</v>
      </c>
      <c r="B2884" s="5">
        <v>1050701</v>
      </c>
      <c r="C2884" s="5" t="s">
        <v>88</v>
      </c>
      <c r="D2884" s="3">
        <f>VLOOKUP(B2884,Sheet2!$A:$O,14,0)</f>
        <v>6000</v>
      </c>
    </row>
    <row r="2885" spans="1:4">
      <c r="A2885" s="8" t="s">
        <v>407</v>
      </c>
      <c r="B2885" s="5">
        <v>1050702</v>
      </c>
      <c r="C2885" s="5" t="s">
        <v>90</v>
      </c>
      <c r="D2885" s="3">
        <f>VLOOKUP(B2885,Sheet2!$A:$O,14,0)</f>
        <v>6000</v>
      </c>
    </row>
    <row r="2886" spans="1:4">
      <c r="A2886" s="8" t="s">
        <v>407</v>
      </c>
      <c r="B2886" s="5">
        <v>1050711</v>
      </c>
      <c r="C2886" s="5" t="s">
        <v>92</v>
      </c>
      <c r="D2886" s="3">
        <f>VLOOKUP(B2886,Sheet2!$A:$O,14,0)</f>
        <v>2900</v>
      </c>
    </row>
    <row r="2887" spans="1:4">
      <c r="A2887" s="8" t="s">
        <v>407</v>
      </c>
      <c r="B2887" s="5">
        <v>1050721</v>
      </c>
      <c r="C2887" s="5" t="s">
        <v>94</v>
      </c>
      <c r="D2887" s="3">
        <f>VLOOKUP(B2887,Sheet2!$A:$O,14,0)</f>
        <v>14800</v>
      </c>
    </row>
    <row r="2888" spans="1:4">
      <c r="A2888" s="8" t="s">
        <v>407</v>
      </c>
      <c r="B2888" s="5">
        <v>1050801</v>
      </c>
      <c r="C2888" s="5" t="s">
        <v>7</v>
      </c>
      <c r="D2888" s="3">
        <f>VLOOKUP(B2888,Sheet2!$A:$O,14,0)</f>
        <v>927</v>
      </c>
    </row>
    <row r="2889" spans="1:4">
      <c r="A2889" s="8" t="s">
        <v>407</v>
      </c>
      <c r="B2889" s="5">
        <v>1050901</v>
      </c>
      <c r="C2889" s="5" t="s">
        <v>96</v>
      </c>
      <c r="D2889" s="3">
        <f>VLOOKUP(B2889,Sheet2!$A:$O,14,0)</f>
        <v>1218</v>
      </c>
    </row>
    <row r="2890" spans="1:4">
      <c r="A2890" s="8" t="s">
        <v>407</v>
      </c>
      <c r="B2890" s="5">
        <v>1060101</v>
      </c>
      <c r="C2890" s="5" t="s">
        <v>98</v>
      </c>
      <c r="D2890" s="3">
        <f>VLOOKUP(B2890,Sheet2!$A:$O,14,0)</f>
        <v>2200</v>
      </c>
    </row>
    <row r="2891" spans="1:4">
      <c r="A2891" s="8" t="s">
        <v>407</v>
      </c>
      <c r="B2891" s="5">
        <v>1060401</v>
      </c>
      <c r="C2891" s="5" t="s">
        <v>100</v>
      </c>
      <c r="D2891" s="3">
        <f>VLOOKUP(B2891,Sheet2!$A:$O,14,0)</f>
        <v>71000</v>
      </c>
    </row>
    <row r="2892" spans="1:4">
      <c r="A2892" s="8" t="s">
        <v>407</v>
      </c>
      <c r="B2892" s="5">
        <v>1060412</v>
      </c>
      <c r="C2892" s="5" t="s">
        <v>230</v>
      </c>
      <c r="D2892" s="3">
        <f>VLOOKUP(B2892,Sheet2!$A:$O,14,0)</f>
        <v>33000</v>
      </c>
    </row>
    <row r="2893" spans="1:4">
      <c r="A2893" s="8" t="s">
        <v>407</v>
      </c>
      <c r="B2893" s="5">
        <v>1060421</v>
      </c>
      <c r="C2893" s="5" t="s">
        <v>104</v>
      </c>
      <c r="D2893" s="3">
        <f>VLOOKUP(B2893,Sheet2!$A:$O,14,0)</f>
        <v>110000</v>
      </c>
    </row>
    <row r="2894" spans="1:4">
      <c r="A2894" s="8" t="s">
        <v>407</v>
      </c>
      <c r="B2894" s="5">
        <v>1060441</v>
      </c>
      <c r="C2894" s="5" t="s">
        <v>106</v>
      </c>
      <c r="D2894" s="3">
        <f>VLOOKUP(B2894,Sheet2!$A:$O,14,0)</f>
        <v>6471</v>
      </c>
    </row>
    <row r="2895" spans="1:4">
      <c r="A2895" s="8" t="s">
        <v>407</v>
      </c>
      <c r="B2895" s="5">
        <v>1060451</v>
      </c>
      <c r="C2895" s="5" t="s">
        <v>108</v>
      </c>
      <c r="D2895" s="3">
        <f>VLOOKUP(B2895,Sheet2!$A:$O,14,0)</f>
        <v>38235</v>
      </c>
    </row>
    <row r="2896" spans="1:4">
      <c r="A2896" s="8" t="s">
        <v>407</v>
      </c>
      <c r="B2896" s="5">
        <v>1070101</v>
      </c>
      <c r="C2896" s="5" t="s">
        <v>110</v>
      </c>
      <c r="D2896" s="3">
        <f>VLOOKUP(B2896,Sheet2!$A:$O,14,0)</f>
        <v>3820</v>
      </c>
    </row>
    <row r="2897" spans="1:4">
      <c r="A2897" s="8" t="s">
        <v>407</v>
      </c>
      <c r="B2897" s="5">
        <v>1070301</v>
      </c>
      <c r="C2897" s="5" t="s">
        <v>112</v>
      </c>
      <c r="D2897" s="3">
        <f>VLOOKUP(B2897,Sheet2!$A:$O,14,0)</f>
        <v>37000</v>
      </c>
    </row>
    <row r="2898" spans="1:4">
      <c r="A2898" s="8" t="s">
        <v>407</v>
      </c>
      <c r="B2898" s="5">
        <v>1070401</v>
      </c>
      <c r="C2898" s="5" t="s">
        <v>114</v>
      </c>
      <c r="D2898" s="3">
        <f>VLOOKUP(B2898,Sheet2!$A:$O,14,0)</f>
        <v>12000</v>
      </c>
    </row>
    <row r="2899" spans="1:4">
      <c r="A2899" s="8" t="s">
        <v>407</v>
      </c>
      <c r="B2899" s="5">
        <v>1070501</v>
      </c>
      <c r="C2899" s="5" t="s">
        <v>231</v>
      </c>
      <c r="D2899" s="3">
        <f>VLOOKUP(B2899,Sheet2!$A:$O,14,0)</f>
        <v>5500</v>
      </c>
    </row>
    <row r="2900" spans="1:4">
      <c r="A2900" s="8" t="s">
        <v>407</v>
      </c>
      <c r="B2900" s="5">
        <v>1070701</v>
      </c>
      <c r="C2900" s="5" t="s">
        <v>118</v>
      </c>
      <c r="D2900" s="3">
        <f>VLOOKUP(B2900,Sheet2!$A:$O,14,0)</f>
        <v>36000</v>
      </c>
    </row>
    <row r="2901" spans="1:4">
      <c r="A2901" s="8" t="s">
        <v>407</v>
      </c>
      <c r="B2901" s="5">
        <v>1070801</v>
      </c>
      <c r="C2901" s="5" t="s">
        <v>232</v>
      </c>
      <c r="D2901" s="3">
        <f>VLOOKUP(B2901,Sheet2!$A:$O,14,0)</f>
        <v>35000</v>
      </c>
    </row>
    <row r="2902" spans="1:4">
      <c r="A2902" s="8" t="s">
        <v>407</v>
      </c>
      <c r="B2902" s="5">
        <v>1080101</v>
      </c>
      <c r="C2902" s="5" t="s">
        <v>120</v>
      </c>
      <c r="D2902" s="3">
        <f>VLOOKUP(B2902,Sheet2!$A:$O,14,0)</f>
        <v>11000</v>
      </c>
    </row>
    <row r="2903" spans="1:4">
      <c r="A2903" s="8" t="s">
        <v>407</v>
      </c>
      <c r="B2903" s="5">
        <v>1080201</v>
      </c>
      <c r="C2903" s="5" t="s">
        <v>122</v>
      </c>
      <c r="D2903" s="3">
        <f>VLOOKUP(B2903,Sheet2!$A:$O,14,0)</f>
        <v>540</v>
      </c>
    </row>
    <row r="2904" spans="1:4">
      <c r="A2904" s="8" t="s">
        <v>407</v>
      </c>
      <c r="B2904" s="5">
        <v>1080301</v>
      </c>
      <c r="C2904" s="5" t="s">
        <v>124</v>
      </c>
      <c r="D2904" s="3">
        <f>VLOOKUP(B2904,Sheet2!$A:$O,14,0)</f>
        <v>1550</v>
      </c>
    </row>
    <row r="2905" spans="1:4">
      <c r="A2905" s="8" t="s">
        <v>407</v>
      </c>
      <c r="B2905" s="5">
        <v>1080401</v>
      </c>
      <c r="C2905" s="5" t="s">
        <v>233</v>
      </c>
      <c r="D2905" s="3">
        <f>VLOOKUP(B2905,Sheet2!$A:$O,14,0)</f>
        <v>3300</v>
      </c>
    </row>
    <row r="2906" spans="1:4">
      <c r="A2906" s="8" t="s">
        <v>407</v>
      </c>
      <c r="B2906" s="5">
        <v>1080411</v>
      </c>
      <c r="C2906" s="5" t="s">
        <v>128</v>
      </c>
      <c r="D2906" s="3">
        <f>VLOOKUP(B2906,Sheet2!$A:$O,14,0)</f>
        <v>3300</v>
      </c>
    </row>
    <row r="2907" spans="1:4">
      <c r="A2907" s="8" t="s">
        <v>407</v>
      </c>
      <c r="B2907" s="5">
        <v>1080501</v>
      </c>
      <c r="C2907" s="5" t="s">
        <v>130</v>
      </c>
      <c r="D2907" s="3">
        <f>VLOOKUP(B2907,Sheet2!$A:$O,14,0)</f>
        <v>3800</v>
      </c>
    </row>
    <row r="2908" spans="1:4">
      <c r="A2908" s="8" t="s">
        <v>407</v>
      </c>
      <c r="B2908" s="5">
        <v>1080602</v>
      </c>
      <c r="C2908" s="5" t="s">
        <v>234</v>
      </c>
      <c r="D2908" s="3">
        <f>VLOOKUP(B2908,Sheet2!$A:$O,14,0)</f>
        <v>38600</v>
      </c>
    </row>
    <row r="2909" spans="1:4">
      <c r="A2909" s="8" t="s">
        <v>407</v>
      </c>
      <c r="B2909" s="5">
        <v>1080604</v>
      </c>
      <c r="C2909" s="5" t="s">
        <v>235</v>
      </c>
      <c r="D2909" s="3">
        <f>VLOOKUP(B2909,Sheet2!$A:$O,14,0)</f>
        <v>0</v>
      </c>
    </row>
    <row r="2910" spans="1:4">
      <c r="A2910" s="8" t="s">
        <v>407</v>
      </c>
      <c r="B2910" s="5">
        <v>1080702</v>
      </c>
      <c r="C2910" s="5" t="s">
        <v>236</v>
      </c>
      <c r="D2910" s="3">
        <f>VLOOKUP(B2910,Sheet2!$A:$O,14,0)</f>
        <v>43500</v>
      </c>
    </row>
    <row r="2911" spans="1:4">
      <c r="A2911" s="8" t="s">
        <v>407</v>
      </c>
      <c r="B2911" s="5">
        <v>1080704</v>
      </c>
      <c r="C2911" s="5" t="s">
        <v>237</v>
      </c>
      <c r="D2911" s="3">
        <f>VLOOKUP(B2911,Sheet2!$A:$O,14,0)</f>
        <v>0</v>
      </c>
    </row>
    <row r="2912" spans="1:4">
      <c r="A2912" s="8" t="s">
        <v>407</v>
      </c>
      <c r="B2912" s="5">
        <v>1090104</v>
      </c>
      <c r="C2912" s="5" t="s">
        <v>136</v>
      </c>
      <c r="D2912" s="3">
        <f>VLOOKUP(B2912,Sheet2!$A:$O,14,0)</f>
        <v>40000</v>
      </c>
    </row>
    <row r="2913" spans="1:4">
      <c r="A2913" s="8" t="s">
        <v>407</v>
      </c>
      <c r="B2913" s="5">
        <v>1090112</v>
      </c>
      <c r="C2913" s="5" t="s">
        <v>138</v>
      </c>
      <c r="D2913" s="3">
        <f>VLOOKUP(B2913,Sheet2!$A:$O,14,0)</f>
        <v>35000</v>
      </c>
    </row>
    <row r="2914" spans="1:4">
      <c r="A2914" s="8" t="s">
        <v>407</v>
      </c>
      <c r="B2914" s="5">
        <v>1090201</v>
      </c>
      <c r="C2914" s="5" t="s">
        <v>140</v>
      </c>
      <c r="D2914" s="3">
        <f>VLOOKUP(B2914,Sheet2!$A:$O,14,0)</f>
        <v>15800</v>
      </c>
    </row>
    <row r="2915" spans="1:4">
      <c r="A2915" s="8" t="s">
        <v>407</v>
      </c>
      <c r="B2915" s="5">
        <v>1090202</v>
      </c>
      <c r="C2915" s="5" t="s">
        <v>142</v>
      </c>
      <c r="D2915" s="3">
        <f>VLOOKUP(B2915,Sheet2!$A:$O,14,0)</f>
        <v>98000</v>
      </c>
    </row>
    <row r="2916" spans="1:4">
      <c r="A2916" s="8" t="s">
        <v>407</v>
      </c>
      <c r="B2916" s="5">
        <v>1090203</v>
      </c>
      <c r="C2916" s="5" t="s">
        <v>144</v>
      </c>
      <c r="D2916" s="3">
        <f>VLOOKUP(B2916,Sheet2!$A:$O,14,0)</f>
        <v>23000</v>
      </c>
    </row>
    <row r="2917" spans="1:4">
      <c r="A2917" s="8" t="s">
        <v>407</v>
      </c>
      <c r="B2917" s="5">
        <v>1090211</v>
      </c>
      <c r="C2917" s="5" t="s">
        <v>146</v>
      </c>
      <c r="D2917" s="3">
        <f>VLOOKUP(B2917,Sheet2!$A:$O,14,0)</f>
        <v>64706</v>
      </c>
    </row>
    <row r="2918" spans="1:4">
      <c r="A2918" s="8" t="s">
        <v>407</v>
      </c>
      <c r="B2918" s="5">
        <v>1090301</v>
      </c>
      <c r="C2918" s="5" t="s">
        <v>238</v>
      </c>
      <c r="D2918" s="3">
        <f>VLOOKUP(B2918,Sheet2!$A:$O,14,0)</f>
        <v>32000</v>
      </c>
    </row>
    <row r="2919" spans="1:4">
      <c r="A2919" s="8" t="s">
        <v>407</v>
      </c>
      <c r="B2919" s="5">
        <v>1090311</v>
      </c>
      <c r="C2919" s="5" t="s">
        <v>150</v>
      </c>
      <c r="D2919" s="3">
        <f>VLOOKUP(B2919,Sheet2!$A:$O,14,0)</f>
        <v>37000</v>
      </c>
    </row>
    <row r="2920" spans="1:4">
      <c r="A2920" s="8" t="s">
        <v>407</v>
      </c>
      <c r="B2920" s="5">
        <v>1090321</v>
      </c>
      <c r="C2920" s="5" t="s">
        <v>152</v>
      </c>
      <c r="D2920" s="3">
        <f>VLOOKUP(B2920,Sheet2!$A:$O,14,0)</f>
        <v>66000</v>
      </c>
    </row>
    <row r="2921" spans="1:4">
      <c r="A2921" s="8" t="s">
        <v>407</v>
      </c>
      <c r="B2921" s="5">
        <v>1090401</v>
      </c>
      <c r="C2921" s="5" t="s">
        <v>154</v>
      </c>
      <c r="D2921" s="3">
        <f>VLOOKUP(B2921,Sheet2!$A:$O,14,0)</f>
        <v>8800</v>
      </c>
    </row>
    <row r="2922" spans="1:4">
      <c r="A2922" s="8" t="s">
        <v>407</v>
      </c>
      <c r="B2922" s="5">
        <v>1090411</v>
      </c>
      <c r="C2922" s="5" t="s">
        <v>156</v>
      </c>
      <c r="D2922" s="3">
        <f>VLOOKUP(B2922,Sheet2!$A:$O,14,0)</f>
        <v>45000</v>
      </c>
    </row>
    <row r="2923" spans="1:4">
      <c r="A2923" s="8" t="s">
        <v>407</v>
      </c>
      <c r="B2923" s="5">
        <v>1090421</v>
      </c>
      <c r="C2923" s="5" t="s">
        <v>158</v>
      </c>
      <c r="D2923" s="3">
        <f>VLOOKUP(B2923,Sheet2!$A:$O,14,0)</f>
        <v>36000</v>
      </c>
    </row>
    <row r="2924" spans="1:4">
      <c r="A2924" s="8" t="s">
        <v>407</v>
      </c>
      <c r="B2924" s="5">
        <v>1090551</v>
      </c>
      <c r="C2924" s="5" t="s">
        <v>239</v>
      </c>
      <c r="D2924" s="3">
        <f>VLOOKUP(B2924,Sheet2!$A:$O,14,0)</f>
        <v>4900</v>
      </c>
    </row>
    <row r="2925" spans="1:4">
      <c r="A2925" s="8" t="s">
        <v>407</v>
      </c>
      <c r="B2925" s="5">
        <v>1090602</v>
      </c>
      <c r="C2925" s="5" t="s">
        <v>162</v>
      </c>
      <c r="D2925" s="3">
        <f>VLOOKUP(B2925,Sheet2!$A:$O,14,0)</f>
        <v>5130</v>
      </c>
    </row>
    <row r="2926" spans="1:4">
      <c r="A2926" s="8" t="s">
        <v>407</v>
      </c>
      <c r="B2926" s="5">
        <v>1090611</v>
      </c>
      <c r="C2926" s="5" t="s">
        <v>164</v>
      </c>
      <c r="D2926" s="3">
        <f>VLOOKUP(B2926,Sheet2!$A:$O,14,0)</f>
        <v>4300</v>
      </c>
    </row>
    <row r="2927" spans="1:4">
      <c r="A2927" s="8" t="s">
        <v>407</v>
      </c>
      <c r="B2927" s="5">
        <v>1090701</v>
      </c>
      <c r="C2927" s="5" t="s">
        <v>166</v>
      </c>
      <c r="D2927" s="3">
        <f>VLOOKUP(B2927,Sheet2!$A:$O,14,0)</f>
        <v>21000</v>
      </c>
    </row>
    <row r="2928" spans="1:4">
      <c r="A2928" s="8" t="s">
        <v>407</v>
      </c>
      <c r="B2928" s="5">
        <v>1090901</v>
      </c>
      <c r="C2928" s="5" t="s">
        <v>168</v>
      </c>
      <c r="D2928" s="3">
        <f>VLOOKUP(B2928,Sheet2!$A:$O,14,0)</f>
        <v>4300</v>
      </c>
    </row>
    <row r="2929" spans="1:4">
      <c r="A2929" s="8" t="s">
        <v>407</v>
      </c>
      <c r="B2929" s="5">
        <v>1091001</v>
      </c>
      <c r="C2929" s="5" t="s">
        <v>170</v>
      </c>
      <c r="D2929" s="3">
        <f>VLOOKUP(B2929,Sheet2!$A:$O,14,0)</f>
        <v>7000</v>
      </c>
    </row>
    <row r="2930" spans="1:4">
      <c r="A2930" s="8" t="s">
        <v>407</v>
      </c>
      <c r="B2930" s="5">
        <v>1091002</v>
      </c>
      <c r="C2930" s="5" t="s">
        <v>172</v>
      </c>
      <c r="D2930" s="3">
        <f>VLOOKUP(B2930,Sheet2!$A:$O,14,0)</f>
        <v>6304</v>
      </c>
    </row>
    <row r="2931" spans="1:4">
      <c r="A2931" s="8" t="s">
        <v>407</v>
      </c>
      <c r="B2931" s="5">
        <v>1091003</v>
      </c>
      <c r="C2931" s="5" t="s">
        <v>174</v>
      </c>
      <c r="D2931" s="3">
        <f>VLOOKUP(B2931,Sheet2!$A:$O,14,0)</f>
        <v>9915</v>
      </c>
    </row>
    <row r="2932" spans="1:4">
      <c r="A2932" s="8" t="s">
        <v>407</v>
      </c>
      <c r="B2932" s="5">
        <v>1091004</v>
      </c>
      <c r="C2932" s="5" t="s">
        <v>240</v>
      </c>
      <c r="D2932" s="3">
        <f>VLOOKUP(B2932,Sheet2!$A:$O,14,0)</f>
        <v>0</v>
      </c>
    </row>
    <row r="2933" spans="1:4">
      <c r="A2933" s="8" t="s">
        <v>407</v>
      </c>
      <c r="B2933" s="5">
        <v>1091005</v>
      </c>
      <c r="C2933" s="5" t="s">
        <v>241</v>
      </c>
      <c r="D2933" s="3">
        <f>VLOOKUP(B2933,Sheet2!$A:$O,14,0)</f>
        <v>0</v>
      </c>
    </row>
    <row r="2934" spans="1:4">
      <c r="A2934" s="8" t="s">
        <v>407</v>
      </c>
      <c r="B2934" s="5">
        <v>1091006</v>
      </c>
      <c r="C2934" s="5" t="s">
        <v>242</v>
      </c>
      <c r="D2934" s="3">
        <f>VLOOKUP(B2934,Sheet2!$A:$O,14,0)</f>
        <v>0</v>
      </c>
    </row>
    <row r="2935" spans="1:4">
      <c r="A2935" s="8" t="s">
        <v>407</v>
      </c>
      <c r="B2935" s="5">
        <v>1091007</v>
      </c>
      <c r="C2935" s="5" t="s">
        <v>243</v>
      </c>
      <c r="D2935" s="3">
        <f>VLOOKUP(B2935,Sheet2!$A:$O,14,0)</f>
        <v>2640</v>
      </c>
    </row>
    <row r="2936" spans="1:4">
      <c r="A2936" s="8" t="s">
        <v>407</v>
      </c>
      <c r="B2936" s="5">
        <v>1091008</v>
      </c>
      <c r="C2936" s="5" t="s">
        <v>176</v>
      </c>
      <c r="D2936" s="3">
        <f>VLOOKUP(B2936,Sheet2!$A:$O,14,0)</f>
        <v>450000</v>
      </c>
    </row>
    <row r="2937" spans="1:4">
      <c r="A2937" s="8" t="s">
        <v>407</v>
      </c>
      <c r="B2937" s="5">
        <v>1091009</v>
      </c>
      <c r="C2937" s="5" t="s">
        <v>178</v>
      </c>
      <c r="D2937" s="3">
        <f>VLOOKUP(B2937,Sheet2!$A:$O,14,0)</f>
        <v>190000</v>
      </c>
    </row>
    <row r="2938" spans="1:4">
      <c r="A2938" s="8" t="s">
        <v>407</v>
      </c>
      <c r="B2938" s="5">
        <v>1091010</v>
      </c>
      <c r="C2938" s="5" t="s">
        <v>180</v>
      </c>
      <c r="D2938" s="3">
        <f>VLOOKUP(B2938,Sheet2!$A:$O,14,0)</f>
        <v>27000</v>
      </c>
    </row>
    <row r="2939" spans="1:4">
      <c r="A2939" s="8" t="s">
        <v>407</v>
      </c>
      <c r="B2939" s="5">
        <v>1091011</v>
      </c>
      <c r="C2939" s="5" t="s">
        <v>182</v>
      </c>
      <c r="D2939" s="3">
        <f>VLOOKUP(B2939,Sheet2!$A:$O,14,0)</f>
        <v>33000</v>
      </c>
    </row>
    <row r="2940" spans="1:4">
      <c r="A2940" s="8" t="s">
        <v>407</v>
      </c>
      <c r="B2940" s="5">
        <v>1091012</v>
      </c>
      <c r="C2940" s="5" t="s">
        <v>184</v>
      </c>
      <c r="D2940" s="3">
        <f>VLOOKUP(B2940,Sheet2!$A:$O,14,0)</f>
        <v>47000</v>
      </c>
    </row>
    <row r="2941" spans="1:4">
      <c r="A2941" s="8" t="s">
        <v>407</v>
      </c>
      <c r="B2941" s="5">
        <v>1091013</v>
      </c>
      <c r="C2941" s="5" t="s">
        <v>186</v>
      </c>
      <c r="D2941" s="3">
        <f>VLOOKUP(B2941,Sheet2!$A:$O,14,0)</f>
        <v>33000</v>
      </c>
    </row>
    <row r="2942" spans="1:4">
      <c r="A2942" s="8" t="s">
        <v>407</v>
      </c>
      <c r="B2942" s="5">
        <v>1091014</v>
      </c>
      <c r="C2942" s="5" t="s">
        <v>244</v>
      </c>
      <c r="D2942" s="3">
        <f>VLOOKUP(B2942,Sheet2!$A:$O,14,0)</f>
        <v>6961</v>
      </c>
    </row>
    <row r="2943" spans="1:4">
      <c r="A2943" s="8" t="s">
        <v>407</v>
      </c>
      <c r="B2943" s="5">
        <v>1091015</v>
      </c>
      <c r="C2943" s="5" t="s">
        <v>245</v>
      </c>
      <c r="D2943" s="3">
        <f>VLOOKUP(B2943,Sheet2!$A:$O,14,0)</f>
        <v>25490</v>
      </c>
    </row>
    <row r="2944" spans="1:4">
      <c r="A2944" s="8" t="s">
        <v>407</v>
      </c>
      <c r="B2944" s="5">
        <v>1091016</v>
      </c>
      <c r="C2944" s="5" t="s">
        <v>246</v>
      </c>
      <c r="D2944" s="3">
        <f>VLOOKUP(B2944,Sheet2!$A:$O,14,0)</f>
        <v>50187</v>
      </c>
    </row>
    <row r="2945" spans="1:4">
      <c r="A2945" s="8" t="s">
        <v>407</v>
      </c>
      <c r="B2945" s="5">
        <v>1091017</v>
      </c>
      <c r="C2945" s="5" t="s">
        <v>247</v>
      </c>
      <c r="D2945" s="3">
        <f>VLOOKUP(B2945,Sheet2!$A:$O,14,0)</f>
        <v>74833</v>
      </c>
    </row>
    <row r="2946" spans="1:4">
      <c r="A2946" s="8" t="s">
        <v>407</v>
      </c>
      <c r="B2946" s="5">
        <v>1091018</v>
      </c>
      <c r="C2946" s="5" t="s">
        <v>248</v>
      </c>
      <c r="D2946" s="3">
        <f>VLOOKUP(B2946,Sheet2!$A:$O,14,0)</f>
        <v>33031</v>
      </c>
    </row>
    <row r="2947" spans="1:4">
      <c r="A2947" s="8" t="s">
        <v>407</v>
      </c>
      <c r="B2947" s="5">
        <v>1091019</v>
      </c>
      <c r="C2947" s="5" t="s">
        <v>249</v>
      </c>
      <c r="D2947" s="3">
        <f>VLOOKUP(B2947,Sheet2!$A:$O,14,0)</f>
        <v>53387</v>
      </c>
    </row>
    <row r="2948" spans="1:4">
      <c r="A2948" s="8" t="s">
        <v>407</v>
      </c>
      <c r="B2948" s="5">
        <v>1091020</v>
      </c>
      <c r="C2948" s="5" t="s">
        <v>250</v>
      </c>
      <c r="D2948" s="3">
        <f>VLOOKUP(B2948,Sheet2!$A:$O,14,0)</f>
        <v>100500</v>
      </c>
    </row>
    <row r="2949" spans="1:4">
      <c r="A2949" s="8" t="s">
        <v>407</v>
      </c>
      <c r="B2949" s="5">
        <v>1091021</v>
      </c>
      <c r="C2949" s="5" t="s">
        <v>251</v>
      </c>
      <c r="D2949" s="3">
        <f>VLOOKUP(B2949,Sheet2!$A:$O,14,0)</f>
        <v>50600</v>
      </c>
    </row>
    <row r="2950" spans="1:4">
      <c r="A2950" s="8" t="s">
        <v>407</v>
      </c>
      <c r="B2950" s="5">
        <v>1091022</v>
      </c>
      <c r="C2950" s="5" t="s">
        <v>252</v>
      </c>
      <c r="D2950" s="3">
        <f>VLOOKUP(B2950,Sheet2!$A:$O,14,0)</f>
        <v>3235</v>
      </c>
    </row>
    <row r="2951" spans="1:4">
      <c r="A2951" s="8" t="s">
        <v>407</v>
      </c>
      <c r="B2951" s="5">
        <v>1091023</v>
      </c>
      <c r="C2951" s="5" t="s">
        <v>253</v>
      </c>
      <c r="D2951" s="3">
        <f>VLOOKUP(B2951,Sheet2!$A:$O,14,0)</f>
        <v>4412</v>
      </c>
    </row>
    <row r="2952" spans="1:4">
      <c r="A2952" s="8" t="s">
        <v>407</v>
      </c>
      <c r="B2952" s="5">
        <v>1091024</v>
      </c>
      <c r="C2952" s="5" t="s">
        <v>254</v>
      </c>
      <c r="D2952" s="3">
        <f>VLOOKUP(B2952,Sheet2!$A:$O,14,0)</f>
        <v>3922</v>
      </c>
    </row>
    <row r="2953" spans="1:4">
      <c r="A2953" s="8" t="s">
        <v>407</v>
      </c>
      <c r="B2953" s="5">
        <v>1091025</v>
      </c>
      <c r="C2953" s="5" t="s">
        <v>255</v>
      </c>
      <c r="D2953" s="3">
        <f>VLOOKUP(B2953,Sheet2!$A:$O,14,0)</f>
        <v>6275</v>
      </c>
    </row>
    <row r="2954" spans="1:4">
      <c r="A2954" s="8" t="s">
        <v>407</v>
      </c>
      <c r="B2954" s="5">
        <v>1091026</v>
      </c>
      <c r="C2954" s="5" t="s">
        <v>256</v>
      </c>
      <c r="D2954" s="3">
        <f>VLOOKUP(B2954,Sheet2!$A:$O,14,0)</f>
        <v>30686</v>
      </c>
    </row>
    <row r="2955" spans="1:4">
      <c r="A2955" s="8" t="s">
        <v>407</v>
      </c>
      <c r="B2955" s="5">
        <v>1600101</v>
      </c>
      <c r="C2955" s="5" t="s">
        <v>188</v>
      </c>
      <c r="D2955" s="3">
        <f>VLOOKUP(B2955,Sheet2!$A:$O,14,0)</f>
        <v>2835</v>
      </c>
    </row>
    <row r="2956" spans="1:4">
      <c r="A2956" s="8" t="s">
        <v>407</v>
      </c>
      <c r="B2956" s="5">
        <v>1600102</v>
      </c>
      <c r="C2956" s="5" t="s">
        <v>257</v>
      </c>
      <c r="D2956" s="3">
        <f>VLOOKUP(B2956,Sheet2!$A:$O,14,0)</f>
        <v>36275</v>
      </c>
    </row>
    <row r="2957" spans="1:4">
      <c r="A2957" s="8" t="s">
        <v>407</v>
      </c>
      <c r="B2957" s="5">
        <v>1600103</v>
      </c>
      <c r="C2957" s="5" t="s">
        <v>258</v>
      </c>
      <c r="D2957" s="3">
        <f>VLOOKUP(B2957,Sheet2!$A:$O,14,0)</f>
        <v>19800</v>
      </c>
    </row>
    <row r="2958" spans="1:4">
      <c r="A2958" s="8" t="s">
        <v>407</v>
      </c>
      <c r="B2958" s="5">
        <v>1600104</v>
      </c>
      <c r="C2958" s="5" t="s">
        <v>259</v>
      </c>
      <c r="D2958" s="3">
        <f>VLOOKUP(B2958,Sheet2!$A:$O,14,0)</f>
        <v>73810</v>
      </c>
    </row>
    <row r="2959" spans="1:4">
      <c r="A2959" s="8" t="s">
        <v>407</v>
      </c>
      <c r="B2959" s="5">
        <v>1600105</v>
      </c>
      <c r="C2959" s="5" t="s">
        <v>260</v>
      </c>
      <c r="D2959" s="3">
        <f>VLOOKUP(B2959,Sheet2!$A:$O,14,0)</f>
        <v>83950</v>
      </c>
    </row>
    <row r="2960" spans="1:4">
      <c r="A2960" s="8" t="s">
        <v>407</v>
      </c>
      <c r="B2960" s="5">
        <v>1600106</v>
      </c>
      <c r="C2960" s="5" t="s">
        <v>261</v>
      </c>
      <c r="D2960" s="3">
        <f>VLOOKUP(B2960,Sheet2!$A:$O,14,0)</f>
        <v>108071</v>
      </c>
    </row>
    <row r="2961" spans="1:4">
      <c r="A2961" s="8" t="s">
        <v>407</v>
      </c>
      <c r="B2961" s="5">
        <v>1600107</v>
      </c>
      <c r="C2961" s="5" t="s">
        <v>262</v>
      </c>
      <c r="D2961" s="3">
        <f>VLOOKUP(B2961,Sheet2!$A:$O,14,0)</f>
        <v>86601</v>
      </c>
    </row>
    <row r="2962" spans="1:4">
      <c r="A2962" s="8" t="s">
        <v>407</v>
      </c>
      <c r="B2962" s="5">
        <v>1600108</v>
      </c>
      <c r="C2962" s="5" t="s">
        <v>263</v>
      </c>
      <c r="D2962" s="3">
        <f>VLOOKUP(B2962,Sheet2!$A:$O,14,0)</f>
        <v>73810</v>
      </c>
    </row>
    <row r="2963" spans="1:4">
      <c r="A2963" s="8" t="s">
        <v>407</v>
      </c>
      <c r="B2963" s="5">
        <v>1600109</v>
      </c>
      <c r="C2963" s="5" t="s">
        <v>264</v>
      </c>
      <c r="D2963" s="3">
        <f>VLOOKUP(B2963,Sheet2!$A:$O,14,0)</f>
        <v>5882</v>
      </c>
    </row>
    <row r="2964" spans="1:4">
      <c r="A2964" s="8" t="s">
        <v>407</v>
      </c>
      <c r="B2964" s="5">
        <v>1600110</v>
      </c>
      <c r="C2964" s="5" t="s">
        <v>265</v>
      </c>
      <c r="D2964" s="3">
        <f>VLOOKUP(B2964,Sheet2!$A:$O,14,0)</f>
        <v>7917</v>
      </c>
    </row>
    <row r="2965" spans="1:4">
      <c r="A2965" s="8" t="s">
        <v>407</v>
      </c>
      <c r="B2965" s="5">
        <v>1600111</v>
      </c>
      <c r="C2965" s="5" t="s">
        <v>266</v>
      </c>
      <c r="D2965" s="3">
        <f>VLOOKUP(B2965,Sheet2!$A:$O,14,0)</f>
        <v>2266</v>
      </c>
    </row>
    <row r="2966" spans="1:4">
      <c r="A2966" s="8" t="s">
        <v>407</v>
      </c>
      <c r="B2966" s="5">
        <v>1600112</v>
      </c>
      <c r="C2966" s="5" t="s">
        <v>190</v>
      </c>
      <c r="D2966" s="3">
        <f>VLOOKUP(B2966,Sheet2!$A:$O,14,0)</f>
        <v>4800</v>
      </c>
    </row>
    <row r="2967" spans="1:4">
      <c r="A2967" s="8" t="s">
        <v>407</v>
      </c>
      <c r="B2967" s="5">
        <v>1600113</v>
      </c>
      <c r="C2967" s="5" t="s">
        <v>267</v>
      </c>
      <c r="D2967" s="3">
        <f>VLOOKUP(B2967,Sheet2!$A:$O,14,0)</f>
        <v>0</v>
      </c>
    </row>
    <row r="2968" spans="1:4">
      <c r="A2968" s="8" t="s">
        <v>407</v>
      </c>
      <c r="B2968" s="5">
        <v>1600114</v>
      </c>
      <c r="C2968" s="5" t="s">
        <v>268</v>
      </c>
      <c r="D2968" s="3">
        <f>VLOOKUP(B2968,Sheet2!$A:$O,14,0)</f>
        <v>13333</v>
      </c>
    </row>
    <row r="2969" spans="1:4">
      <c r="A2969" s="8" t="s">
        <v>407</v>
      </c>
      <c r="B2969" s="5">
        <v>1700001</v>
      </c>
      <c r="C2969" s="5" t="s">
        <v>269</v>
      </c>
      <c r="D2969" s="3">
        <f>VLOOKUP(B2969,Sheet2!$A:$O,14,0)</f>
        <v>4468</v>
      </c>
    </row>
    <row r="2970" spans="1:4">
      <c r="A2970" s="8" t="s">
        <v>407</v>
      </c>
      <c r="B2970" s="5">
        <v>1700002</v>
      </c>
      <c r="C2970" s="5" t="s">
        <v>270</v>
      </c>
      <c r="D2970" s="3">
        <f>VLOOKUP(B2970,Sheet2!$A:$O,14,0)</f>
        <v>3726</v>
      </c>
    </row>
    <row r="2971" spans="1:4">
      <c r="A2971" s="8" t="s">
        <v>407</v>
      </c>
      <c r="B2971" s="5">
        <v>1700003</v>
      </c>
      <c r="C2971" s="5" t="s">
        <v>271</v>
      </c>
      <c r="D2971" s="3">
        <f>VLOOKUP(B2971,Sheet2!$A:$O,14,0)</f>
        <v>4902</v>
      </c>
    </row>
    <row r="2972" spans="1:4">
      <c r="A2972" s="8" t="s">
        <v>407</v>
      </c>
      <c r="B2972" s="5">
        <v>1700004</v>
      </c>
      <c r="C2972" s="5" t="s">
        <v>272</v>
      </c>
      <c r="D2972" s="3">
        <f>VLOOKUP(B2972,Sheet2!$A:$O,14,0)</f>
        <v>15784</v>
      </c>
    </row>
    <row r="2973" spans="1:4">
      <c r="A2973" s="8" t="s">
        <v>407</v>
      </c>
      <c r="B2973" s="5">
        <v>1700005</v>
      </c>
      <c r="C2973" s="5" t="s">
        <v>192</v>
      </c>
      <c r="D2973" s="3">
        <f>VLOOKUP(B2973,Sheet2!$A:$O,14,0)</f>
        <v>1765</v>
      </c>
    </row>
    <row r="2974" spans="1:4">
      <c r="A2974" s="8" t="s">
        <v>407</v>
      </c>
      <c r="B2974" s="5">
        <v>1700006</v>
      </c>
      <c r="C2974" s="5" t="s">
        <v>273</v>
      </c>
      <c r="D2974" s="3">
        <f>VLOOKUP(B2974,Sheet2!$A:$O,14,0)</f>
        <v>6676</v>
      </c>
    </row>
    <row r="2975" spans="1:4">
      <c r="A2975" s="8" t="s">
        <v>407</v>
      </c>
      <c r="B2975" s="5">
        <v>1700007</v>
      </c>
      <c r="C2975" s="5" t="s">
        <v>274</v>
      </c>
      <c r="D2975" s="3">
        <f>VLOOKUP(B2975,Sheet2!$A:$O,14,0)</f>
        <v>0</v>
      </c>
    </row>
    <row r="2976" spans="1:4">
      <c r="A2976" s="8" t="s">
        <v>407</v>
      </c>
      <c r="B2976" s="5">
        <v>1700008</v>
      </c>
      <c r="C2976" s="5" t="s">
        <v>275</v>
      </c>
      <c r="D2976" s="3">
        <f>VLOOKUP(B2976,Sheet2!$A:$O,14,0)</f>
        <v>0</v>
      </c>
    </row>
    <row r="2977" spans="1:4">
      <c r="A2977" s="8" t="s">
        <v>407</v>
      </c>
      <c r="B2977" s="5">
        <v>1700009</v>
      </c>
      <c r="C2977" s="5" t="s">
        <v>276</v>
      </c>
      <c r="D2977" s="3">
        <f>VLOOKUP(B2977,Sheet2!$A:$O,14,0)</f>
        <v>0</v>
      </c>
    </row>
    <row r="2978" spans="1:4">
      <c r="A2978" s="8" t="s">
        <v>407</v>
      </c>
      <c r="B2978" s="5">
        <v>1700010</v>
      </c>
      <c r="C2978" s="5" t="s">
        <v>277</v>
      </c>
      <c r="D2978" s="3">
        <f>VLOOKUP(B2978,Sheet2!$A:$O,14,0)</f>
        <v>3990</v>
      </c>
    </row>
    <row r="2979" spans="1:4">
      <c r="A2979" s="8" t="s">
        <v>407</v>
      </c>
      <c r="B2979" s="5">
        <v>1700011</v>
      </c>
      <c r="C2979" s="5" t="s">
        <v>278</v>
      </c>
      <c r="D2979" s="3">
        <f>VLOOKUP(B2979,Sheet2!$A:$O,14,0)</f>
        <v>12745</v>
      </c>
    </row>
    <row r="2980" spans="1:4">
      <c r="A2980" s="8" t="s">
        <v>407</v>
      </c>
      <c r="B2980" s="5">
        <v>1700012</v>
      </c>
      <c r="C2980" s="5" t="s">
        <v>279</v>
      </c>
      <c r="D2980" s="3">
        <f>VLOOKUP(B2980,Sheet2!$A:$O,14,0)</f>
        <v>15980</v>
      </c>
    </row>
    <row r="2981" spans="1:4">
      <c r="A2981" s="8" t="s">
        <v>407</v>
      </c>
      <c r="B2981" s="5">
        <v>1700013</v>
      </c>
      <c r="C2981" s="5" t="s">
        <v>280</v>
      </c>
      <c r="D2981" s="3">
        <f>VLOOKUP(B2981,Sheet2!$A:$O,14,0)</f>
        <v>18137</v>
      </c>
    </row>
    <row r="2982" spans="1:4">
      <c r="A2982" s="8" t="s">
        <v>407</v>
      </c>
      <c r="B2982" s="5">
        <v>1700014</v>
      </c>
      <c r="C2982" s="5" t="s">
        <v>194</v>
      </c>
      <c r="D2982" s="3">
        <f>VLOOKUP(B2982,Sheet2!$A:$O,14,0)</f>
        <v>2255</v>
      </c>
    </row>
    <row r="2983" spans="1:4">
      <c r="A2983" s="8" t="s">
        <v>407</v>
      </c>
      <c r="B2983" s="5">
        <v>1700015</v>
      </c>
      <c r="C2983" s="5" t="s">
        <v>281</v>
      </c>
      <c r="D2983" s="3">
        <f>VLOOKUP(B2983,Sheet2!$A:$O,14,0)</f>
        <v>5160</v>
      </c>
    </row>
    <row r="2984" spans="1:4">
      <c r="A2984" s="8" t="s">
        <v>407</v>
      </c>
      <c r="B2984" s="5">
        <v>1700016</v>
      </c>
      <c r="C2984" s="5" t="s">
        <v>282</v>
      </c>
      <c r="D2984" s="3">
        <f>VLOOKUP(B2984,Sheet2!$A:$O,14,0)</f>
        <v>3617</v>
      </c>
    </row>
    <row r="2985" spans="1:4">
      <c r="A2985" s="8" t="s">
        <v>407</v>
      </c>
      <c r="B2985" s="5">
        <v>1700017</v>
      </c>
      <c r="C2985" s="5" t="s">
        <v>283</v>
      </c>
      <c r="D2985" s="3">
        <f>VLOOKUP(B2985,Sheet2!$A:$O,14,0)</f>
        <v>10784</v>
      </c>
    </row>
    <row r="2986" spans="1:4">
      <c r="A2986" s="8" t="s">
        <v>407</v>
      </c>
      <c r="B2986" s="5">
        <v>1700018</v>
      </c>
      <c r="C2986" s="5" t="s">
        <v>284</v>
      </c>
      <c r="D2986" s="3">
        <f>VLOOKUP(B2986,Sheet2!$A:$O,14,0)</f>
        <v>4367</v>
      </c>
    </row>
    <row r="2987" spans="1:4">
      <c r="A2987" s="8" t="s">
        <v>407</v>
      </c>
      <c r="B2987" s="5">
        <v>1700019</v>
      </c>
      <c r="C2987" s="5" t="s">
        <v>285</v>
      </c>
      <c r="D2987" s="3">
        <f>VLOOKUP(B2987,Sheet2!$A:$O,14,0)</f>
        <v>0</v>
      </c>
    </row>
    <row r="2988" spans="1:4">
      <c r="A2988" s="8" t="s">
        <v>407</v>
      </c>
      <c r="B2988" s="5">
        <v>1700020</v>
      </c>
      <c r="C2988" s="5" t="s">
        <v>286</v>
      </c>
      <c r="D2988" s="3">
        <f>VLOOKUP(B2988,Sheet2!$A:$O,14,0)</f>
        <v>49412</v>
      </c>
    </row>
    <row r="2989" spans="1:4">
      <c r="A2989" s="8" t="s">
        <v>407</v>
      </c>
      <c r="B2989" s="5">
        <v>1700021</v>
      </c>
      <c r="C2989" s="5" t="s">
        <v>287</v>
      </c>
      <c r="D2989" s="3">
        <f>VLOOKUP(B2989,Sheet2!$A:$O,14,0)</f>
        <v>84736</v>
      </c>
    </row>
    <row r="2990" spans="1:4">
      <c r="A2990" s="8" t="s">
        <v>407</v>
      </c>
      <c r="B2990" s="5">
        <v>1700022</v>
      </c>
      <c r="C2990" s="5" t="s">
        <v>288</v>
      </c>
      <c r="D2990" s="3">
        <f>VLOOKUP(B2990,Sheet2!$A:$O,14,0)</f>
        <v>33706</v>
      </c>
    </row>
    <row r="2991" spans="1:4">
      <c r="A2991" s="8" t="s">
        <v>407</v>
      </c>
      <c r="B2991" s="5">
        <v>1700023</v>
      </c>
      <c r="C2991" s="5" t="s">
        <v>289</v>
      </c>
      <c r="D2991" s="3">
        <f>VLOOKUP(B2991,Sheet2!$A:$O,14,0)</f>
        <v>9809</v>
      </c>
    </row>
    <row r="2992" spans="1:4">
      <c r="A2992" s="8" t="s">
        <v>407</v>
      </c>
      <c r="B2992" s="5">
        <v>1700024</v>
      </c>
      <c r="C2992" s="5" t="s">
        <v>290</v>
      </c>
      <c r="D2992" s="3">
        <f>VLOOKUP(B2992,Sheet2!$A:$O,14,0)</f>
        <v>0</v>
      </c>
    </row>
    <row r="2993" spans="1:4">
      <c r="A2993" s="8" t="s">
        <v>407</v>
      </c>
      <c r="B2993" s="5">
        <v>1700025</v>
      </c>
      <c r="C2993" s="5" t="s">
        <v>291</v>
      </c>
      <c r="D2993" s="3">
        <f>VLOOKUP(B2993,Sheet2!$A:$O,14,0)</f>
        <v>1961</v>
      </c>
    </row>
    <row r="2994" spans="1:4">
      <c r="A2994" s="8" t="s">
        <v>407</v>
      </c>
      <c r="B2994" s="5">
        <v>1700026</v>
      </c>
      <c r="C2994" s="5" t="s">
        <v>292</v>
      </c>
      <c r="D2994" s="3">
        <f>VLOOKUP(B2994,Sheet2!$A:$O,14,0)</f>
        <v>3725</v>
      </c>
    </row>
    <row r="2995" spans="1:4">
      <c r="A2995" s="8" t="s">
        <v>407</v>
      </c>
      <c r="B2995" s="5">
        <v>1700027</v>
      </c>
      <c r="C2995" s="5" t="s">
        <v>293</v>
      </c>
      <c r="D2995" s="3">
        <f>VLOOKUP(B2995,Sheet2!$A:$O,14,0)</f>
        <v>4412</v>
      </c>
    </row>
    <row r="2996" spans="1:4">
      <c r="A2996" s="8" t="s">
        <v>407</v>
      </c>
      <c r="B2996" s="5">
        <v>1700028</v>
      </c>
      <c r="C2996" s="5" t="s">
        <v>294</v>
      </c>
      <c r="D2996" s="3">
        <f>VLOOKUP(B2996,Sheet2!$A:$O,14,0)</f>
        <v>9500</v>
      </c>
    </row>
    <row r="2997" spans="1:4">
      <c r="A2997" s="8" t="s">
        <v>407</v>
      </c>
      <c r="B2997" s="5">
        <v>1700029</v>
      </c>
      <c r="C2997" s="5" t="s">
        <v>295</v>
      </c>
      <c r="D2997" s="3">
        <f>VLOOKUP(B2997,Sheet2!$A:$O,14,0)</f>
        <v>10670</v>
      </c>
    </row>
    <row r="2998" spans="1:4">
      <c r="A2998" s="8" t="s">
        <v>407</v>
      </c>
      <c r="B2998" s="5">
        <v>1700030</v>
      </c>
      <c r="C2998" s="5" t="s">
        <v>296</v>
      </c>
      <c r="D2998" s="3">
        <f>VLOOKUP(B2998,Sheet2!$A:$O,14,0)</f>
        <v>12720</v>
      </c>
    </row>
    <row r="2999" spans="1:4">
      <c r="A2999" s="8" t="s">
        <v>407</v>
      </c>
      <c r="B2999" s="5">
        <v>1700031</v>
      </c>
      <c r="C2999" s="5" t="s">
        <v>196</v>
      </c>
      <c r="D2999" s="3">
        <f>VLOOKUP(B2999,Sheet2!$A:$O,14,0)</f>
        <v>2069</v>
      </c>
    </row>
    <row r="3000" spans="1:4">
      <c r="A3000" s="8" t="s">
        <v>407</v>
      </c>
      <c r="B3000" s="5">
        <v>1700032</v>
      </c>
      <c r="C3000" s="5" t="s">
        <v>297</v>
      </c>
      <c r="D3000" s="3">
        <f>VLOOKUP(B3000,Sheet2!$A:$O,14,0)</f>
        <v>0</v>
      </c>
    </row>
    <row r="3001" spans="1:4">
      <c r="A3001" s="8" t="s">
        <v>407</v>
      </c>
      <c r="B3001" s="5">
        <v>1700033</v>
      </c>
      <c r="C3001" s="5" t="s">
        <v>298</v>
      </c>
      <c r="D3001" s="3">
        <f>VLOOKUP(B3001,Sheet2!$A:$O,14,0)</f>
        <v>0</v>
      </c>
    </row>
    <row r="3002" spans="1:4">
      <c r="A3002" s="8" t="s">
        <v>407</v>
      </c>
      <c r="B3002" s="5">
        <v>1700034</v>
      </c>
      <c r="C3002" s="5" t="s">
        <v>299</v>
      </c>
      <c r="D3002" s="3">
        <f>VLOOKUP(B3002,Sheet2!$A:$O,14,0)</f>
        <v>17475</v>
      </c>
    </row>
    <row r="3003" spans="1:4">
      <c r="A3003" s="8" t="s">
        <v>407</v>
      </c>
      <c r="B3003" s="5">
        <v>1700035</v>
      </c>
      <c r="C3003" s="5" t="s">
        <v>300</v>
      </c>
      <c r="D3003" s="3">
        <f>VLOOKUP(B3003,Sheet2!$A:$O,14,0)</f>
        <v>34000</v>
      </c>
    </row>
    <row r="3004" spans="1:4">
      <c r="A3004" s="8" t="s">
        <v>407</v>
      </c>
      <c r="B3004" s="5">
        <v>1700036</v>
      </c>
      <c r="C3004" s="5" t="s">
        <v>301</v>
      </c>
      <c r="D3004" s="3">
        <f>VLOOKUP(B3004,Sheet2!$A:$O,14,0)</f>
        <v>5200</v>
      </c>
    </row>
    <row r="3005" spans="1:4">
      <c r="A3005" s="8" t="s">
        <v>407</v>
      </c>
      <c r="B3005" s="5">
        <v>1700037</v>
      </c>
      <c r="C3005" s="5" t="s">
        <v>302</v>
      </c>
      <c r="D3005" s="3">
        <f>VLOOKUP(B3005,Sheet2!$A:$O,14,0)</f>
        <v>7533</v>
      </c>
    </row>
    <row r="3006" spans="1:4">
      <c r="A3006" s="8" t="s">
        <v>407</v>
      </c>
      <c r="B3006" s="5">
        <v>1700038</v>
      </c>
      <c r="C3006" s="5" t="s">
        <v>303</v>
      </c>
      <c r="D3006" s="3">
        <f>VLOOKUP(B3006,Sheet2!$A:$O,14,0)</f>
        <v>2108</v>
      </c>
    </row>
    <row r="3007" spans="1:4">
      <c r="A3007" s="8" t="s">
        <v>407</v>
      </c>
      <c r="B3007" s="5">
        <v>1700039</v>
      </c>
      <c r="C3007" s="5" t="s">
        <v>304</v>
      </c>
      <c r="D3007" s="3">
        <f>VLOOKUP(B3007,Sheet2!$A:$O,14,0)</f>
        <v>3480</v>
      </c>
    </row>
    <row r="3008" spans="1:4">
      <c r="A3008" s="8" t="s">
        <v>407</v>
      </c>
      <c r="B3008" s="5">
        <v>1700040</v>
      </c>
      <c r="C3008" s="5" t="s">
        <v>305</v>
      </c>
      <c r="D3008" s="3">
        <f>VLOOKUP(B3008,Sheet2!$A:$O,14,0)</f>
        <v>1967</v>
      </c>
    </row>
    <row r="3009" spans="1:4">
      <c r="A3009" s="8" t="s">
        <v>407</v>
      </c>
      <c r="B3009" s="5">
        <v>1700041</v>
      </c>
      <c r="C3009" s="5" t="s">
        <v>306</v>
      </c>
      <c r="D3009" s="3">
        <f>VLOOKUP(B3009,Sheet2!$A:$O,14,0)</f>
        <v>3000</v>
      </c>
    </row>
    <row r="3010" spans="1:4">
      <c r="A3010" s="8" t="s">
        <v>407</v>
      </c>
      <c r="B3010" s="5">
        <v>1700042</v>
      </c>
      <c r="C3010" s="5" t="s">
        <v>307</v>
      </c>
      <c r="D3010" s="3">
        <f>VLOOKUP(B3010,Sheet2!$A:$O,14,0)</f>
        <v>3163</v>
      </c>
    </row>
    <row r="3011" spans="1:4">
      <c r="A3011" s="8" t="s">
        <v>407</v>
      </c>
      <c r="B3011" s="5">
        <v>1700043</v>
      </c>
      <c r="C3011" s="5" t="s">
        <v>308</v>
      </c>
      <c r="D3011" s="3">
        <f>VLOOKUP(B3011,Sheet2!$A:$O,14,0)</f>
        <v>5877</v>
      </c>
    </row>
    <row r="3012" spans="1:4">
      <c r="A3012" s="8" t="s">
        <v>407</v>
      </c>
      <c r="B3012" s="5">
        <v>1700044</v>
      </c>
      <c r="C3012" s="5" t="s">
        <v>309</v>
      </c>
      <c r="D3012" s="3">
        <f>VLOOKUP(B3012,Sheet2!$A:$O,14,0)</f>
        <v>7000</v>
      </c>
    </row>
    <row r="3013" spans="1:4">
      <c r="A3013" s="8" t="s">
        <v>407</v>
      </c>
      <c r="B3013" s="5">
        <v>1700045</v>
      </c>
      <c r="C3013" s="5" t="s">
        <v>310</v>
      </c>
      <c r="D3013" s="3">
        <f>VLOOKUP(B3013,Sheet2!$A:$O,14,0)</f>
        <v>3814</v>
      </c>
    </row>
    <row r="3014" spans="1:4">
      <c r="A3014" s="8" t="s">
        <v>407</v>
      </c>
      <c r="B3014" s="5">
        <v>1700046</v>
      </c>
      <c r="C3014" s="5" t="s">
        <v>311</v>
      </c>
      <c r="D3014" s="3">
        <f>VLOOKUP(B3014,Sheet2!$A:$O,14,0)</f>
        <v>6863</v>
      </c>
    </row>
    <row r="3015" spans="1:4">
      <c r="A3015" s="8" t="s">
        <v>407</v>
      </c>
      <c r="B3015" s="5">
        <v>1700047</v>
      </c>
      <c r="C3015" s="5" t="s">
        <v>312</v>
      </c>
      <c r="D3015" s="3">
        <f>VLOOKUP(B3015,Sheet2!$A:$O,14,0)</f>
        <v>22350</v>
      </c>
    </row>
    <row r="3016" spans="1:4">
      <c r="A3016" s="8" t="s">
        <v>407</v>
      </c>
      <c r="B3016" s="5">
        <v>1700048</v>
      </c>
      <c r="C3016" s="5" t="s">
        <v>313</v>
      </c>
      <c r="D3016" s="3">
        <f>VLOOKUP(B3016,Sheet2!$A:$O,14,0)</f>
        <v>13330</v>
      </c>
    </row>
    <row r="3017" spans="1:4">
      <c r="A3017" s="8" t="s">
        <v>407</v>
      </c>
      <c r="B3017" s="5">
        <v>1700049</v>
      </c>
      <c r="C3017" s="5" t="s">
        <v>314</v>
      </c>
      <c r="D3017" s="3">
        <f>VLOOKUP(B3017,Sheet2!$A:$O,14,0)</f>
        <v>5785</v>
      </c>
    </row>
    <row r="3018" spans="1:4">
      <c r="A3018" s="8" t="s">
        <v>407</v>
      </c>
      <c r="B3018" s="5">
        <v>1700050</v>
      </c>
      <c r="C3018" s="5" t="s">
        <v>315</v>
      </c>
      <c r="D3018" s="3">
        <f>VLOOKUP(B3018,Sheet2!$A:$O,14,0)</f>
        <v>39000</v>
      </c>
    </row>
    <row r="3019" spans="1:4">
      <c r="A3019" s="8" t="s">
        <v>407</v>
      </c>
      <c r="B3019" s="5">
        <v>1700051</v>
      </c>
      <c r="C3019" s="5" t="s">
        <v>316</v>
      </c>
      <c r="D3019" s="3">
        <f>VLOOKUP(B3019,Sheet2!$A:$O,14,0)</f>
        <v>11500</v>
      </c>
    </row>
    <row r="3020" spans="1:4">
      <c r="A3020" s="8" t="s">
        <v>407</v>
      </c>
      <c r="B3020" s="5">
        <v>1700052</v>
      </c>
      <c r="C3020" s="5" t="s">
        <v>317</v>
      </c>
      <c r="D3020" s="3">
        <f>VLOOKUP(B3020,Sheet2!$A:$O,14,0)</f>
        <v>3444</v>
      </c>
    </row>
    <row r="3021" spans="1:4">
      <c r="A3021" s="8" t="s">
        <v>407</v>
      </c>
      <c r="B3021" s="5">
        <v>1700053</v>
      </c>
      <c r="C3021" s="5" t="s">
        <v>318</v>
      </c>
      <c r="D3021" s="3">
        <f>VLOOKUP(B3021,Sheet2!$A:$O,14,0)</f>
        <v>15530</v>
      </c>
    </row>
    <row r="3022" spans="1:4">
      <c r="A3022" s="8" t="s">
        <v>407</v>
      </c>
      <c r="B3022" s="5">
        <v>1700054</v>
      </c>
      <c r="C3022" s="5" t="s">
        <v>319</v>
      </c>
      <c r="D3022" s="3">
        <f>VLOOKUP(B3022,Sheet2!$A:$O,14,0)</f>
        <v>11670</v>
      </c>
    </row>
    <row r="3023" spans="1:4">
      <c r="A3023" s="8" t="s">
        <v>407</v>
      </c>
      <c r="B3023" s="5">
        <v>1700055</v>
      </c>
      <c r="C3023" s="5" t="s">
        <v>320</v>
      </c>
      <c r="D3023" s="3">
        <f>VLOOKUP(B3023,Sheet2!$A:$O,14,0)</f>
        <v>11940</v>
      </c>
    </row>
    <row r="3024" spans="1:4">
      <c r="A3024" s="8" t="s">
        <v>407</v>
      </c>
      <c r="B3024" s="5">
        <v>1700056</v>
      </c>
      <c r="C3024" s="5" t="s">
        <v>321</v>
      </c>
      <c r="D3024" s="3">
        <f>VLOOKUP(B3024,Sheet2!$A:$O,14,0)</f>
        <v>7001</v>
      </c>
    </row>
    <row r="3025" spans="1:4">
      <c r="A3025" s="8" t="s">
        <v>407</v>
      </c>
      <c r="B3025" s="5">
        <v>1700057</v>
      </c>
      <c r="C3025" s="5" t="s">
        <v>322</v>
      </c>
      <c r="D3025" s="3">
        <f>VLOOKUP(B3025,Sheet2!$A:$O,14,0)</f>
        <v>2098</v>
      </c>
    </row>
    <row r="3026" spans="1:4">
      <c r="A3026" s="8" t="s">
        <v>407</v>
      </c>
      <c r="B3026" s="5">
        <v>1700058</v>
      </c>
      <c r="C3026" s="5" t="s">
        <v>323</v>
      </c>
      <c r="D3026" s="3">
        <f>VLOOKUP(B3026,Sheet2!$A:$O,14,0)</f>
        <v>5800</v>
      </c>
    </row>
    <row r="3027" spans="1:4">
      <c r="A3027" s="8" t="s">
        <v>407</v>
      </c>
      <c r="B3027" s="5">
        <v>1700059</v>
      </c>
      <c r="C3027" s="5" t="s">
        <v>324</v>
      </c>
      <c r="D3027" s="3">
        <f>VLOOKUP(B3027,Sheet2!$A:$O,14,0)</f>
        <v>27667</v>
      </c>
    </row>
    <row r="3028" spans="1:4">
      <c r="A3028" s="8" t="s">
        <v>407</v>
      </c>
      <c r="B3028" s="5">
        <v>1700060</v>
      </c>
      <c r="C3028" s="5" t="s">
        <v>325</v>
      </c>
      <c r="D3028" s="3">
        <f>VLOOKUP(B3028,Sheet2!$A:$O,14,0)</f>
        <v>5471</v>
      </c>
    </row>
    <row r="3029" spans="1:4">
      <c r="A3029" s="8" t="s">
        <v>407</v>
      </c>
      <c r="B3029" s="5">
        <v>1700061</v>
      </c>
      <c r="C3029" s="5" t="s">
        <v>326</v>
      </c>
      <c r="D3029" s="3">
        <f>VLOOKUP(B3029,Sheet2!$A:$O,14,0)</f>
        <v>8920</v>
      </c>
    </row>
    <row r="3030" spans="1:4">
      <c r="A3030" s="8" t="s">
        <v>407</v>
      </c>
      <c r="B3030" s="5">
        <v>1700062</v>
      </c>
      <c r="C3030" s="5" t="s">
        <v>327</v>
      </c>
      <c r="D3030" s="3">
        <f>VLOOKUP(B3030,Sheet2!$A:$O,14,0)</f>
        <v>10520</v>
      </c>
    </row>
    <row r="3031" spans="1:4">
      <c r="A3031" s="8" t="s">
        <v>407</v>
      </c>
      <c r="B3031" s="5">
        <v>1700063</v>
      </c>
      <c r="C3031" s="5" t="s">
        <v>328</v>
      </c>
      <c r="D3031" s="3">
        <f>VLOOKUP(B3031,Sheet2!$A:$O,14,0)</f>
        <v>10550</v>
      </c>
    </row>
    <row r="3032" spans="1:4">
      <c r="A3032" s="8" t="s">
        <v>407</v>
      </c>
      <c r="B3032" s="5">
        <v>1700064</v>
      </c>
      <c r="C3032" s="5" t="s">
        <v>329</v>
      </c>
      <c r="D3032" s="3">
        <f>VLOOKUP(B3032,Sheet2!$A:$O,14,0)</f>
        <v>11060</v>
      </c>
    </row>
    <row r="3033" spans="1:4">
      <c r="A3033" s="8" t="s">
        <v>407</v>
      </c>
      <c r="B3033" s="5">
        <v>1700065</v>
      </c>
      <c r="C3033" s="5" t="s">
        <v>330</v>
      </c>
      <c r="D3033" s="3">
        <f>VLOOKUP(B3033,Sheet2!$A:$O,14,0)</f>
        <v>12760</v>
      </c>
    </row>
    <row r="3034" spans="1:4">
      <c r="A3034" s="8" t="s">
        <v>407</v>
      </c>
      <c r="B3034" s="5">
        <v>1700066</v>
      </c>
      <c r="C3034" s="5" t="s">
        <v>331</v>
      </c>
      <c r="D3034" s="3">
        <f>VLOOKUP(B3034,Sheet2!$A:$O,14,0)</f>
        <v>13200</v>
      </c>
    </row>
    <row r="3035" spans="1:4">
      <c r="A3035" s="8" t="s">
        <v>407</v>
      </c>
      <c r="B3035" s="5">
        <v>1700067</v>
      </c>
      <c r="C3035" s="5" t="s">
        <v>332</v>
      </c>
      <c r="D3035" s="3">
        <f>VLOOKUP(B3035,Sheet2!$A:$O,14,0)</f>
        <v>10720</v>
      </c>
    </row>
    <row r="3036" spans="1:4">
      <c r="A3036" s="8" t="s">
        <v>407</v>
      </c>
      <c r="B3036" s="5">
        <v>1700068</v>
      </c>
      <c r="C3036" s="5" t="s">
        <v>333</v>
      </c>
      <c r="D3036" s="3">
        <f>VLOOKUP(B3036,Sheet2!$A:$O,14,0)</f>
        <v>12720</v>
      </c>
    </row>
    <row r="3037" spans="1:4">
      <c r="A3037" s="8" t="s">
        <v>407</v>
      </c>
      <c r="B3037" s="5">
        <v>1700069</v>
      </c>
      <c r="C3037" s="5" t="s">
        <v>334</v>
      </c>
      <c r="D3037" s="3">
        <f>VLOOKUP(B3037,Sheet2!$A:$O,14,0)</f>
        <v>14000</v>
      </c>
    </row>
    <row r="3038" spans="1:4">
      <c r="A3038" s="8" t="s">
        <v>407</v>
      </c>
      <c r="B3038" s="5">
        <v>1700070</v>
      </c>
      <c r="C3038" s="5" t="s">
        <v>335</v>
      </c>
      <c r="D3038" s="3">
        <f>VLOOKUP(B3038,Sheet2!$A:$O,14,0)</f>
        <v>1618</v>
      </c>
    </row>
    <row r="3039" spans="1:4">
      <c r="A3039" s="8" t="s">
        <v>407</v>
      </c>
      <c r="B3039" s="5">
        <v>1700071</v>
      </c>
      <c r="C3039" s="5" t="s">
        <v>336</v>
      </c>
      <c r="D3039" s="3">
        <f>VLOOKUP(B3039,Sheet2!$A:$O,14,0)</f>
        <v>12190</v>
      </c>
    </row>
    <row r="3040" spans="1:4">
      <c r="A3040" s="8" t="s">
        <v>407</v>
      </c>
      <c r="B3040" s="5">
        <v>1700072</v>
      </c>
      <c r="C3040" s="5" t="s">
        <v>337</v>
      </c>
      <c r="D3040" s="3">
        <f>VLOOKUP(B3040,Sheet2!$A:$O,14,0)</f>
        <v>10180</v>
      </c>
    </row>
    <row r="3041" spans="1:4">
      <c r="A3041" s="8" t="s">
        <v>407</v>
      </c>
      <c r="B3041" s="5">
        <v>1700073</v>
      </c>
      <c r="C3041" s="5" t="s">
        <v>338</v>
      </c>
      <c r="D3041" s="3">
        <f>VLOOKUP(B3041,Sheet2!$A:$O,14,0)</f>
        <v>9020</v>
      </c>
    </row>
    <row r="3042" spans="1:4">
      <c r="A3042" s="8" t="s">
        <v>407</v>
      </c>
      <c r="B3042" s="5">
        <v>1700076</v>
      </c>
      <c r="C3042" s="5" t="s">
        <v>339</v>
      </c>
      <c r="D3042" s="3">
        <f>VLOOKUP(B3042,Sheet2!$A:$O,14,0)</f>
        <v>3279</v>
      </c>
    </row>
    <row r="3043" spans="1:4">
      <c r="A3043" s="8" t="s">
        <v>407</v>
      </c>
      <c r="B3043" s="5">
        <v>1700077</v>
      </c>
      <c r="C3043" s="5" t="s">
        <v>340</v>
      </c>
      <c r="D3043" s="3">
        <f>VLOOKUP(B3043,Sheet2!$A:$O,14,0)</f>
        <v>3098</v>
      </c>
    </row>
    <row r="3044" spans="1:4">
      <c r="A3044" s="8" t="s">
        <v>407</v>
      </c>
      <c r="B3044" s="5">
        <v>1700078</v>
      </c>
      <c r="C3044" s="5" t="s">
        <v>341</v>
      </c>
      <c r="D3044" s="3">
        <f>VLOOKUP(B3044,Sheet2!$A:$O,14,0)</f>
        <v>4716</v>
      </c>
    </row>
    <row r="3045" spans="1:4">
      <c r="A3045" s="8" t="s">
        <v>407</v>
      </c>
      <c r="B3045" s="5">
        <v>1700080</v>
      </c>
      <c r="C3045" s="5" t="s">
        <v>342</v>
      </c>
      <c r="D3045" s="3">
        <f>VLOOKUP(B3045,Sheet2!$A:$O,14,0)</f>
        <v>3529</v>
      </c>
    </row>
    <row r="3046" spans="1:4">
      <c r="A3046" s="8" t="s">
        <v>407</v>
      </c>
      <c r="B3046" s="5">
        <v>1700083</v>
      </c>
      <c r="C3046" s="5" t="s">
        <v>343</v>
      </c>
      <c r="D3046" s="3">
        <f>VLOOKUP(B3046,Sheet2!$A:$O,14,0)</f>
        <v>8333</v>
      </c>
    </row>
    <row r="3047" spans="1:4">
      <c r="A3047" s="8" t="s">
        <v>407</v>
      </c>
      <c r="B3047" s="5">
        <v>1700084</v>
      </c>
      <c r="C3047" s="5" t="s">
        <v>344</v>
      </c>
      <c r="D3047" s="3">
        <f>VLOOKUP(B3047,Sheet2!$A:$O,14,0)</f>
        <v>12010</v>
      </c>
    </row>
    <row r="3048" spans="1:4">
      <c r="A3048" s="8" t="s">
        <v>407</v>
      </c>
      <c r="B3048" s="5">
        <v>1700085</v>
      </c>
      <c r="C3048" s="5" t="s">
        <v>345</v>
      </c>
      <c r="D3048" s="3">
        <f>VLOOKUP(B3048,Sheet2!$A:$O,14,0)</f>
        <v>7860</v>
      </c>
    </row>
    <row r="3049" spans="1:4">
      <c r="A3049" s="8" t="s">
        <v>407</v>
      </c>
      <c r="B3049" s="5">
        <v>1700086</v>
      </c>
      <c r="C3049" s="5" t="s">
        <v>346</v>
      </c>
      <c r="D3049" s="3">
        <f>VLOOKUP(B3049,Sheet2!$A:$O,14,0)</f>
        <v>1814</v>
      </c>
    </row>
    <row r="3050" spans="1:4">
      <c r="A3050" s="8" t="s">
        <v>407</v>
      </c>
      <c r="B3050" s="5">
        <v>1700087</v>
      </c>
      <c r="C3050" s="5" t="s">
        <v>347</v>
      </c>
      <c r="D3050" s="3">
        <f>VLOOKUP(B3050,Sheet2!$A:$O,14,0)</f>
        <v>4890</v>
      </c>
    </row>
    <row r="3051" spans="1:4">
      <c r="A3051" s="8" t="s">
        <v>407</v>
      </c>
      <c r="B3051" s="5">
        <v>1700088</v>
      </c>
      <c r="C3051" s="5" t="s">
        <v>348</v>
      </c>
      <c r="D3051" s="3">
        <f>VLOOKUP(B3051,Sheet2!$A:$O,14,0)</f>
        <v>15500</v>
      </c>
    </row>
    <row r="3052" spans="1:4">
      <c r="A3052" s="8" t="s">
        <v>407</v>
      </c>
      <c r="B3052" s="5">
        <v>1700089</v>
      </c>
      <c r="C3052" s="5" t="s">
        <v>349</v>
      </c>
      <c r="D3052" s="3">
        <f>VLOOKUP(B3052,Sheet2!$A:$O,14,0)</f>
        <v>18500</v>
      </c>
    </row>
    <row r="3053" spans="1:4">
      <c r="A3053" s="8" t="s">
        <v>407</v>
      </c>
      <c r="B3053" s="5">
        <v>1700090</v>
      </c>
      <c r="C3053" s="5" t="s">
        <v>350</v>
      </c>
      <c r="D3053" s="3">
        <f>VLOOKUP(B3053,Sheet2!$A:$O,14,0)</f>
        <v>25490</v>
      </c>
    </row>
    <row r="3054" spans="1:4">
      <c r="A3054" s="8" t="s">
        <v>407</v>
      </c>
      <c r="B3054" s="5">
        <v>1700091</v>
      </c>
      <c r="C3054" s="5" t="s">
        <v>351</v>
      </c>
      <c r="D3054" s="3">
        <f>VLOOKUP(B3054,Sheet2!$A:$O,14,0)</f>
        <v>18353</v>
      </c>
    </row>
    <row r="3055" spans="1:4">
      <c r="A3055" s="8" t="s">
        <v>407</v>
      </c>
      <c r="B3055" s="5">
        <v>1700092</v>
      </c>
      <c r="C3055" s="5" t="s">
        <v>352</v>
      </c>
      <c r="D3055" s="3">
        <f>VLOOKUP(B3055,Sheet2!$A:$O,14,0)</f>
        <v>1784</v>
      </c>
    </row>
    <row r="3056" spans="1:4">
      <c r="A3056" s="8" t="s">
        <v>407</v>
      </c>
      <c r="B3056" s="5">
        <v>1700093</v>
      </c>
      <c r="C3056" s="5" t="s">
        <v>353</v>
      </c>
      <c r="D3056" s="3">
        <f>VLOOKUP(B3056,Sheet2!$A:$O,14,0)</f>
        <v>11180</v>
      </c>
    </row>
    <row r="3057" spans="1:4">
      <c r="A3057" s="8" t="s">
        <v>407</v>
      </c>
      <c r="B3057" s="5">
        <v>1700094</v>
      </c>
      <c r="C3057" s="5" t="s">
        <v>354</v>
      </c>
      <c r="D3057" s="3">
        <f>VLOOKUP(B3057,Sheet2!$A:$O,14,0)</f>
        <v>13529</v>
      </c>
    </row>
    <row r="3058" spans="1:4">
      <c r="A3058" s="8" t="s">
        <v>407</v>
      </c>
      <c r="B3058" s="5">
        <v>1700095</v>
      </c>
      <c r="C3058" s="5" t="s">
        <v>355</v>
      </c>
      <c r="D3058" s="3">
        <f>VLOOKUP(B3058,Sheet2!$A:$O,14,0)</f>
        <v>4500</v>
      </c>
    </row>
    <row r="3059" spans="1:4">
      <c r="A3059" s="8" t="s">
        <v>407</v>
      </c>
      <c r="B3059" s="5">
        <v>1700096</v>
      </c>
      <c r="C3059" s="5" t="s">
        <v>356</v>
      </c>
      <c r="D3059" s="3">
        <f>VLOOKUP(B3059,Sheet2!$A:$O,14,0)</f>
        <v>24510</v>
      </c>
    </row>
    <row r="3060" spans="1:4">
      <c r="A3060" s="8" t="s">
        <v>407</v>
      </c>
      <c r="B3060" s="5">
        <v>1700097</v>
      </c>
      <c r="C3060" s="5" t="s">
        <v>357</v>
      </c>
      <c r="D3060" s="3">
        <f>VLOOKUP(B3060,Sheet2!$A:$O,14,0)</f>
        <v>19608</v>
      </c>
    </row>
    <row r="3061" spans="1:4">
      <c r="A3061" s="8" t="s">
        <v>407</v>
      </c>
      <c r="B3061" s="5">
        <v>1700098</v>
      </c>
      <c r="C3061" s="5" t="s">
        <v>358</v>
      </c>
      <c r="D3061" s="3">
        <f>VLOOKUP(B3061,Sheet2!$A:$O,14,0)</f>
        <v>19608</v>
      </c>
    </row>
    <row r="3062" spans="1:4">
      <c r="A3062" s="8" t="s">
        <v>407</v>
      </c>
      <c r="B3062" s="5">
        <v>1700099</v>
      </c>
      <c r="C3062" s="5" t="s">
        <v>359</v>
      </c>
      <c r="D3062" s="3">
        <f>VLOOKUP(B3062,Sheet2!$A:$O,14,0)</f>
        <v>9000</v>
      </c>
    </row>
    <row r="3063" spans="1:4">
      <c r="A3063" s="8" t="s">
        <v>407</v>
      </c>
      <c r="B3063" s="5">
        <v>1700100</v>
      </c>
      <c r="C3063" s="5" t="s">
        <v>360</v>
      </c>
      <c r="D3063" s="3">
        <f>VLOOKUP(B3063,Sheet2!$A:$O,14,0)</f>
        <v>3333</v>
      </c>
    </row>
    <row r="3064" spans="1:4">
      <c r="A3064" s="8" t="s">
        <v>407</v>
      </c>
      <c r="B3064" s="5">
        <v>1700101</v>
      </c>
      <c r="C3064" s="5" t="s">
        <v>361</v>
      </c>
      <c r="D3064" s="3">
        <f>VLOOKUP(B3064,Sheet2!$A:$O,14,0)</f>
        <v>7647</v>
      </c>
    </row>
    <row r="3065" spans="1:4">
      <c r="A3065" s="8" t="s">
        <v>407</v>
      </c>
      <c r="B3065" s="5">
        <v>1700102</v>
      </c>
      <c r="C3065" s="5" t="s">
        <v>362</v>
      </c>
      <c r="D3065" s="3">
        <f>VLOOKUP(B3065,Sheet2!$A:$O,14,0)</f>
        <v>40197</v>
      </c>
    </row>
    <row r="3066" spans="1:4">
      <c r="A3066" s="8" t="s">
        <v>407</v>
      </c>
      <c r="B3066" s="5">
        <v>1700103</v>
      </c>
      <c r="C3066" s="5" t="s">
        <v>363</v>
      </c>
      <c r="D3066" s="3">
        <f>VLOOKUP(B3066,Sheet2!$A:$O,14,0)</f>
        <v>9000</v>
      </c>
    </row>
    <row r="3067" spans="1:4">
      <c r="A3067" s="8" t="s">
        <v>407</v>
      </c>
      <c r="B3067" s="5">
        <v>1700104</v>
      </c>
      <c r="C3067" s="5" t="s">
        <v>364</v>
      </c>
      <c r="D3067" s="3">
        <f>VLOOKUP(B3067,Sheet2!$A:$O,14,0)</f>
        <v>25000</v>
      </c>
    </row>
    <row r="3068" spans="1:4">
      <c r="A3068" s="8" t="s">
        <v>407</v>
      </c>
      <c r="B3068" s="5">
        <v>1700105</v>
      </c>
      <c r="C3068" s="5" t="s">
        <v>365</v>
      </c>
      <c r="D3068" s="3">
        <f>VLOOKUP(B3068,Sheet2!$A:$O,14,0)</f>
        <v>10588</v>
      </c>
    </row>
    <row r="3069" spans="1:4">
      <c r="A3069" s="8" t="s">
        <v>407</v>
      </c>
      <c r="B3069" s="5">
        <v>1700106</v>
      </c>
      <c r="C3069" s="5" t="s">
        <v>366</v>
      </c>
      <c r="D3069" s="3">
        <f>VLOOKUP(B3069,Sheet2!$A:$O,14,0)</f>
        <v>14020</v>
      </c>
    </row>
    <row r="3070" spans="1:4">
      <c r="A3070" s="8" t="s">
        <v>407</v>
      </c>
      <c r="B3070" s="5">
        <v>1700107</v>
      </c>
      <c r="C3070" s="5" t="s">
        <v>367</v>
      </c>
      <c r="D3070" s="3">
        <f>VLOOKUP(B3070,Sheet2!$A:$O,14,0)</f>
        <v>9020</v>
      </c>
    </row>
    <row r="3071" spans="1:4">
      <c r="A3071" s="8" t="s">
        <v>407</v>
      </c>
      <c r="B3071" s="5">
        <v>1800002</v>
      </c>
      <c r="C3071" s="5" t="s">
        <v>368</v>
      </c>
      <c r="D3071" s="3">
        <f>VLOOKUP(B3071,Sheet2!$A:$O,14,0)</f>
        <v>9520</v>
      </c>
    </row>
    <row r="3072" spans="1:4">
      <c r="A3072" s="8" t="s">
        <v>407</v>
      </c>
      <c r="B3072" s="5">
        <v>1800004</v>
      </c>
      <c r="C3072" s="5" t="s">
        <v>369</v>
      </c>
      <c r="D3072" s="3">
        <f>VLOOKUP(B3072,Sheet2!$A:$O,14,0)</f>
        <v>0</v>
      </c>
    </row>
    <row r="3073" spans="1:4">
      <c r="A3073" s="8" t="s">
        <v>407</v>
      </c>
      <c r="B3073" s="5">
        <v>1800005</v>
      </c>
      <c r="C3073" s="5" t="s">
        <v>370</v>
      </c>
      <c r="D3073" s="3">
        <f>VLOOKUP(B3073,Sheet2!$A:$O,14,0)</f>
        <v>0</v>
      </c>
    </row>
    <row r="3074" spans="1:4">
      <c r="A3074" s="8" t="s">
        <v>407</v>
      </c>
      <c r="B3074" s="5">
        <v>1800006</v>
      </c>
      <c r="C3074" s="5" t="s">
        <v>371</v>
      </c>
      <c r="D3074" s="3">
        <f>VLOOKUP(B3074,Sheet2!$A:$O,14,0)</f>
        <v>0</v>
      </c>
    </row>
    <row r="3075" spans="1:4">
      <c r="A3075" s="8" t="s">
        <v>407</v>
      </c>
      <c r="B3075" s="5">
        <v>1800007</v>
      </c>
      <c r="C3075" s="5" t="s">
        <v>372</v>
      </c>
      <c r="D3075" s="3">
        <f>VLOOKUP(B3075,Sheet2!$A:$O,14,0)</f>
        <v>10000</v>
      </c>
    </row>
    <row r="3076" spans="1:4">
      <c r="A3076" s="8" t="s">
        <v>407</v>
      </c>
      <c r="B3076" s="5">
        <v>1800008</v>
      </c>
      <c r="C3076" s="5" t="s">
        <v>373</v>
      </c>
      <c r="D3076" s="3">
        <f>VLOOKUP(B3076,Sheet2!$A:$O,14,0)</f>
        <v>10230</v>
      </c>
    </row>
    <row r="3077" spans="1:4">
      <c r="A3077" s="8" t="s">
        <v>407</v>
      </c>
      <c r="B3077" s="5">
        <v>1800009</v>
      </c>
      <c r="C3077" s="5" t="s">
        <v>374</v>
      </c>
      <c r="D3077" s="3">
        <f>VLOOKUP(B3077,Sheet2!$A:$O,14,0)</f>
        <v>11800</v>
      </c>
    </row>
    <row r="3078" spans="1:4">
      <c r="A3078" s="8" t="s">
        <v>407</v>
      </c>
      <c r="B3078" s="5">
        <v>1800010</v>
      </c>
      <c r="C3078" s="5" t="s">
        <v>375</v>
      </c>
      <c r="D3078" s="3">
        <f>VLOOKUP(B3078,Sheet2!$A:$O,14,0)</f>
        <v>6863</v>
      </c>
    </row>
    <row r="3079" spans="1:4">
      <c r="A3079" s="8" t="s">
        <v>407</v>
      </c>
      <c r="B3079" s="5">
        <v>1800011</v>
      </c>
      <c r="C3079" s="5" t="s">
        <v>376</v>
      </c>
      <c r="D3079" s="3">
        <f>VLOOKUP(B3079,Sheet2!$A:$O,14,0)</f>
        <v>13235</v>
      </c>
    </row>
    <row r="3080" spans="1:4">
      <c r="A3080" s="8" t="s">
        <v>407</v>
      </c>
      <c r="B3080" s="5">
        <v>1800012</v>
      </c>
      <c r="C3080" s="5" t="s">
        <v>377</v>
      </c>
      <c r="D3080" s="3">
        <f>VLOOKUP(B3080,Sheet2!$A:$O,14,0)</f>
        <v>8235</v>
      </c>
    </row>
    <row r="3081" spans="1:4">
      <c r="A3081" s="8" t="s">
        <v>407</v>
      </c>
      <c r="B3081" s="5">
        <v>1800013</v>
      </c>
      <c r="C3081" s="5" t="s">
        <v>378</v>
      </c>
      <c r="D3081" s="3">
        <f>VLOOKUP(B3081,Sheet2!$A:$O,14,0)</f>
        <v>49100</v>
      </c>
    </row>
    <row r="3082" spans="1:4">
      <c r="A3082" s="8" t="s">
        <v>407</v>
      </c>
      <c r="B3082" s="5">
        <v>1800014</v>
      </c>
      <c r="C3082" s="5" t="s">
        <v>379</v>
      </c>
      <c r="D3082" s="3">
        <f>VLOOKUP(B3082,Sheet2!$A:$O,14,0)</f>
        <v>70000</v>
      </c>
    </row>
    <row r="3083" spans="1:4">
      <c r="A3083" s="8" t="s">
        <v>407</v>
      </c>
      <c r="B3083" s="5">
        <v>1800015</v>
      </c>
      <c r="C3083" s="5" t="s">
        <v>380</v>
      </c>
      <c r="D3083" s="3">
        <f>VLOOKUP(B3083,Sheet2!$A:$O,14,0)</f>
        <v>66700</v>
      </c>
    </row>
    <row r="3084" spans="1:4">
      <c r="A3084" s="8" t="s">
        <v>407</v>
      </c>
      <c r="B3084" s="5">
        <v>1900013</v>
      </c>
      <c r="C3084" s="5" t="s">
        <v>381</v>
      </c>
      <c r="D3084" s="3">
        <f>VLOOKUP(B3084,Sheet2!$A:$O,14,0)</f>
        <v>0</v>
      </c>
    </row>
    <row r="3085" spans="1:4">
      <c r="A3085" s="8" t="s">
        <v>407</v>
      </c>
      <c r="B3085" s="5">
        <v>1900018</v>
      </c>
      <c r="C3085" s="5" t="s">
        <v>382</v>
      </c>
      <c r="D3085" s="3">
        <f>VLOOKUP(B3085,Sheet2!$A:$O,14,0)</f>
        <v>0</v>
      </c>
    </row>
  </sheetData>
  <phoneticPr fontId="5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687B3-95AC-4082-ADBB-01201AF144D5}">
  <dimension ref="A1:O258"/>
  <sheetViews>
    <sheetView workbookViewId="0">
      <selection activeCell="O2" sqref="O2"/>
    </sheetView>
  </sheetViews>
  <sheetFormatPr defaultRowHeight="16.5"/>
  <sheetData>
    <row r="1" spans="1:15" ht="24">
      <c r="A1" s="11"/>
      <c r="B1" s="11"/>
      <c r="C1" s="12" t="s">
        <v>408</v>
      </c>
      <c r="D1" s="11" t="s">
        <v>409</v>
      </c>
      <c r="E1" s="11" t="s">
        <v>410</v>
      </c>
      <c r="F1" s="11" t="s">
        <v>411</v>
      </c>
      <c r="G1" s="11" t="s">
        <v>412</v>
      </c>
      <c r="H1" s="11" t="s">
        <v>413</v>
      </c>
      <c r="I1" s="11" t="s">
        <v>414</v>
      </c>
      <c r="J1" s="11" t="s">
        <v>415</v>
      </c>
      <c r="K1" s="11" t="s">
        <v>416</v>
      </c>
      <c r="L1" s="11" t="s">
        <v>417</v>
      </c>
      <c r="M1" s="11" t="s">
        <v>418</v>
      </c>
      <c r="N1" s="11" t="s">
        <v>419</v>
      </c>
      <c r="O1" s="11" t="s">
        <v>420</v>
      </c>
    </row>
    <row r="2" spans="1:15">
      <c r="A2" s="9">
        <v>1010101</v>
      </c>
      <c r="B2" s="9" t="s">
        <v>5</v>
      </c>
      <c r="C2" s="13">
        <v>699</v>
      </c>
      <c r="D2" s="10">
        <v>698</v>
      </c>
      <c r="E2" s="10">
        <v>698</v>
      </c>
      <c r="F2" s="10">
        <v>697</v>
      </c>
      <c r="G2" s="10">
        <v>689</v>
      </c>
      <c r="H2" s="10">
        <v>696</v>
      </c>
      <c r="I2" s="10">
        <v>697</v>
      </c>
      <c r="J2" s="10">
        <v>698</v>
      </c>
      <c r="K2" s="10">
        <v>697</v>
      </c>
      <c r="L2" s="10">
        <v>698</v>
      </c>
      <c r="M2" s="10">
        <v>700</v>
      </c>
      <c r="N2" s="10">
        <v>698</v>
      </c>
      <c r="O2" s="10">
        <v>701</v>
      </c>
    </row>
    <row r="3" spans="1:15">
      <c r="A3" s="9">
        <v>1010111</v>
      </c>
      <c r="B3" s="9" t="s">
        <v>9</v>
      </c>
      <c r="C3" s="13">
        <v>18300</v>
      </c>
      <c r="D3" s="10">
        <v>18300</v>
      </c>
      <c r="E3" s="10">
        <v>18300</v>
      </c>
      <c r="F3" s="10">
        <v>18300</v>
      </c>
      <c r="G3" s="10">
        <v>18300</v>
      </c>
      <c r="H3" s="10">
        <v>18300</v>
      </c>
      <c r="I3" s="10">
        <v>19100</v>
      </c>
      <c r="J3" s="10">
        <v>19100</v>
      </c>
      <c r="K3" s="10">
        <v>19100</v>
      </c>
      <c r="L3" s="10">
        <v>19100</v>
      </c>
      <c r="M3" s="10">
        <v>19100</v>
      </c>
      <c r="N3" s="10">
        <v>19100</v>
      </c>
      <c r="O3" s="10">
        <v>19100</v>
      </c>
    </row>
    <row r="4" spans="1:15">
      <c r="A4" s="9">
        <v>1010201</v>
      </c>
      <c r="B4" s="9" t="s">
        <v>11</v>
      </c>
      <c r="C4" s="13">
        <v>686</v>
      </c>
      <c r="D4" s="10">
        <v>882</v>
      </c>
      <c r="E4" s="10">
        <v>882</v>
      </c>
      <c r="F4" s="10">
        <v>882</v>
      </c>
      <c r="G4" s="10">
        <v>882</v>
      </c>
      <c r="H4" s="10">
        <v>882</v>
      </c>
      <c r="I4" s="10">
        <v>882</v>
      </c>
      <c r="J4" s="10">
        <v>838</v>
      </c>
      <c r="K4" s="10">
        <v>882</v>
      </c>
      <c r="L4" s="10">
        <v>882</v>
      </c>
      <c r="M4" s="10">
        <v>882</v>
      </c>
      <c r="N4" s="10">
        <v>882</v>
      </c>
      <c r="O4" s="10">
        <v>1373</v>
      </c>
    </row>
    <row r="5" spans="1:15">
      <c r="A5" s="9">
        <v>1010300</v>
      </c>
      <c r="B5" s="9" t="s">
        <v>213</v>
      </c>
      <c r="C5" s="13">
        <v>5392</v>
      </c>
      <c r="D5" s="10">
        <v>5490</v>
      </c>
      <c r="E5" s="10">
        <v>5490</v>
      </c>
      <c r="F5" s="10">
        <v>5490</v>
      </c>
      <c r="G5" s="10">
        <v>5490</v>
      </c>
      <c r="H5" s="10">
        <v>5490</v>
      </c>
      <c r="I5" s="10">
        <v>5490</v>
      </c>
      <c r="J5" s="10">
        <v>5490</v>
      </c>
      <c r="K5" s="10">
        <v>5490</v>
      </c>
      <c r="L5" s="10">
        <v>5490</v>
      </c>
      <c r="M5" s="10">
        <v>9020</v>
      </c>
      <c r="N5" s="10">
        <v>9020</v>
      </c>
      <c r="O5" s="10">
        <v>9020</v>
      </c>
    </row>
    <row r="6" spans="1:15">
      <c r="A6" s="9">
        <v>1010301</v>
      </c>
      <c r="B6" s="9" t="s">
        <v>214</v>
      </c>
      <c r="C6" s="13">
        <v>5882</v>
      </c>
      <c r="D6" s="10">
        <v>5882</v>
      </c>
      <c r="E6" s="10">
        <v>5882</v>
      </c>
      <c r="F6" s="10">
        <v>5882</v>
      </c>
      <c r="G6" s="10">
        <v>5882</v>
      </c>
      <c r="H6" s="10">
        <v>5882</v>
      </c>
      <c r="I6" s="10">
        <v>5882</v>
      </c>
      <c r="J6" s="10">
        <v>5882</v>
      </c>
      <c r="K6" s="10">
        <v>6730</v>
      </c>
      <c r="L6" s="10">
        <v>6187</v>
      </c>
      <c r="M6" s="10">
        <v>6373</v>
      </c>
      <c r="N6" s="10">
        <v>6765</v>
      </c>
      <c r="O6" s="10">
        <v>6765</v>
      </c>
    </row>
    <row r="7" spans="1:15">
      <c r="A7" s="9">
        <v>1010302</v>
      </c>
      <c r="B7" s="9" t="s">
        <v>16</v>
      </c>
      <c r="C7" s="13">
        <v>4216</v>
      </c>
      <c r="D7" s="10">
        <v>4216</v>
      </c>
      <c r="E7" s="10">
        <v>4216</v>
      </c>
      <c r="F7" s="10">
        <v>4216</v>
      </c>
      <c r="G7" s="10">
        <v>4216</v>
      </c>
      <c r="H7" s="10">
        <v>4216</v>
      </c>
      <c r="I7" s="10">
        <v>4216</v>
      </c>
      <c r="J7" s="10">
        <v>4216</v>
      </c>
      <c r="K7" s="10">
        <v>4216</v>
      </c>
      <c r="L7" s="10">
        <v>4216</v>
      </c>
      <c r="M7" s="10">
        <v>4216</v>
      </c>
      <c r="N7" s="10">
        <v>4314</v>
      </c>
      <c r="O7" s="10">
        <v>4314</v>
      </c>
    </row>
    <row r="8" spans="1:15">
      <c r="A8" s="9">
        <v>1010303</v>
      </c>
      <c r="B8" s="9" t="s">
        <v>18</v>
      </c>
      <c r="C8" s="13">
        <v>882</v>
      </c>
      <c r="D8" s="10">
        <v>882</v>
      </c>
      <c r="E8" s="10">
        <v>882</v>
      </c>
      <c r="F8" s="10">
        <v>882</v>
      </c>
      <c r="G8" s="10">
        <v>882</v>
      </c>
      <c r="H8" s="10">
        <v>882</v>
      </c>
      <c r="I8" s="10">
        <v>882</v>
      </c>
      <c r="J8" s="10">
        <v>882</v>
      </c>
      <c r="K8" s="10">
        <v>882</v>
      </c>
      <c r="L8" s="10">
        <v>882</v>
      </c>
      <c r="M8" s="14">
        <v>882</v>
      </c>
      <c r="N8" s="10">
        <v>882</v>
      </c>
      <c r="O8" s="10">
        <v>882</v>
      </c>
    </row>
    <row r="9" spans="1:15">
      <c r="A9" s="9">
        <v>1010304</v>
      </c>
      <c r="B9" s="9" t="s">
        <v>215</v>
      </c>
      <c r="C9" s="13">
        <v>1193</v>
      </c>
      <c r="D9" s="10">
        <v>1226</v>
      </c>
      <c r="E9" s="10">
        <v>1225</v>
      </c>
      <c r="F9" s="10">
        <v>1225</v>
      </c>
      <c r="G9" s="10">
        <v>1225</v>
      </c>
      <c r="H9" s="10">
        <v>1225</v>
      </c>
      <c r="I9" s="10">
        <v>1225</v>
      </c>
      <c r="J9" s="10">
        <v>1225</v>
      </c>
      <c r="K9" s="10">
        <v>1225</v>
      </c>
      <c r="L9" s="10">
        <v>1422</v>
      </c>
      <c r="M9" s="10">
        <v>1422</v>
      </c>
      <c r="N9" s="10">
        <v>1422</v>
      </c>
      <c r="O9" s="10">
        <v>1422</v>
      </c>
    </row>
    <row r="10" spans="1:15">
      <c r="A10" s="9">
        <v>1010401</v>
      </c>
      <c r="B10" s="9" t="s">
        <v>20</v>
      </c>
      <c r="C10" s="13">
        <v>3627</v>
      </c>
      <c r="D10" s="10">
        <v>3627</v>
      </c>
      <c r="E10" s="10">
        <v>3627</v>
      </c>
      <c r="F10" s="10">
        <v>3627</v>
      </c>
      <c r="G10" s="10">
        <v>3627</v>
      </c>
      <c r="H10" s="10">
        <v>3627</v>
      </c>
      <c r="I10" s="10">
        <v>3627</v>
      </c>
      <c r="J10" s="10">
        <v>3627</v>
      </c>
      <c r="K10" s="10">
        <v>3627</v>
      </c>
      <c r="L10" s="10">
        <v>3627</v>
      </c>
      <c r="M10" s="10">
        <v>3627</v>
      </c>
      <c r="N10" s="10">
        <v>3627</v>
      </c>
      <c r="O10" s="10">
        <v>3627</v>
      </c>
    </row>
    <row r="11" spans="1:15">
      <c r="A11" s="9">
        <v>1010405</v>
      </c>
      <c r="B11" s="9" t="s">
        <v>22</v>
      </c>
      <c r="C11" s="13">
        <v>9975</v>
      </c>
      <c r="D11" s="10">
        <v>9975</v>
      </c>
      <c r="E11" s="10">
        <v>9975</v>
      </c>
      <c r="F11" s="10">
        <v>9975</v>
      </c>
      <c r="G11" s="10">
        <v>9975</v>
      </c>
      <c r="H11" s="10">
        <v>9975</v>
      </c>
      <c r="I11" s="10">
        <v>9975</v>
      </c>
      <c r="J11" s="10">
        <v>9975</v>
      </c>
      <c r="K11" s="10">
        <v>9975</v>
      </c>
      <c r="L11" s="10">
        <v>9975</v>
      </c>
      <c r="M11" s="10">
        <v>9975</v>
      </c>
      <c r="N11" s="10">
        <v>9975</v>
      </c>
      <c r="O11" s="10">
        <v>9975</v>
      </c>
    </row>
    <row r="12" spans="1:15">
      <c r="A12" s="9">
        <v>1010501</v>
      </c>
      <c r="B12" s="9" t="s">
        <v>24</v>
      </c>
      <c r="C12" s="13">
        <v>980</v>
      </c>
      <c r="D12" s="10">
        <v>980</v>
      </c>
      <c r="E12" s="10">
        <v>980</v>
      </c>
      <c r="F12" s="10">
        <v>980</v>
      </c>
      <c r="G12" s="10">
        <v>980</v>
      </c>
      <c r="H12" s="10">
        <v>980</v>
      </c>
      <c r="I12" s="10">
        <v>980</v>
      </c>
      <c r="J12" s="10">
        <v>980</v>
      </c>
      <c r="K12" s="10">
        <v>980</v>
      </c>
      <c r="L12" s="10">
        <v>980</v>
      </c>
      <c r="M12" s="10">
        <v>980</v>
      </c>
      <c r="N12" s="10">
        <v>980</v>
      </c>
      <c r="O12" s="10">
        <v>980</v>
      </c>
    </row>
    <row r="13" spans="1:15">
      <c r="A13" s="9">
        <v>1010502</v>
      </c>
      <c r="B13" s="9" t="s">
        <v>216</v>
      </c>
      <c r="C13" s="13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</row>
    <row r="14" spans="1:15">
      <c r="A14" s="9">
        <v>1010601</v>
      </c>
      <c r="B14" s="9" t="s">
        <v>26</v>
      </c>
      <c r="C14" s="13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4412</v>
      </c>
      <c r="K14" s="10">
        <v>4412</v>
      </c>
      <c r="L14" s="10">
        <v>4412</v>
      </c>
      <c r="M14" s="10">
        <v>4412</v>
      </c>
      <c r="N14" s="10">
        <v>4412</v>
      </c>
      <c r="O14" s="10">
        <v>4412</v>
      </c>
    </row>
    <row r="15" spans="1:15">
      <c r="A15" s="9">
        <v>1010701</v>
      </c>
      <c r="B15" s="9" t="s">
        <v>28</v>
      </c>
      <c r="C15" s="13">
        <v>686</v>
      </c>
      <c r="D15" s="10">
        <v>686</v>
      </c>
      <c r="E15" s="10">
        <v>686</v>
      </c>
      <c r="F15" s="10">
        <v>686</v>
      </c>
      <c r="G15" s="10">
        <v>686</v>
      </c>
      <c r="H15" s="10">
        <v>686</v>
      </c>
      <c r="I15" s="10">
        <v>686</v>
      </c>
      <c r="J15" s="10">
        <v>686</v>
      </c>
      <c r="K15" s="10">
        <v>686</v>
      </c>
      <c r="L15" s="10">
        <v>686</v>
      </c>
      <c r="M15" s="10">
        <v>686</v>
      </c>
      <c r="N15" s="10">
        <v>686</v>
      </c>
      <c r="O15" s="10">
        <v>686</v>
      </c>
    </row>
    <row r="16" spans="1:15">
      <c r="A16" s="9">
        <v>1010801</v>
      </c>
      <c r="B16" s="9" t="s">
        <v>30</v>
      </c>
      <c r="C16" s="13">
        <v>7157</v>
      </c>
      <c r="D16" s="10">
        <v>7157</v>
      </c>
      <c r="E16" s="10">
        <v>7157</v>
      </c>
      <c r="F16" s="10">
        <v>7157</v>
      </c>
      <c r="G16" s="10">
        <v>7157</v>
      </c>
      <c r="H16" s="10">
        <v>7157</v>
      </c>
      <c r="I16" s="10">
        <v>7157</v>
      </c>
      <c r="J16" s="10">
        <v>7157</v>
      </c>
      <c r="K16" s="10">
        <v>7157</v>
      </c>
      <c r="L16" s="10">
        <v>7157</v>
      </c>
      <c r="M16" s="10">
        <v>9118</v>
      </c>
      <c r="N16" s="10">
        <v>9118</v>
      </c>
      <c r="O16" s="10">
        <v>9118</v>
      </c>
    </row>
    <row r="17" spans="1:15">
      <c r="A17" s="9">
        <v>1010901</v>
      </c>
      <c r="B17" s="9" t="s">
        <v>32</v>
      </c>
      <c r="C17" s="13">
        <v>4804</v>
      </c>
      <c r="D17" s="10">
        <v>4804</v>
      </c>
      <c r="E17" s="10">
        <v>4804</v>
      </c>
      <c r="F17" s="10">
        <v>4804</v>
      </c>
      <c r="G17" s="10">
        <v>4902</v>
      </c>
      <c r="H17" s="10">
        <v>4902</v>
      </c>
      <c r="I17" s="10">
        <v>4902</v>
      </c>
      <c r="J17" s="10">
        <v>4902</v>
      </c>
      <c r="K17" s="10">
        <v>4902</v>
      </c>
      <c r="L17" s="10">
        <v>4804</v>
      </c>
      <c r="M17" s="10">
        <v>4804</v>
      </c>
      <c r="N17" s="10">
        <v>4804</v>
      </c>
      <c r="O17" s="10">
        <v>4804</v>
      </c>
    </row>
    <row r="18" spans="1:15">
      <c r="A18" s="9">
        <v>1020101</v>
      </c>
      <c r="B18" s="9" t="s">
        <v>34</v>
      </c>
      <c r="C18" s="13">
        <v>15196</v>
      </c>
      <c r="D18" s="10">
        <v>15196</v>
      </c>
      <c r="E18" s="10">
        <v>15196</v>
      </c>
      <c r="F18" s="10">
        <v>15196</v>
      </c>
      <c r="G18" s="10">
        <v>17451</v>
      </c>
      <c r="H18" s="10">
        <v>17451</v>
      </c>
      <c r="I18" s="10">
        <v>17451</v>
      </c>
      <c r="J18" s="10">
        <v>17451</v>
      </c>
      <c r="K18" s="10">
        <v>17451</v>
      </c>
      <c r="L18" s="10">
        <v>17451</v>
      </c>
      <c r="M18" s="10">
        <v>17451</v>
      </c>
      <c r="N18" s="10">
        <v>17451</v>
      </c>
      <c r="O18" s="10">
        <v>17451</v>
      </c>
    </row>
    <row r="19" spans="1:15">
      <c r="A19" s="9">
        <v>1020201</v>
      </c>
      <c r="B19" s="9" t="s">
        <v>217</v>
      </c>
      <c r="C19" s="13">
        <v>5600</v>
      </c>
      <c r="D19" s="10">
        <v>5600</v>
      </c>
      <c r="E19" s="10">
        <v>5600</v>
      </c>
      <c r="F19" s="10">
        <v>5600</v>
      </c>
      <c r="G19" s="10">
        <v>5600</v>
      </c>
      <c r="H19" s="10">
        <v>5600</v>
      </c>
      <c r="I19" s="10">
        <v>5600</v>
      </c>
      <c r="J19" s="10">
        <v>5600</v>
      </c>
      <c r="K19" s="10">
        <v>5600</v>
      </c>
      <c r="L19" s="10">
        <v>5600</v>
      </c>
      <c r="M19" s="10">
        <v>5600</v>
      </c>
      <c r="N19" s="10">
        <v>5600</v>
      </c>
      <c r="O19" s="10">
        <v>5600</v>
      </c>
    </row>
    <row r="20" spans="1:15">
      <c r="A20" s="9">
        <v>1020301</v>
      </c>
      <c r="B20" s="9" t="s">
        <v>38</v>
      </c>
      <c r="C20" s="13">
        <v>2050</v>
      </c>
      <c r="D20" s="10">
        <v>2100</v>
      </c>
      <c r="E20" s="10">
        <v>2100</v>
      </c>
      <c r="F20" s="10">
        <v>2100</v>
      </c>
      <c r="G20" s="10">
        <v>2100</v>
      </c>
      <c r="H20" s="10">
        <v>2100</v>
      </c>
      <c r="I20" s="10">
        <v>2100</v>
      </c>
      <c r="J20" s="10">
        <v>2100</v>
      </c>
      <c r="K20" s="10">
        <v>2100</v>
      </c>
      <c r="L20" s="10">
        <v>2100</v>
      </c>
      <c r="M20" s="10">
        <v>2000</v>
      </c>
      <c r="N20" s="10">
        <v>2200</v>
      </c>
      <c r="O20" s="10">
        <v>2200</v>
      </c>
    </row>
    <row r="21" spans="1:15">
      <c r="A21" s="9">
        <v>1020401</v>
      </c>
      <c r="B21" s="9" t="s">
        <v>40</v>
      </c>
      <c r="C21" s="13">
        <v>3500</v>
      </c>
      <c r="D21" s="10">
        <v>3750</v>
      </c>
      <c r="E21" s="10">
        <v>3500</v>
      </c>
      <c r="F21" s="10">
        <v>3500</v>
      </c>
      <c r="G21" s="10">
        <v>3600</v>
      </c>
      <c r="H21" s="10">
        <v>3500</v>
      </c>
      <c r="I21" s="10">
        <v>3500</v>
      </c>
      <c r="J21" s="10">
        <v>3500</v>
      </c>
      <c r="K21" s="10">
        <v>3500</v>
      </c>
      <c r="L21" s="10">
        <v>3600</v>
      </c>
      <c r="M21" s="10">
        <v>3500</v>
      </c>
      <c r="N21" s="10">
        <v>3500</v>
      </c>
      <c r="O21" s="10">
        <v>3500</v>
      </c>
    </row>
    <row r="22" spans="1:15">
      <c r="A22" s="9">
        <v>1030102</v>
      </c>
      <c r="B22" s="9" t="s">
        <v>218</v>
      </c>
      <c r="C22" s="13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</row>
    <row r="23" spans="1:15">
      <c r="A23" s="9">
        <v>1030201</v>
      </c>
      <c r="B23" s="9" t="s">
        <v>42</v>
      </c>
      <c r="C23" s="13">
        <v>2255</v>
      </c>
      <c r="D23" s="10">
        <v>2255</v>
      </c>
      <c r="E23" s="10">
        <v>2255</v>
      </c>
      <c r="F23" s="10">
        <v>2304</v>
      </c>
      <c r="G23" s="10">
        <v>2304</v>
      </c>
      <c r="H23" s="10">
        <v>2304</v>
      </c>
      <c r="I23" s="10">
        <v>2377</v>
      </c>
      <c r="J23" s="10">
        <v>2451</v>
      </c>
      <c r="K23" s="10">
        <v>2598</v>
      </c>
      <c r="L23" s="10">
        <v>2941</v>
      </c>
      <c r="M23" s="10">
        <v>3004</v>
      </c>
      <c r="N23" s="10">
        <v>2843</v>
      </c>
      <c r="O23" s="10">
        <v>2843</v>
      </c>
    </row>
    <row r="24" spans="1:15">
      <c r="A24" s="9">
        <v>1030203</v>
      </c>
      <c r="B24" s="9" t="s">
        <v>219</v>
      </c>
      <c r="C24" s="13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</row>
    <row r="25" spans="1:15">
      <c r="A25" s="9">
        <v>1030204</v>
      </c>
      <c r="B25" s="9" t="s">
        <v>220</v>
      </c>
      <c r="C25" s="13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</row>
    <row r="26" spans="1:15">
      <c r="A26" s="9">
        <v>1030205</v>
      </c>
      <c r="B26" s="9" t="s">
        <v>44</v>
      </c>
      <c r="C26" s="13">
        <v>5000</v>
      </c>
      <c r="D26" s="10">
        <v>5000</v>
      </c>
      <c r="E26" s="10">
        <v>5000</v>
      </c>
      <c r="F26" s="10">
        <v>5000</v>
      </c>
      <c r="G26" s="10">
        <v>5000</v>
      </c>
      <c r="H26" s="10">
        <v>5000</v>
      </c>
      <c r="I26" s="10">
        <v>5000</v>
      </c>
      <c r="J26" s="10">
        <v>5000</v>
      </c>
      <c r="K26" s="10">
        <v>5000</v>
      </c>
      <c r="L26" s="10">
        <v>5000</v>
      </c>
      <c r="M26" s="10">
        <v>5000</v>
      </c>
      <c r="N26" s="10">
        <v>5000</v>
      </c>
      <c r="O26" s="10">
        <v>5000</v>
      </c>
    </row>
    <row r="27" spans="1:15">
      <c r="A27" s="9">
        <v>1030206</v>
      </c>
      <c r="B27" s="9" t="s">
        <v>46</v>
      </c>
      <c r="C27" s="13">
        <v>5400</v>
      </c>
      <c r="D27" s="10">
        <v>5400</v>
      </c>
      <c r="E27" s="10">
        <v>5400</v>
      </c>
      <c r="F27" s="10">
        <v>5400</v>
      </c>
      <c r="G27" s="10">
        <v>5400</v>
      </c>
      <c r="H27" s="10">
        <v>5400</v>
      </c>
      <c r="I27" s="10">
        <v>6200</v>
      </c>
      <c r="J27" s="10">
        <v>6200</v>
      </c>
      <c r="K27" s="10">
        <v>6200</v>
      </c>
      <c r="L27" s="10">
        <v>6200</v>
      </c>
      <c r="M27" s="10">
        <v>6200</v>
      </c>
      <c r="N27" s="10">
        <v>6200</v>
      </c>
      <c r="O27" s="10">
        <v>6200</v>
      </c>
    </row>
    <row r="28" spans="1:15">
      <c r="A28" s="9">
        <v>1030207</v>
      </c>
      <c r="B28" s="9" t="s">
        <v>48</v>
      </c>
      <c r="C28" s="13">
        <v>4400</v>
      </c>
      <c r="D28" s="10">
        <v>4400</v>
      </c>
      <c r="E28" s="10">
        <v>4400</v>
      </c>
      <c r="F28" s="10">
        <v>4400</v>
      </c>
      <c r="G28" s="10">
        <v>4400</v>
      </c>
      <c r="H28" s="10">
        <v>4400</v>
      </c>
      <c r="I28" s="10">
        <v>4400</v>
      </c>
      <c r="J28" s="10">
        <v>4400</v>
      </c>
      <c r="K28" s="10">
        <v>4400</v>
      </c>
      <c r="L28" s="10">
        <v>4500</v>
      </c>
      <c r="M28" s="10">
        <v>4600</v>
      </c>
      <c r="N28" s="10">
        <v>4600</v>
      </c>
      <c r="O28" s="10">
        <v>4600</v>
      </c>
    </row>
    <row r="29" spans="1:15">
      <c r="A29" s="9">
        <v>1030501</v>
      </c>
      <c r="B29" s="9" t="s">
        <v>50</v>
      </c>
      <c r="C29" s="13">
        <v>1078</v>
      </c>
      <c r="D29" s="10">
        <v>1078</v>
      </c>
      <c r="E29" s="10">
        <v>1051</v>
      </c>
      <c r="F29" s="10">
        <v>1107</v>
      </c>
      <c r="G29" s="10">
        <v>1137</v>
      </c>
      <c r="H29" s="10">
        <v>1127</v>
      </c>
      <c r="I29" s="10">
        <v>1127</v>
      </c>
      <c r="J29" s="10">
        <v>1127</v>
      </c>
      <c r="K29" s="10">
        <v>1127</v>
      </c>
      <c r="L29" s="10">
        <v>1127</v>
      </c>
      <c r="M29" s="10">
        <v>1127</v>
      </c>
      <c r="N29" s="10">
        <v>1127</v>
      </c>
      <c r="O29" s="10">
        <v>1127</v>
      </c>
    </row>
    <row r="30" spans="1:15">
      <c r="A30" s="9">
        <v>1030601</v>
      </c>
      <c r="B30" s="9" t="s">
        <v>52</v>
      </c>
      <c r="C30" s="13">
        <v>2900</v>
      </c>
      <c r="D30" s="10">
        <v>3000</v>
      </c>
      <c r="E30" s="10">
        <v>3000</v>
      </c>
      <c r="F30" s="10">
        <v>3000</v>
      </c>
      <c r="G30" s="10">
        <v>3000</v>
      </c>
      <c r="H30" s="10">
        <v>3000</v>
      </c>
      <c r="I30" s="10">
        <v>3000</v>
      </c>
      <c r="J30" s="10">
        <v>3000</v>
      </c>
      <c r="K30" s="10">
        <v>3000</v>
      </c>
      <c r="L30" s="10">
        <v>3000</v>
      </c>
      <c r="M30" s="10">
        <v>3000</v>
      </c>
      <c r="N30" s="10">
        <v>3000</v>
      </c>
      <c r="O30" s="10">
        <v>3000</v>
      </c>
    </row>
    <row r="31" spans="1:15">
      <c r="A31" s="9">
        <v>1030701</v>
      </c>
      <c r="B31" s="9" t="s">
        <v>221</v>
      </c>
      <c r="C31" s="13">
        <v>3000</v>
      </c>
      <c r="D31" s="10">
        <v>3000</v>
      </c>
      <c r="E31" s="10">
        <v>3000</v>
      </c>
      <c r="F31" s="10">
        <v>3000</v>
      </c>
      <c r="G31" s="10">
        <v>3000</v>
      </c>
      <c r="H31" s="10">
        <v>3000</v>
      </c>
      <c r="I31" s="10">
        <v>3000</v>
      </c>
      <c r="J31" s="10">
        <v>3000</v>
      </c>
      <c r="K31" s="10">
        <v>3000</v>
      </c>
      <c r="L31" s="10">
        <v>3000</v>
      </c>
      <c r="M31" s="10">
        <v>3000</v>
      </c>
      <c r="N31" s="10">
        <v>3000</v>
      </c>
      <c r="O31" s="10">
        <v>3000</v>
      </c>
    </row>
    <row r="32" spans="1:15">
      <c r="A32" s="9">
        <v>1030705</v>
      </c>
      <c r="B32" s="9" t="s">
        <v>222</v>
      </c>
      <c r="C32" s="13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</row>
    <row r="33" spans="1:15">
      <c r="A33" s="9">
        <v>1030801</v>
      </c>
      <c r="B33" s="9" t="s">
        <v>54</v>
      </c>
      <c r="C33" s="13">
        <v>1275</v>
      </c>
      <c r="D33" s="10">
        <v>1275</v>
      </c>
      <c r="E33" s="10">
        <v>1436</v>
      </c>
      <c r="F33" s="10">
        <v>1422</v>
      </c>
      <c r="G33" s="10">
        <v>1376</v>
      </c>
      <c r="H33" s="10">
        <v>1373</v>
      </c>
      <c r="I33" s="10">
        <v>1373</v>
      </c>
      <c r="J33" s="10">
        <v>1373</v>
      </c>
      <c r="K33" s="10">
        <v>1373</v>
      </c>
      <c r="L33" s="10">
        <v>1294</v>
      </c>
      <c r="M33" s="10">
        <v>1225</v>
      </c>
      <c r="N33" s="10">
        <v>1176</v>
      </c>
      <c r="O33" s="10">
        <v>1176</v>
      </c>
    </row>
    <row r="34" spans="1:15">
      <c r="A34" s="9">
        <v>1030901</v>
      </c>
      <c r="B34" s="9" t="s">
        <v>223</v>
      </c>
      <c r="C34" s="13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</row>
    <row r="35" spans="1:15">
      <c r="A35" s="9">
        <v>1040201</v>
      </c>
      <c r="B35" s="9" t="s">
        <v>56</v>
      </c>
      <c r="C35" s="13">
        <v>1470</v>
      </c>
      <c r="D35" s="10">
        <v>1472</v>
      </c>
      <c r="E35" s="10">
        <v>1500</v>
      </c>
      <c r="F35" s="10">
        <v>1450</v>
      </c>
      <c r="G35" s="10">
        <v>1486</v>
      </c>
      <c r="H35" s="10">
        <v>1500</v>
      </c>
      <c r="I35" s="10">
        <v>1469</v>
      </c>
      <c r="J35" s="10">
        <v>1477</v>
      </c>
      <c r="K35" s="10">
        <v>1450</v>
      </c>
      <c r="L35" s="10">
        <v>1427</v>
      </c>
      <c r="M35" s="10">
        <v>1450</v>
      </c>
      <c r="N35" s="10">
        <v>1450</v>
      </c>
      <c r="O35" s="10">
        <v>1450</v>
      </c>
    </row>
    <row r="36" spans="1:15">
      <c r="A36" s="9">
        <v>1040202</v>
      </c>
      <c r="B36" s="9" t="s">
        <v>224</v>
      </c>
      <c r="C36" s="13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</row>
    <row r="37" spans="1:15">
      <c r="A37" s="9">
        <v>1040203</v>
      </c>
      <c r="B37" s="9" t="s">
        <v>225</v>
      </c>
      <c r="C37" s="13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</row>
    <row r="38" spans="1:15">
      <c r="A38" s="9">
        <v>1040204</v>
      </c>
      <c r="B38" s="9" t="s">
        <v>226</v>
      </c>
      <c r="C38" s="13">
        <v>7917</v>
      </c>
      <c r="D38" s="10">
        <v>7917</v>
      </c>
      <c r="E38" s="10">
        <v>7917</v>
      </c>
      <c r="F38" s="10">
        <v>7917</v>
      </c>
      <c r="G38" s="10">
        <v>7917</v>
      </c>
      <c r="H38" s="10">
        <v>7917</v>
      </c>
      <c r="I38" s="10">
        <v>7917</v>
      </c>
      <c r="J38" s="10">
        <v>7917</v>
      </c>
      <c r="K38" s="10">
        <v>7917</v>
      </c>
      <c r="L38" s="10">
        <v>8583</v>
      </c>
      <c r="M38" s="10">
        <v>8583</v>
      </c>
      <c r="N38" s="10">
        <v>8583</v>
      </c>
      <c r="O38" s="10">
        <v>8583</v>
      </c>
    </row>
    <row r="39" spans="1:15">
      <c r="A39" s="9">
        <v>1040301</v>
      </c>
      <c r="B39" s="9" t="s">
        <v>58</v>
      </c>
      <c r="C39" s="13">
        <v>1771</v>
      </c>
      <c r="D39" s="10">
        <v>1700</v>
      </c>
      <c r="E39" s="10">
        <v>1790</v>
      </c>
      <c r="F39" s="10">
        <v>1700</v>
      </c>
      <c r="G39" s="10">
        <v>1673</v>
      </c>
      <c r="H39" s="10">
        <v>1675</v>
      </c>
      <c r="I39" s="10">
        <v>1650</v>
      </c>
      <c r="J39" s="10">
        <v>1650</v>
      </c>
      <c r="K39" s="10">
        <v>1650</v>
      </c>
      <c r="L39" s="10">
        <v>1650</v>
      </c>
      <c r="M39" s="10">
        <v>1650</v>
      </c>
      <c r="N39" s="10">
        <v>1650</v>
      </c>
      <c r="O39" s="10">
        <v>1650</v>
      </c>
    </row>
    <row r="40" spans="1:15">
      <c r="A40" s="9">
        <v>1040401</v>
      </c>
      <c r="B40" s="9" t="s">
        <v>227</v>
      </c>
      <c r="C40" s="13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</row>
    <row r="41" spans="1:15">
      <c r="A41" s="9">
        <v>1050102</v>
      </c>
      <c r="B41" s="9" t="s">
        <v>60</v>
      </c>
      <c r="C41" s="13">
        <v>29500</v>
      </c>
      <c r="D41" s="10">
        <v>29500</v>
      </c>
      <c r="E41" s="10">
        <v>29500</v>
      </c>
      <c r="F41" s="10">
        <v>29500</v>
      </c>
      <c r="G41" s="10">
        <v>29500</v>
      </c>
      <c r="H41" s="10">
        <v>29500</v>
      </c>
      <c r="I41" s="10">
        <v>29500</v>
      </c>
      <c r="J41" s="10">
        <v>29500</v>
      </c>
      <c r="K41" s="10">
        <v>29500</v>
      </c>
      <c r="L41" s="10">
        <v>29500</v>
      </c>
      <c r="M41" s="10">
        <v>29500</v>
      </c>
      <c r="N41" s="10">
        <v>31000</v>
      </c>
      <c r="O41" s="10">
        <v>31000</v>
      </c>
    </row>
    <row r="42" spans="1:15">
      <c r="A42" s="9">
        <v>1050103</v>
      </c>
      <c r="B42" s="9" t="s">
        <v>228</v>
      </c>
      <c r="C42" s="13">
        <v>11275</v>
      </c>
      <c r="D42" s="10">
        <v>11275</v>
      </c>
      <c r="E42" s="10">
        <v>11275</v>
      </c>
      <c r="F42" s="10">
        <v>11275</v>
      </c>
      <c r="G42" s="10">
        <v>11275</v>
      </c>
      <c r="H42" s="10">
        <v>11275</v>
      </c>
      <c r="I42" s="10">
        <v>11275</v>
      </c>
      <c r="J42" s="10">
        <v>11275</v>
      </c>
      <c r="K42" s="10">
        <v>11275</v>
      </c>
      <c r="L42" s="10">
        <v>11275</v>
      </c>
      <c r="M42" s="10">
        <v>11275</v>
      </c>
      <c r="N42" s="10">
        <v>11275</v>
      </c>
      <c r="O42" s="10">
        <v>11275</v>
      </c>
    </row>
    <row r="43" spans="1:15">
      <c r="A43" s="9">
        <v>1050301</v>
      </c>
      <c r="B43" s="9" t="s">
        <v>62</v>
      </c>
      <c r="C43" s="13">
        <v>9804</v>
      </c>
      <c r="D43" s="10">
        <v>9804</v>
      </c>
      <c r="E43" s="10">
        <v>9804</v>
      </c>
      <c r="F43" s="10">
        <v>9804</v>
      </c>
      <c r="G43" s="10">
        <v>9804</v>
      </c>
      <c r="H43" s="10">
        <v>9804</v>
      </c>
      <c r="I43" s="10">
        <v>9804</v>
      </c>
      <c r="J43" s="10">
        <v>9804</v>
      </c>
      <c r="K43" s="10">
        <v>9804</v>
      </c>
      <c r="L43" s="10">
        <v>9804</v>
      </c>
      <c r="M43" s="10">
        <v>9804</v>
      </c>
      <c r="N43" s="10">
        <v>9804</v>
      </c>
      <c r="O43" s="10">
        <v>9804</v>
      </c>
    </row>
    <row r="44" spans="1:15">
      <c r="A44" s="9">
        <v>1050401</v>
      </c>
      <c r="B44" s="9" t="s">
        <v>64</v>
      </c>
      <c r="C44" s="13">
        <v>8333</v>
      </c>
      <c r="D44" s="10">
        <v>8333</v>
      </c>
      <c r="E44" s="10">
        <v>8824</v>
      </c>
      <c r="F44" s="10">
        <v>8824</v>
      </c>
      <c r="G44" s="10">
        <v>8824</v>
      </c>
      <c r="H44" s="10">
        <v>8824</v>
      </c>
      <c r="I44" s="10">
        <v>8824</v>
      </c>
      <c r="J44" s="10">
        <v>8824</v>
      </c>
      <c r="K44" s="10">
        <v>8824</v>
      </c>
      <c r="L44" s="10">
        <v>8824</v>
      </c>
      <c r="M44" s="10">
        <v>8824</v>
      </c>
      <c r="N44" s="10">
        <v>8824</v>
      </c>
      <c r="O44" s="10">
        <v>8824</v>
      </c>
    </row>
    <row r="45" spans="1:15">
      <c r="A45" s="9">
        <v>1050501</v>
      </c>
      <c r="B45" s="9" t="s">
        <v>66</v>
      </c>
      <c r="C45" s="13">
        <v>8824</v>
      </c>
      <c r="D45" s="10">
        <v>8824</v>
      </c>
      <c r="E45" s="10">
        <v>10785</v>
      </c>
      <c r="F45" s="10">
        <v>10785</v>
      </c>
      <c r="G45" s="10">
        <v>10784</v>
      </c>
      <c r="H45" s="10">
        <v>10784</v>
      </c>
      <c r="I45" s="10">
        <v>10784</v>
      </c>
      <c r="J45" s="10">
        <v>10784</v>
      </c>
      <c r="K45" s="10">
        <v>10784</v>
      </c>
      <c r="L45" s="10">
        <v>10784</v>
      </c>
      <c r="M45" s="10">
        <v>10784</v>
      </c>
      <c r="N45" s="10">
        <v>10784</v>
      </c>
      <c r="O45" s="10">
        <v>10784</v>
      </c>
    </row>
    <row r="46" spans="1:15">
      <c r="A46" s="9">
        <v>1050511</v>
      </c>
      <c r="B46" s="9" t="s">
        <v>68</v>
      </c>
      <c r="C46" s="13">
        <v>18000</v>
      </c>
      <c r="D46" s="10">
        <v>18000</v>
      </c>
      <c r="E46" s="10">
        <v>18000</v>
      </c>
      <c r="F46" s="10">
        <v>18000</v>
      </c>
      <c r="G46" s="10">
        <v>18000</v>
      </c>
      <c r="H46" s="10">
        <v>18000</v>
      </c>
      <c r="I46" s="10">
        <v>18000</v>
      </c>
      <c r="J46" s="10">
        <v>18000</v>
      </c>
      <c r="K46" s="10">
        <v>18000</v>
      </c>
      <c r="L46" s="10">
        <v>18000</v>
      </c>
      <c r="M46" s="10">
        <v>18000</v>
      </c>
      <c r="N46" s="10">
        <v>18000</v>
      </c>
      <c r="O46" s="10">
        <v>18000</v>
      </c>
    </row>
    <row r="47" spans="1:15">
      <c r="A47" s="9">
        <v>1050512</v>
      </c>
      <c r="B47" s="9" t="s">
        <v>229</v>
      </c>
      <c r="C47" s="13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</row>
    <row r="48" spans="1:15">
      <c r="A48" s="9">
        <v>1050521</v>
      </c>
      <c r="B48" s="9" t="s">
        <v>70</v>
      </c>
      <c r="C48" s="13">
        <v>14706</v>
      </c>
      <c r="D48" s="10">
        <v>14706</v>
      </c>
      <c r="E48" s="10">
        <v>14706</v>
      </c>
      <c r="F48" s="10">
        <v>14706</v>
      </c>
      <c r="G48" s="10">
        <v>14706</v>
      </c>
      <c r="H48" s="10">
        <v>14706</v>
      </c>
      <c r="I48" s="10">
        <v>14706</v>
      </c>
      <c r="J48" s="10">
        <v>14706</v>
      </c>
      <c r="K48" s="10">
        <v>14706</v>
      </c>
      <c r="L48" s="10">
        <v>14706</v>
      </c>
      <c r="M48" s="10">
        <v>14706</v>
      </c>
      <c r="N48" s="10">
        <v>14706</v>
      </c>
      <c r="O48" s="10">
        <v>14706</v>
      </c>
    </row>
    <row r="49" spans="1:15">
      <c r="A49" s="9">
        <v>1050531</v>
      </c>
      <c r="B49" s="9" t="s">
        <v>72</v>
      </c>
      <c r="C49" s="13">
        <v>21000</v>
      </c>
      <c r="D49" s="10">
        <v>21000</v>
      </c>
      <c r="E49" s="10">
        <v>21000</v>
      </c>
      <c r="F49" s="10">
        <v>21000</v>
      </c>
      <c r="G49" s="10">
        <v>21000</v>
      </c>
      <c r="H49" s="10">
        <v>21000</v>
      </c>
      <c r="I49" s="10">
        <v>21000</v>
      </c>
      <c r="J49" s="10">
        <v>21000</v>
      </c>
      <c r="K49" s="10">
        <v>21000</v>
      </c>
      <c r="L49" s="10">
        <v>21000</v>
      </c>
      <c r="M49" s="10">
        <v>21000</v>
      </c>
      <c r="N49" s="10">
        <v>21000</v>
      </c>
      <c r="O49" s="10">
        <v>21000</v>
      </c>
    </row>
    <row r="50" spans="1:15">
      <c r="A50" s="9">
        <v>1050541</v>
      </c>
      <c r="B50" s="9" t="s">
        <v>74</v>
      </c>
      <c r="C50" s="13">
        <v>11000</v>
      </c>
      <c r="D50" s="10">
        <v>11000</v>
      </c>
      <c r="E50" s="10">
        <v>11000</v>
      </c>
      <c r="F50" s="10">
        <v>11000</v>
      </c>
      <c r="G50" s="10">
        <v>11000</v>
      </c>
      <c r="H50" s="10">
        <v>11000</v>
      </c>
      <c r="I50" s="10">
        <v>11000</v>
      </c>
      <c r="J50" s="10">
        <v>11000</v>
      </c>
      <c r="K50" s="10">
        <v>11000</v>
      </c>
      <c r="L50" s="10">
        <v>11000</v>
      </c>
      <c r="M50" s="10">
        <v>11000</v>
      </c>
      <c r="N50" s="10">
        <v>11000</v>
      </c>
      <c r="O50" s="10">
        <v>11000</v>
      </c>
    </row>
    <row r="51" spans="1:15">
      <c r="A51" s="9">
        <v>1050551</v>
      </c>
      <c r="B51" s="9" t="s">
        <v>76</v>
      </c>
      <c r="C51" s="13">
        <v>54000</v>
      </c>
      <c r="D51" s="10">
        <v>54000</v>
      </c>
      <c r="E51" s="10">
        <v>54000</v>
      </c>
      <c r="F51" s="10">
        <v>54000</v>
      </c>
      <c r="G51" s="10">
        <v>54000</v>
      </c>
      <c r="H51" s="10">
        <v>54000</v>
      </c>
      <c r="I51" s="10">
        <v>54000</v>
      </c>
      <c r="J51" s="10">
        <v>54000</v>
      </c>
      <c r="K51" s="10">
        <v>54000</v>
      </c>
      <c r="L51" s="10">
        <v>54000</v>
      </c>
      <c r="M51" s="10">
        <v>54000</v>
      </c>
      <c r="N51" s="10">
        <v>54000</v>
      </c>
      <c r="O51" s="10">
        <v>54000</v>
      </c>
    </row>
    <row r="52" spans="1:15">
      <c r="A52" s="9">
        <v>1050561</v>
      </c>
      <c r="B52" s="9" t="s">
        <v>78</v>
      </c>
      <c r="C52" s="13">
        <v>98000</v>
      </c>
      <c r="D52" s="10">
        <v>98000</v>
      </c>
      <c r="E52" s="10">
        <v>98000</v>
      </c>
      <c r="F52" s="10">
        <v>98000</v>
      </c>
      <c r="G52" s="10">
        <v>98000</v>
      </c>
      <c r="H52" s="10">
        <v>98000</v>
      </c>
      <c r="I52" s="10">
        <v>98000</v>
      </c>
      <c r="J52" s="10">
        <v>98000</v>
      </c>
      <c r="K52" s="10">
        <v>77321</v>
      </c>
      <c r="L52" s="10">
        <v>77321</v>
      </c>
      <c r="M52" s="10">
        <v>77321</v>
      </c>
      <c r="N52" s="10">
        <v>77321</v>
      </c>
      <c r="O52" s="10">
        <v>77321</v>
      </c>
    </row>
    <row r="53" spans="1:15">
      <c r="A53" s="9">
        <v>1050571</v>
      </c>
      <c r="B53" s="9" t="s">
        <v>80</v>
      </c>
      <c r="C53" s="13">
        <v>58600</v>
      </c>
      <c r="D53" s="10">
        <v>58600</v>
      </c>
      <c r="E53" s="10">
        <v>58000</v>
      </c>
      <c r="F53" s="10">
        <v>58000</v>
      </c>
      <c r="G53" s="10">
        <v>58000</v>
      </c>
      <c r="H53" s="10">
        <v>58600</v>
      </c>
      <c r="I53" s="10">
        <v>58000</v>
      </c>
      <c r="J53" s="10">
        <v>58000</v>
      </c>
      <c r="K53" s="10">
        <v>58000</v>
      </c>
      <c r="L53" s="10">
        <v>58000</v>
      </c>
      <c r="M53" s="10">
        <v>58000</v>
      </c>
      <c r="N53" s="10">
        <v>58000</v>
      </c>
      <c r="O53" s="10">
        <v>58000</v>
      </c>
    </row>
    <row r="54" spans="1:15">
      <c r="A54" s="9">
        <v>1050581</v>
      </c>
      <c r="B54" s="9" t="s">
        <v>82</v>
      </c>
      <c r="C54" s="13">
        <v>57000</v>
      </c>
      <c r="D54" s="10">
        <v>57000</v>
      </c>
      <c r="E54" s="10">
        <v>57000</v>
      </c>
      <c r="F54" s="10">
        <v>57000</v>
      </c>
      <c r="G54" s="10">
        <v>57000</v>
      </c>
      <c r="H54" s="10">
        <v>57000</v>
      </c>
      <c r="I54" s="10">
        <v>57000</v>
      </c>
      <c r="J54" s="10">
        <v>57000</v>
      </c>
      <c r="K54" s="10">
        <v>57000</v>
      </c>
      <c r="L54" s="10">
        <v>57000</v>
      </c>
      <c r="M54" s="10">
        <v>57000</v>
      </c>
      <c r="N54" s="10">
        <v>57000</v>
      </c>
      <c r="O54" s="10">
        <v>57000</v>
      </c>
    </row>
    <row r="55" spans="1:15">
      <c r="A55" s="9">
        <v>1050591</v>
      </c>
      <c r="B55" s="9" t="s">
        <v>84</v>
      </c>
      <c r="C55" s="13">
        <v>97750</v>
      </c>
      <c r="D55" s="10">
        <v>97750</v>
      </c>
      <c r="E55" s="10">
        <v>97750</v>
      </c>
      <c r="F55" s="10">
        <v>97750</v>
      </c>
      <c r="G55" s="10">
        <v>97750</v>
      </c>
      <c r="H55" s="10">
        <v>97750</v>
      </c>
      <c r="I55" s="10">
        <v>97750</v>
      </c>
      <c r="J55" s="10">
        <v>97750</v>
      </c>
      <c r="K55" s="10">
        <v>97750</v>
      </c>
      <c r="L55" s="10">
        <v>97750</v>
      </c>
      <c r="M55" s="10">
        <v>97750</v>
      </c>
      <c r="N55" s="10">
        <v>97750</v>
      </c>
      <c r="O55" s="10">
        <v>97750</v>
      </c>
    </row>
    <row r="56" spans="1:15">
      <c r="A56" s="9">
        <v>1050601</v>
      </c>
      <c r="B56" s="9" t="s">
        <v>86</v>
      </c>
      <c r="C56" s="13">
        <v>5900</v>
      </c>
      <c r="D56" s="10">
        <v>5900</v>
      </c>
      <c r="E56" s="10">
        <v>5900</v>
      </c>
      <c r="F56" s="10">
        <v>5900</v>
      </c>
      <c r="G56" s="10">
        <v>5900</v>
      </c>
      <c r="H56" s="10">
        <v>5900</v>
      </c>
      <c r="I56" s="10">
        <v>5900</v>
      </c>
      <c r="J56" s="10">
        <v>5900</v>
      </c>
      <c r="K56" s="10">
        <v>5900</v>
      </c>
      <c r="L56" s="10">
        <v>5900</v>
      </c>
      <c r="M56" s="10">
        <v>5900</v>
      </c>
      <c r="N56" s="10">
        <v>5900</v>
      </c>
      <c r="O56" s="10">
        <v>5900</v>
      </c>
    </row>
    <row r="57" spans="1:15">
      <c r="A57" s="9">
        <v>1050701</v>
      </c>
      <c r="B57" s="9" t="s">
        <v>88</v>
      </c>
      <c r="C57" s="13">
        <v>5600</v>
      </c>
      <c r="D57" s="10">
        <v>5600</v>
      </c>
      <c r="E57" s="10">
        <v>5600</v>
      </c>
      <c r="F57" s="10">
        <v>5700</v>
      </c>
      <c r="G57" s="10">
        <v>5700</v>
      </c>
      <c r="H57" s="10">
        <v>5700</v>
      </c>
      <c r="I57" s="10">
        <v>5700</v>
      </c>
      <c r="J57" s="10">
        <v>5700</v>
      </c>
      <c r="K57" s="10">
        <v>5700</v>
      </c>
      <c r="L57" s="10">
        <v>5888</v>
      </c>
      <c r="M57" s="10">
        <v>5530</v>
      </c>
      <c r="N57" s="10">
        <v>6000</v>
      </c>
      <c r="O57" s="10">
        <v>6300</v>
      </c>
    </row>
    <row r="58" spans="1:15">
      <c r="A58" s="9">
        <v>1050702</v>
      </c>
      <c r="B58" s="9" t="s">
        <v>90</v>
      </c>
      <c r="C58" s="13">
        <v>5600</v>
      </c>
      <c r="D58" s="10">
        <v>5600</v>
      </c>
      <c r="E58" s="10">
        <v>5600</v>
      </c>
      <c r="F58" s="10">
        <v>5700</v>
      </c>
      <c r="G58" s="10">
        <v>5700</v>
      </c>
      <c r="H58" s="10">
        <v>5700</v>
      </c>
      <c r="I58" s="10">
        <v>5700</v>
      </c>
      <c r="J58" s="10">
        <v>5700</v>
      </c>
      <c r="K58" s="10">
        <v>6000</v>
      </c>
      <c r="L58" s="10">
        <v>6000</v>
      </c>
      <c r="M58" s="10">
        <v>6000</v>
      </c>
      <c r="N58" s="10">
        <v>6000</v>
      </c>
      <c r="O58" s="10">
        <v>6000</v>
      </c>
    </row>
    <row r="59" spans="1:15">
      <c r="A59" s="9">
        <v>1050711</v>
      </c>
      <c r="B59" s="9" t="s">
        <v>92</v>
      </c>
      <c r="C59" s="13">
        <v>3005</v>
      </c>
      <c r="D59" s="10">
        <v>2946</v>
      </c>
      <c r="E59" s="10">
        <v>2900</v>
      </c>
      <c r="F59" s="10">
        <v>2900</v>
      </c>
      <c r="G59" s="10">
        <v>2900</v>
      </c>
      <c r="H59" s="10">
        <v>2900</v>
      </c>
      <c r="I59" s="10">
        <v>2900</v>
      </c>
      <c r="J59" s="10">
        <v>2900</v>
      </c>
      <c r="K59" s="10">
        <v>2900</v>
      </c>
      <c r="L59" s="10">
        <v>2900</v>
      </c>
      <c r="M59" s="10">
        <v>2900</v>
      </c>
      <c r="N59" s="10">
        <v>2900</v>
      </c>
      <c r="O59" s="10">
        <v>2900</v>
      </c>
    </row>
    <row r="60" spans="1:15">
      <c r="A60" s="9">
        <v>1050721</v>
      </c>
      <c r="B60" s="9" t="s">
        <v>94</v>
      </c>
      <c r="C60" s="13">
        <v>14300</v>
      </c>
      <c r="D60" s="10">
        <v>14300</v>
      </c>
      <c r="E60" s="10">
        <v>14300</v>
      </c>
      <c r="F60" s="10">
        <v>14300</v>
      </c>
      <c r="G60" s="10">
        <v>14300</v>
      </c>
      <c r="H60" s="10">
        <v>14800</v>
      </c>
      <c r="I60" s="10">
        <v>14800</v>
      </c>
      <c r="J60" s="10">
        <v>14800</v>
      </c>
      <c r="K60" s="10">
        <v>14800</v>
      </c>
      <c r="L60" s="10">
        <v>14800</v>
      </c>
      <c r="M60" s="10">
        <v>14800</v>
      </c>
      <c r="N60" s="10">
        <v>14800</v>
      </c>
      <c r="O60" s="10">
        <v>13549</v>
      </c>
    </row>
    <row r="61" spans="1:15">
      <c r="A61" s="9">
        <v>1050801</v>
      </c>
      <c r="B61" s="9" t="s">
        <v>7</v>
      </c>
      <c r="C61" s="13">
        <v>1025</v>
      </c>
      <c r="D61" s="10">
        <v>1062</v>
      </c>
      <c r="E61" s="10">
        <v>1026</v>
      </c>
      <c r="F61" s="10">
        <v>1022</v>
      </c>
      <c r="G61" s="10">
        <v>1048</v>
      </c>
      <c r="H61" s="10">
        <v>1046</v>
      </c>
      <c r="I61" s="10">
        <v>1044</v>
      </c>
      <c r="J61" s="10">
        <v>1016</v>
      </c>
      <c r="K61" s="10">
        <v>1006</v>
      </c>
      <c r="L61" s="10">
        <v>1000</v>
      </c>
      <c r="M61" s="10">
        <v>1000</v>
      </c>
      <c r="N61" s="10">
        <v>927</v>
      </c>
      <c r="O61" s="10">
        <v>922</v>
      </c>
    </row>
    <row r="62" spans="1:15">
      <c r="A62" s="9">
        <v>1050901</v>
      </c>
      <c r="B62" s="9" t="s">
        <v>96</v>
      </c>
      <c r="C62" s="13">
        <v>1441</v>
      </c>
      <c r="D62" s="10">
        <v>1539</v>
      </c>
      <c r="E62" s="10">
        <v>1539</v>
      </c>
      <c r="F62" s="10">
        <v>1539</v>
      </c>
      <c r="G62" s="10">
        <v>1510</v>
      </c>
      <c r="H62" s="10">
        <v>1452</v>
      </c>
      <c r="I62" s="10">
        <v>1402</v>
      </c>
      <c r="J62" s="10">
        <v>1322</v>
      </c>
      <c r="K62" s="10">
        <v>1283</v>
      </c>
      <c r="L62" s="10">
        <v>1275</v>
      </c>
      <c r="M62" s="10">
        <v>1225</v>
      </c>
      <c r="N62" s="10">
        <v>1218</v>
      </c>
      <c r="O62" s="10">
        <v>1216</v>
      </c>
    </row>
    <row r="63" spans="1:15">
      <c r="A63" s="9">
        <v>1060101</v>
      </c>
      <c r="B63" s="9" t="s">
        <v>98</v>
      </c>
      <c r="C63" s="13">
        <v>2250</v>
      </c>
      <c r="D63" s="10">
        <v>2250</v>
      </c>
      <c r="E63" s="10">
        <v>2250</v>
      </c>
      <c r="F63" s="10">
        <v>2126</v>
      </c>
      <c r="G63" s="10">
        <v>2200</v>
      </c>
      <c r="H63" s="10">
        <v>2201</v>
      </c>
      <c r="I63" s="10">
        <v>2183</v>
      </c>
      <c r="J63" s="10">
        <v>2168</v>
      </c>
      <c r="K63" s="10">
        <v>2195</v>
      </c>
      <c r="L63" s="10">
        <v>2200</v>
      </c>
      <c r="M63" s="10">
        <v>2200</v>
      </c>
      <c r="N63" s="10">
        <v>2200</v>
      </c>
      <c r="O63" s="10">
        <v>2200</v>
      </c>
    </row>
    <row r="64" spans="1:15">
      <c r="A64" s="9">
        <v>1060401</v>
      </c>
      <c r="B64" s="9" t="s">
        <v>100</v>
      </c>
      <c r="C64" s="13">
        <v>71000</v>
      </c>
      <c r="D64" s="10">
        <v>71000</v>
      </c>
      <c r="E64" s="10">
        <v>71000</v>
      </c>
      <c r="F64" s="10">
        <v>71000</v>
      </c>
      <c r="G64" s="10">
        <v>71000</v>
      </c>
      <c r="H64" s="10">
        <v>71000</v>
      </c>
      <c r="I64" s="10">
        <v>71000</v>
      </c>
      <c r="J64" s="10">
        <v>71000</v>
      </c>
      <c r="K64" s="10">
        <v>71000</v>
      </c>
      <c r="L64" s="10">
        <v>71000</v>
      </c>
      <c r="M64" s="10">
        <v>71000</v>
      </c>
      <c r="N64" s="10">
        <v>71000</v>
      </c>
      <c r="O64" s="10">
        <v>71000</v>
      </c>
    </row>
    <row r="65" spans="1:15">
      <c r="A65" s="9">
        <v>1060412</v>
      </c>
      <c r="B65" s="9" t="s">
        <v>230</v>
      </c>
      <c r="C65" s="13">
        <v>33000</v>
      </c>
      <c r="D65" s="10">
        <v>33000</v>
      </c>
      <c r="E65" s="10">
        <v>33000</v>
      </c>
      <c r="F65" s="10">
        <v>33000</v>
      </c>
      <c r="G65" s="10">
        <v>33000</v>
      </c>
      <c r="H65" s="10">
        <v>33000</v>
      </c>
      <c r="I65" s="10">
        <v>33000</v>
      </c>
      <c r="J65" s="10">
        <v>33000</v>
      </c>
      <c r="K65" s="10">
        <v>33000</v>
      </c>
      <c r="L65" s="10">
        <v>33000</v>
      </c>
      <c r="M65" s="10">
        <v>33000</v>
      </c>
      <c r="N65" s="10">
        <v>33000</v>
      </c>
      <c r="O65" s="10">
        <v>33000</v>
      </c>
    </row>
    <row r="66" spans="1:15">
      <c r="A66" s="9">
        <v>1060421</v>
      </c>
      <c r="B66" s="9" t="s">
        <v>104</v>
      </c>
      <c r="C66" s="13">
        <v>76000</v>
      </c>
      <c r="D66" s="10">
        <v>76000</v>
      </c>
      <c r="E66" s="10">
        <v>76000</v>
      </c>
      <c r="F66" s="10">
        <v>76000</v>
      </c>
      <c r="G66" s="10">
        <v>76000</v>
      </c>
      <c r="H66" s="10">
        <v>76000</v>
      </c>
      <c r="I66" s="10">
        <v>76000</v>
      </c>
      <c r="J66" s="10">
        <v>76000</v>
      </c>
      <c r="K66" s="10">
        <v>130000</v>
      </c>
      <c r="L66" s="10">
        <v>130000</v>
      </c>
      <c r="M66" s="10">
        <v>130000</v>
      </c>
      <c r="N66" s="10">
        <v>110000</v>
      </c>
      <c r="O66" s="10">
        <v>110000</v>
      </c>
    </row>
    <row r="67" spans="1:15">
      <c r="A67" s="9">
        <v>1060441</v>
      </c>
      <c r="B67" s="9" t="s">
        <v>106</v>
      </c>
      <c r="C67" s="13">
        <v>4500</v>
      </c>
      <c r="D67" s="10">
        <v>4500</v>
      </c>
      <c r="E67" s="10">
        <v>5200</v>
      </c>
      <c r="F67" s="10">
        <v>5200</v>
      </c>
      <c r="G67" s="10">
        <v>5200</v>
      </c>
      <c r="H67" s="10">
        <v>5200</v>
      </c>
      <c r="I67" s="10">
        <v>5200</v>
      </c>
      <c r="J67" s="10">
        <v>6700</v>
      </c>
      <c r="K67" s="10">
        <v>6500</v>
      </c>
      <c r="L67" s="10">
        <v>6471</v>
      </c>
      <c r="M67" s="10">
        <v>6471</v>
      </c>
      <c r="N67" s="10">
        <v>6471</v>
      </c>
      <c r="O67" s="10">
        <v>6471</v>
      </c>
    </row>
    <row r="68" spans="1:15">
      <c r="A68" s="9">
        <v>1060451</v>
      </c>
      <c r="B68" s="9" t="s">
        <v>108</v>
      </c>
      <c r="C68" s="13">
        <v>0</v>
      </c>
      <c r="D68" s="10">
        <v>0</v>
      </c>
      <c r="E68" s="10">
        <v>0</v>
      </c>
      <c r="F68" s="10">
        <v>0</v>
      </c>
      <c r="G68" s="10">
        <v>38235</v>
      </c>
      <c r="H68" s="10">
        <v>38235</v>
      </c>
      <c r="I68" s="10">
        <v>38235</v>
      </c>
      <c r="J68" s="10">
        <v>38235</v>
      </c>
      <c r="K68" s="10">
        <v>38235</v>
      </c>
      <c r="L68" s="10">
        <v>38235</v>
      </c>
      <c r="M68" s="10">
        <v>38235</v>
      </c>
      <c r="N68" s="10">
        <v>38235</v>
      </c>
      <c r="O68" s="10">
        <v>38235</v>
      </c>
    </row>
    <row r="69" spans="1:15">
      <c r="A69" s="9">
        <v>1070101</v>
      </c>
      <c r="B69" s="9" t="s">
        <v>110</v>
      </c>
      <c r="C69" s="13">
        <v>4000</v>
      </c>
      <c r="D69" s="10">
        <v>4000</v>
      </c>
      <c r="E69" s="10">
        <v>3650</v>
      </c>
      <c r="F69" s="10">
        <v>4000</v>
      </c>
      <c r="G69" s="10">
        <v>3650</v>
      </c>
      <c r="H69" s="10">
        <v>3620</v>
      </c>
      <c r="I69" s="10">
        <v>4000</v>
      </c>
      <c r="J69" s="10">
        <v>3240</v>
      </c>
      <c r="K69" s="10">
        <v>3820</v>
      </c>
      <c r="L69" s="10">
        <v>3820</v>
      </c>
      <c r="M69" s="10">
        <v>3640</v>
      </c>
      <c r="N69" s="10">
        <v>3820</v>
      </c>
      <c r="O69" s="10">
        <v>4000</v>
      </c>
    </row>
    <row r="70" spans="1:15">
      <c r="A70" s="9">
        <v>1070301</v>
      </c>
      <c r="B70" s="9" t="s">
        <v>112</v>
      </c>
      <c r="C70" s="13">
        <v>35000</v>
      </c>
      <c r="D70" s="10">
        <v>35000</v>
      </c>
      <c r="E70" s="10">
        <v>35000</v>
      </c>
      <c r="F70" s="10">
        <v>35000</v>
      </c>
      <c r="G70" s="10">
        <v>37000</v>
      </c>
      <c r="H70" s="10">
        <v>35000</v>
      </c>
      <c r="I70" s="10">
        <v>37000</v>
      </c>
      <c r="J70" s="10">
        <v>37000</v>
      </c>
      <c r="K70" s="10">
        <v>35000</v>
      </c>
      <c r="L70" s="10">
        <v>35000</v>
      </c>
      <c r="M70" s="10">
        <v>35000</v>
      </c>
      <c r="N70" s="10">
        <v>37000</v>
      </c>
      <c r="O70" s="10">
        <v>35000</v>
      </c>
    </row>
    <row r="71" spans="1:15">
      <c r="A71" s="9">
        <v>1070401</v>
      </c>
      <c r="B71" s="9" t="s">
        <v>114</v>
      </c>
      <c r="C71" s="13">
        <v>11800</v>
      </c>
      <c r="D71" s="10">
        <v>12000</v>
      </c>
      <c r="E71" s="10">
        <v>12000</v>
      </c>
      <c r="F71" s="10">
        <v>12000</v>
      </c>
      <c r="G71" s="10">
        <v>12000</v>
      </c>
      <c r="H71" s="10">
        <v>12000</v>
      </c>
      <c r="I71" s="10">
        <v>12000</v>
      </c>
      <c r="J71" s="10">
        <v>12000</v>
      </c>
      <c r="K71" s="10">
        <v>12000</v>
      </c>
      <c r="L71" s="10">
        <v>12000</v>
      </c>
      <c r="M71" s="10">
        <v>12000</v>
      </c>
      <c r="N71" s="10">
        <v>12000</v>
      </c>
      <c r="O71" s="10">
        <v>12000</v>
      </c>
    </row>
    <row r="72" spans="1:15">
      <c r="A72" s="9">
        <v>1070501</v>
      </c>
      <c r="B72" s="9" t="s">
        <v>231</v>
      </c>
      <c r="C72" s="13">
        <v>5500</v>
      </c>
      <c r="D72" s="10">
        <v>5500</v>
      </c>
      <c r="E72" s="10">
        <v>5500</v>
      </c>
      <c r="F72" s="10">
        <v>5500</v>
      </c>
      <c r="G72" s="10">
        <v>5500</v>
      </c>
      <c r="H72" s="10">
        <v>5500</v>
      </c>
      <c r="I72" s="10">
        <v>5500</v>
      </c>
      <c r="J72" s="10">
        <v>5500</v>
      </c>
      <c r="K72" s="10">
        <v>5500</v>
      </c>
      <c r="L72" s="10">
        <v>5500</v>
      </c>
      <c r="M72" s="10">
        <v>5500</v>
      </c>
      <c r="N72" s="10">
        <v>5500</v>
      </c>
      <c r="O72" s="10">
        <v>5500</v>
      </c>
    </row>
    <row r="73" spans="1:15">
      <c r="A73" s="9">
        <v>1070701</v>
      </c>
      <c r="B73" s="9" t="s">
        <v>118</v>
      </c>
      <c r="C73" s="13">
        <v>36000</v>
      </c>
      <c r="D73" s="10">
        <v>36000</v>
      </c>
      <c r="E73" s="10">
        <v>36000</v>
      </c>
      <c r="F73" s="10">
        <v>36000</v>
      </c>
      <c r="G73" s="10">
        <v>36000</v>
      </c>
      <c r="H73" s="10">
        <v>36000</v>
      </c>
      <c r="I73" s="10">
        <v>36000</v>
      </c>
      <c r="J73" s="10">
        <v>36000</v>
      </c>
      <c r="K73" s="10">
        <v>36000</v>
      </c>
      <c r="L73" s="10">
        <v>36000</v>
      </c>
      <c r="M73" s="10">
        <v>36000</v>
      </c>
      <c r="N73" s="10">
        <v>36000</v>
      </c>
      <c r="O73" s="10">
        <v>36000</v>
      </c>
    </row>
    <row r="74" spans="1:15">
      <c r="A74" s="9">
        <v>1070801</v>
      </c>
      <c r="B74" s="9" t="s">
        <v>232</v>
      </c>
      <c r="C74" s="13">
        <v>35000</v>
      </c>
      <c r="D74" s="10">
        <v>35000</v>
      </c>
      <c r="E74" s="10">
        <v>35000</v>
      </c>
      <c r="F74" s="10">
        <v>35000</v>
      </c>
      <c r="G74" s="10">
        <v>35000</v>
      </c>
      <c r="H74" s="10">
        <v>35000</v>
      </c>
      <c r="I74" s="10">
        <v>35000</v>
      </c>
      <c r="J74" s="10">
        <v>35000</v>
      </c>
      <c r="K74" s="10">
        <v>35000</v>
      </c>
      <c r="L74" s="10">
        <v>35000</v>
      </c>
      <c r="M74" s="10">
        <v>35000</v>
      </c>
      <c r="N74" s="10">
        <v>35000</v>
      </c>
      <c r="O74" s="10">
        <v>35000</v>
      </c>
    </row>
    <row r="75" spans="1:15">
      <c r="A75" s="9">
        <v>1080101</v>
      </c>
      <c r="B75" s="9" t="s">
        <v>120</v>
      </c>
      <c r="C75" s="13">
        <v>10700</v>
      </c>
      <c r="D75" s="10">
        <v>11000</v>
      </c>
      <c r="E75" s="10">
        <v>11000</v>
      </c>
      <c r="F75" s="10">
        <v>11000</v>
      </c>
      <c r="G75" s="10">
        <v>11000</v>
      </c>
      <c r="H75" s="10">
        <v>11000</v>
      </c>
      <c r="I75" s="10">
        <v>11000</v>
      </c>
      <c r="J75" s="10">
        <v>11000</v>
      </c>
      <c r="K75" s="10">
        <v>11000</v>
      </c>
      <c r="L75" s="10">
        <v>11000</v>
      </c>
      <c r="M75" s="10">
        <v>11000</v>
      </c>
      <c r="N75" s="10">
        <v>11000</v>
      </c>
      <c r="O75" s="10">
        <v>11000</v>
      </c>
    </row>
    <row r="76" spans="1:15">
      <c r="A76" s="9">
        <v>1080201</v>
      </c>
      <c r="B76" s="9" t="s">
        <v>122</v>
      </c>
      <c r="C76" s="13">
        <v>614</v>
      </c>
      <c r="D76" s="10">
        <v>614</v>
      </c>
      <c r="E76" s="10">
        <v>620</v>
      </c>
      <c r="F76" s="10">
        <v>540</v>
      </c>
      <c r="G76" s="10">
        <v>540</v>
      </c>
      <c r="H76" s="10">
        <v>540</v>
      </c>
      <c r="I76" s="10">
        <v>540</v>
      </c>
      <c r="J76" s="10">
        <v>540</v>
      </c>
      <c r="K76" s="10">
        <v>540</v>
      </c>
      <c r="L76" s="10">
        <v>540</v>
      </c>
      <c r="M76" s="10">
        <v>540</v>
      </c>
      <c r="N76" s="10">
        <v>540</v>
      </c>
      <c r="O76" s="10">
        <v>540</v>
      </c>
    </row>
    <row r="77" spans="1:15">
      <c r="A77" s="9">
        <v>1080301</v>
      </c>
      <c r="B77" s="9" t="s">
        <v>124</v>
      </c>
      <c r="C77" s="13">
        <v>1550</v>
      </c>
      <c r="D77" s="10">
        <v>1550</v>
      </c>
      <c r="E77" s="10">
        <v>1550</v>
      </c>
      <c r="F77" s="10">
        <v>1550</v>
      </c>
      <c r="G77" s="10">
        <v>1550</v>
      </c>
      <c r="H77" s="10">
        <v>1550</v>
      </c>
      <c r="I77" s="10">
        <v>1550</v>
      </c>
      <c r="J77" s="10">
        <v>1550</v>
      </c>
      <c r="K77" s="10">
        <v>1550</v>
      </c>
      <c r="L77" s="10">
        <v>1550</v>
      </c>
      <c r="M77" s="10">
        <v>1550</v>
      </c>
      <c r="N77" s="10">
        <v>1550</v>
      </c>
      <c r="O77" s="10">
        <v>1550</v>
      </c>
    </row>
    <row r="78" spans="1:15">
      <c r="A78" s="9">
        <v>1080401</v>
      </c>
      <c r="B78" s="9" t="s">
        <v>233</v>
      </c>
      <c r="C78" s="13">
        <v>3400</v>
      </c>
      <c r="D78" s="10">
        <v>3300</v>
      </c>
      <c r="E78" s="10">
        <v>3300</v>
      </c>
      <c r="F78" s="10">
        <v>3300</v>
      </c>
      <c r="G78" s="10">
        <v>3300</v>
      </c>
      <c r="H78" s="10">
        <v>3300</v>
      </c>
      <c r="I78" s="10">
        <v>3300</v>
      </c>
      <c r="J78" s="10">
        <v>3300</v>
      </c>
      <c r="K78" s="10">
        <v>3300</v>
      </c>
      <c r="L78" s="10">
        <v>3300</v>
      </c>
      <c r="M78" s="10">
        <v>3300</v>
      </c>
      <c r="N78" s="10">
        <v>3300</v>
      </c>
      <c r="O78" s="10">
        <v>3300</v>
      </c>
    </row>
    <row r="79" spans="1:15">
      <c r="A79" s="9">
        <v>1080411</v>
      </c>
      <c r="B79" s="9" t="s">
        <v>128</v>
      </c>
      <c r="C79" s="13">
        <v>3400</v>
      </c>
      <c r="D79" s="10">
        <v>3300</v>
      </c>
      <c r="E79" s="10">
        <v>3300</v>
      </c>
      <c r="F79" s="10">
        <v>3300</v>
      </c>
      <c r="G79" s="10">
        <v>3300</v>
      </c>
      <c r="H79" s="10">
        <v>3300</v>
      </c>
      <c r="I79" s="10">
        <v>3300</v>
      </c>
      <c r="J79" s="10">
        <v>3300</v>
      </c>
      <c r="K79" s="10">
        <v>3300</v>
      </c>
      <c r="L79" s="10">
        <v>3300</v>
      </c>
      <c r="M79" s="10">
        <v>3300</v>
      </c>
      <c r="N79" s="10">
        <v>3300</v>
      </c>
      <c r="O79" s="10">
        <v>3300</v>
      </c>
    </row>
    <row r="80" spans="1:15">
      <c r="A80" s="9">
        <v>1080501</v>
      </c>
      <c r="B80" s="9" t="s">
        <v>130</v>
      </c>
      <c r="C80" s="13">
        <v>3800</v>
      </c>
      <c r="D80" s="10">
        <v>3800</v>
      </c>
      <c r="E80" s="10">
        <v>3800</v>
      </c>
      <c r="F80" s="10">
        <v>3800</v>
      </c>
      <c r="G80" s="10">
        <v>3800</v>
      </c>
      <c r="H80" s="10">
        <v>3800</v>
      </c>
      <c r="I80" s="10">
        <v>3800</v>
      </c>
      <c r="J80" s="10">
        <v>3800</v>
      </c>
      <c r="K80" s="10">
        <v>3800</v>
      </c>
      <c r="L80" s="10">
        <v>3800</v>
      </c>
      <c r="M80" s="10">
        <v>3800</v>
      </c>
      <c r="N80" s="10">
        <v>3800</v>
      </c>
      <c r="O80" s="10">
        <v>3800</v>
      </c>
    </row>
    <row r="81" spans="1:15">
      <c r="A81" s="9">
        <v>1080602</v>
      </c>
      <c r="B81" s="9" t="s">
        <v>234</v>
      </c>
      <c r="C81" s="13">
        <v>37600</v>
      </c>
      <c r="D81" s="10">
        <v>37600</v>
      </c>
      <c r="E81" s="10">
        <v>37600</v>
      </c>
      <c r="F81" s="10">
        <v>37600</v>
      </c>
      <c r="G81" s="10">
        <v>37600</v>
      </c>
      <c r="H81" s="10">
        <v>37600</v>
      </c>
      <c r="I81" s="10">
        <v>37600</v>
      </c>
      <c r="J81" s="10">
        <v>38600</v>
      </c>
      <c r="K81" s="10">
        <v>38600</v>
      </c>
      <c r="L81" s="10">
        <v>38600</v>
      </c>
      <c r="M81" s="10">
        <v>38600</v>
      </c>
      <c r="N81" s="10">
        <v>38600</v>
      </c>
      <c r="O81" s="10">
        <v>38600</v>
      </c>
    </row>
    <row r="82" spans="1:15">
      <c r="A82" s="9">
        <v>1080604</v>
      </c>
      <c r="B82" s="9" t="s">
        <v>235</v>
      </c>
      <c r="C82" s="13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</row>
    <row r="83" spans="1:15">
      <c r="A83" s="9">
        <v>1080702</v>
      </c>
      <c r="B83" s="9" t="s">
        <v>236</v>
      </c>
      <c r="C83" s="13">
        <v>42500</v>
      </c>
      <c r="D83" s="10">
        <v>42500</v>
      </c>
      <c r="E83" s="10">
        <v>42500</v>
      </c>
      <c r="F83" s="10">
        <v>42500</v>
      </c>
      <c r="G83" s="10">
        <v>42500</v>
      </c>
      <c r="H83" s="10">
        <v>42500</v>
      </c>
      <c r="I83" s="10">
        <v>42500</v>
      </c>
      <c r="J83" s="10">
        <v>43500</v>
      </c>
      <c r="K83" s="10">
        <v>43500</v>
      </c>
      <c r="L83" s="10">
        <v>43500</v>
      </c>
      <c r="M83" s="10">
        <v>43500</v>
      </c>
      <c r="N83" s="10">
        <v>43500</v>
      </c>
      <c r="O83" s="10">
        <v>43500</v>
      </c>
    </row>
    <row r="84" spans="1:15">
      <c r="A84" s="9">
        <v>1080704</v>
      </c>
      <c r="B84" s="9" t="s">
        <v>237</v>
      </c>
      <c r="C84" s="13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</row>
    <row r="85" spans="1:15">
      <c r="A85" s="9">
        <v>1090104</v>
      </c>
      <c r="B85" s="9" t="s">
        <v>136</v>
      </c>
      <c r="C85" s="13">
        <v>40000</v>
      </c>
      <c r="D85" s="10">
        <v>40000</v>
      </c>
      <c r="E85" s="10">
        <v>40000</v>
      </c>
      <c r="F85" s="10">
        <v>40000</v>
      </c>
      <c r="G85" s="10">
        <v>40000</v>
      </c>
      <c r="H85" s="10">
        <v>40000</v>
      </c>
      <c r="I85" s="10">
        <v>40000</v>
      </c>
      <c r="J85" s="10">
        <v>40000</v>
      </c>
      <c r="K85" s="10">
        <v>40000</v>
      </c>
      <c r="L85" s="10">
        <v>40000</v>
      </c>
      <c r="M85" s="10">
        <v>40000</v>
      </c>
      <c r="N85" s="10">
        <v>40000</v>
      </c>
      <c r="O85" s="10">
        <v>40000</v>
      </c>
    </row>
    <row r="86" spans="1:15">
      <c r="A86" s="9">
        <v>1090112</v>
      </c>
      <c r="B86" s="9" t="s">
        <v>138</v>
      </c>
      <c r="C86" s="13">
        <v>35000</v>
      </c>
      <c r="D86" s="10">
        <v>35000</v>
      </c>
      <c r="E86" s="10">
        <v>35000</v>
      </c>
      <c r="F86" s="10">
        <v>35000</v>
      </c>
      <c r="G86" s="10">
        <v>35000</v>
      </c>
      <c r="H86" s="10">
        <v>35000</v>
      </c>
      <c r="I86" s="10">
        <v>35000</v>
      </c>
      <c r="J86" s="10">
        <v>35000</v>
      </c>
      <c r="K86" s="10">
        <v>35000</v>
      </c>
      <c r="L86" s="10">
        <v>35000</v>
      </c>
      <c r="M86" s="10">
        <v>35000</v>
      </c>
      <c r="N86" s="10">
        <v>35000</v>
      </c>
      <c r="O86" s="10">
        <v>35000</v>
      </c>
    </row>
    <row r="87" spans="1:15">
      <c r="A87" s="9">
        <v>1090201</v>
      </c>
      <c r="B87" s="9" t="s">
        <v>140</v>
      </c>
      <c r="C87" s="13">
        <v>15800</v>
      </c>
      <c r="D87" s="10">
        <v>15800</v>
      </c>
      <c r="E87" s="10">
        <v>15800</v>
      </c>
      <c r="F87" s="10">
        <v>15800</v>
      </c>
      <c r="G87" s="10">
        <v>15800</v>
      </c>
      <c r="H87" s="10">
        <v>15800</v>
      </c>
      <c r="I87" s="10">
        <v>15800</v>
      </c>
      <c r="J87" s="10">
        <v>15800</v>
      </c>
      <c r="K87" s="10">
        <v>15800</v>
      </c>
      <c r="L87" s="10">
        <v>15800</v>
      </c>
      <c r="M87" s="10">
        <v>15800</v>
      </c>
      <c r="N87" s="10">
        <v>15800</v>
      </c>
      <c r="O87" s="10">
        <v>15800</v>
      </c>
    </row>
    <row r="88" spans="1:15">
      <c r="A88" s="9">
        <v>1090202</v>
      </c>
      <c r="B88" s="9" t="s">
        <v>142</v>
      </c>
      <c r="C88" s="13">
        <v>98000</v>
      </c>
      <c r="D88" s="10">
        <v>98000</v>
      </c>
      <c r="E88" s="10">
        <v>98000</v>
      </c>
      <c r="F88" s="10">
        <v>98000</v>
      </c>
      <c r="G88" s="10">
        <v>98000</v>
      </c>
      <c r="H88" s="10">
        <v>98000</v>
      </c>
      <c r="I88" s="10">
        <v>98000</v>
      </c>
      <c r="J88" s="10">
        <v>98000</v>
      </c>
      <c r="K88" s="10">
        <v>98000</v>
      </c>
      <c r="L88" s="10">
        <v>98000</v>
      </c>
      <c r="M88" s="10">
        <v>98000</v>
      </c>
      <c r="N88" s="10">
        <v>98000</v>
      </c>
      <c r="O88" s="10">
        <v>98000</v>
      </c>
    </row>
    <row r="89" spans="1:15">
      <c r="A89" s="9">
        <v>1090203</v>
      </c>
      <c r="B89" s="9" t="s">
        <v>144</v>
      </c>
      <c r="C89" s="13">
        <v>23000</v>
      </c>
      <c r="D89" s="10">
        <v>23000</v>
      </c>
      <c r="E89" s="10">
        <v>23000</v>
      </c>
      <c r="F89" s="10">
        <v>23000</v>
      </c>
      <c r="G89" s="10">
        <v>23000</v>
      </c>
      <c r="H89" s="10">
        <v>23000</v>
      </c>
      <c r="I89" s="10">
        <v>23000</v>
      </c>
      <c r="J89" s="10">
        <v>23000</v>
      </c>
      <c r="K89" s="10">
        <v>23000</v>
      </c>
      <c r="L89" s="10">
        <v>23000</v>
      </c>
      <c r="M89" s="10">
        <v>23000</v>
      </c>
      <c r="N89" s="10">
        <v>23000</v>
      </c>
      <c r="O89" s="10">
        <v>23000</v>
      </c>
    </row>
    <row r="90" spans="1:15">
      <c r="A90" s="9">
        <v>1090211</v>
      </c>
      <c r="B90" s="9" t="s">
        <v>146</v>
      </c>
      <c r="C90" s="13">
        <v>69000</v>
      </c>
      <c r="D90" s="10">
        <v>69000</v>
      </c>
      <c r="E90" s="10">
        <v>69000</v>
      </c>
      <c r="F90" s="10">
        <v>69000</v>
      </c>
      <c r="G90" s="10">
        <v>67647</v>
      </c>
      <c r="H90" s="10">
        <v>67647</v>
      </c>
      <c r="I90" s="10">
        <v>67647</v>
      </c>
      <c r="J90" s="10">
        <v>67647</v>
      </c>
      <c r="K90" s="10">
        <v>67647</v>
      </c>
      <c r="L90" s="10">
        <v>64706</v>
      </c>
      <c r="M90" s="10">
        <v>64706</v>
      </c>
      <c r="N90" s="10">
        <v>64706</v>
      </c>
      <c r="O90" s="10">
        <v>64706</v>
      </c>
    </row>
    <row r="91" spans="1:15">
      <c r="A91" s="9">
        <v>1090301</v>
      </c>
      <c r="B91" s="9" t="s">
        <v>238</v>
      </c>
      <c r="C91" s="13">
        <v>32000</v>
      </c>
      <c r="D91" s="10">
        <v>32000</v>
      </c>
      <c r="E91" s="10">
        <v>32000</v>
      </c>
      <c r="F91" s="10">
        <v>32000</v>
      </c>
      <c r="G91" s="10">
        <v>32000</v>
      </c>
      <c r="H91" s="10">
        <v>32000</v>
      </c>
      <c r="I91" s="10">
        <v>32000</v>
      </c>
      <c r="J91" s="10">
        <v>32000</v>
      </c>
      <c r="K91" s="10">
        <v>32000</v>
      </c>
      <c r="L91" s="10">
        <v>32000</v>
      </c>
      <c r="M91" s="10">
        <v>32000</v>
      </c>
      <c r="N91" s="10">
        <v>32000</v>
      </c>
      <c r="O91" s="10">
        <v>32000</v>
      </c>
    </row>
    <row r="92" spans="1:15">
      <c r="A92" s="9">
        <v>1090311</v>
      </c>
      <c r="B92" s="9" t="s">
        <v>150</v>
      </c>
      <c r="C92" s="13">
        <v>37000</v>
      </c>
      <c r="D92" s="10">
        <v>37000</v>
      </c>
      <c r="E92" s="10">
        <v>37000</v>
      </c>
      <c r="F92" s="10">
        <v>37000</v>
      </c>
      <c r="G92" s="10">
        <v>37000</v>
      </c>
      <c r="H92" s="10">
        <v>37000</v>
      </c>
      <c r="I92" s="10">
        <v>37000</v>
      </c>
      <c r="J92" s="10">
        <v>37000</v>
      </c>
      <c r="K92" s="10">
        <v>37000</v>
      </c>
      <c r="L92" s="10">
        <v>37000</v>
      </c>
      <c r="M92" s="10">
        <v>37000</v>
      </c>
      <c r="N92" s="10">
        <v>37000</v>
      </c>
      <c r="O92" s="10">
        <v>37000</v>
      </c>
    </row>
    <row r="93" spans="1:15">
      <c r="A93" s="9">
        <v>1090321</v>
      </c>
      <c r="B93" s="9" t="s">
        <v>152</v>
      </c>
      <c r="C93" s="13">
        <v>69000</v>
      </c>
      <c r="D93" s="10">
        <v>75000</v>
      </c>
      <c r="E93" s="10">
        <v>75000</v>
      </c>
      <c r="F93" s="10">
        <v>75000</v>
      </c>
      <c r="G93" s="10">
        <v>75000</v>
      </c>
      <c r="H93" s="10">
        <v>75000</v>
      </c>
      <c r="I93" s="10">
        <v>75000</v>
      </c>
      <c r="J93" s="10">
        <v>66000</v>
      </c>
      <c r="K93" s="10">
        <v>66000</v>
      </c>
      <c r="L93" s="10">
        <v>66000</v>
      </c>
      <c r="M93" s="10">
        <v>66000</v>
      </c>
      <c r="N93" s="10">
        <v>66000</v>
      </c>
      <c r="O93" s="10">
        <v>66000</v>
      </c>
    </row>
    <row r="94" spans="1:15">
      <c r="A94" s="9">
        <v>1090401</v>
      </c>
      <c r="B94" s="9" t="s">
        <v>154</v>
      </c>
      <c r="C94" s="13">
        <v>8300</v>
      </c>
      <c r="D94" s="10">
        <v>8300</v>
      </c>
      <c r="E94" s="10">
        <v>8300</v>
      </c>
      <c r="F94" s="10">
        <v>8300</v>
      </c>
      <c r="G94" s="10">
        <v>8300</v>
      </c>
      <c r="H94" s="10">
        <v>8300</v>
      </c>
      <c r="I94" s="10">
        <v>8300</v>
      </c>
      <c r="J94" s="10">
        <v>8300</v>
      </c>
      <c r="K94" s="10">
        <v>8300</v>
      </c>
      <c r="L94" s="10">
        <v>8300</v>
      </c>
      <c r="M94" s="10">
        <v>8300</v>
      </c>
      <c r="N94" s="10">
        <v>8800</v>
      </c>
      <c r="O94" s="10">
        <v>8800</v>
      </c>
    </row>
    <row r="95" spans="1:15">
      <c r="A95" s="9">
        <v>1090411</v>
      </c>
      <c r="B95" s="9" t="s">
        <v>156</v>
      </c>
      <c r="C95" s="13">
        <v>39000</v>
      </c>
      <c r="D95" s="10">
        <v>39000</v>
      </c>
      <c r="E95" s="10">
        <v>45000</v>
      </c>
      <c r="F95" s="10">
        <v>45000</v>
      </c>
      <c r="G95" s="10">
        <v>45000</v>
      </c>
      <c r="H95" s="10">
        <v>45000</v>
      </c>
      <c r="I95" s="10">
        <v>45000</v>
      </c>
      <c r="J95" s="10">
        <v>45000</v>
      </c>
      <c r="K95" s="10">
        <v>45000</v>
      </c>
      <c r="L95" s="10">
        <v>45000</v>
      </c>
      <c r="M95" s="10">
        <v>45000</v>
      </c>
      <c r="N95" s="10">
        <v>45000</v>
      </c>
      <c r="O95" s="10">
        <v>45000</v>
      </c>
    </row>
    <row r="96" spans="1:15">
      <c r="A96" s="9">
        <v>1090421</v>
      </c>
      <c r="B96" s="9" t="s">
        <v>158</v>
      </c>
      <c r="C96" s="13">
        <v>36000</v>
      </c>
      <c r="D96" s="10">
        <v>36000</v>
      </c>
      <c r="E96" s="10">
        <v>36000</v>
      </c>
      <c r="F96" s="10">
        <v>36000</v>
      </c>
      <c r="G96" s="10">
        <v>36000</v>
      </c>
      <c r="H96" s="10">
        <v>36000</v>
      </c>
      <c r="I96" s="10">
        <v>36000</v>
      </c>
      <c r="J96" s="10">
        <v>36000</v>
      </c>
      <c r="K96" s="10">
        <v>36000</v>
      </c>
      <c r="L96" s="10">
        <v>36000</v>
      </c>
      <c r="M96" s="10">
        <v>36000</v>
      </c>
      <c r="N96" s="10">
        <v>36000</v>
      </c>
      <c r="O96" s="10">
        <v>36000</v>
      </c>
    </row>
    <row r="97" spans="1:15">
      <c r="A97" s="9">
        <v>1090551</v>
      </c>
      <c r="B97" s="9" t="s">
        <v>239</v>
      </c>
      <c r="C97" s="13">
        <v>4900</v>
      </c>
      <c r="D97" s="10">
        <v>4900</v>
      </c>
      <c r="E97" s="10">
        <v>4900</v>
      </c>
      <c r="F97" s="10">
        <v>4900</v>
      </c>
      <c r="G97" s="10">
        <v>4900</v>
      </c>
      <c r="H97" s="10">
        <v>4900</v>
      </c>
      <c r="I97" s="10">
        <v>4900</v>
      </c>
      <c r="J97" s="10">
        <v>4900</v>
      </c>
      <c r="K97" s="10">
        <v>4900</v>
      </c>
      <c r="L97" s="10">
        <v>4900</v>
      </c>
      <c r="M97" s="10">
        <v>4900</v>
      </c>
      <c r="N97" s="10">
        <v>4900</v>
      </c>
      <c r="O97" s="10">
        <v>4900</v>
      </c>
    </row>
    <row r="98" spans="1:15">
      <c r="A98" s="9">
        <v>1090602</v>
      </c>
      <c r="B98" s="9" t="s">
        <v>162</v>
      </c>
      <c r="C98" s="13">
        <v>5130</v>
      </c>
      <c r="D98" s="10">
        <v>5130</v>
      </c>
      <c r="E98" s="10">
        <v>5130</v>
      </c>
      <c r="F98" s="10">
        <v>5130</v>
      </c>
      <c r="G98" s="10">
        <v>5130</v>
      </c>
      <c r="H98" s="10">
        <v>5130</v>
      </c>
      <c r="I98" s="10">
        <v>5130</v>
      </c>
      <c r="J98" s="10">
        <v>5130</v>
      </c>
      <c r="K98" s="10">
        <v>5130</v>
      </c>
      <c r="L98" s="10">
        <v>5130</v>
      </c>
      <c r="M98" s="10">
        <v>5130</v>
      </c>
      <c r="N98" s="10">
        <v>5130</v>
      </c>
      <c r="O98" s="10">
        <v>5130</v>
      </c>
    </row>
    <row r="99" spans="1:15">
      <c r="A99" s="9">
        <v>1090611</v>
      </c>
      <c r="B99" s="9" t="s">
        <v>164</v>
      </c>
      <c r="C99" s="13">
        <v>4300</v>
      </c>
      <c r="D99" s="10">
        <v>4203</v>
      </c>
      <c r="E99" s="10">
        <v>4300</v>
      </c>
      <c r="F99" s="10">
        <v>4203</v>
      </c>
      <c r="G99" s="10">
        <v>4212</v>
      </c>
      <c r="H99" s="10">
        <v>4203</v>
      </c>
      <c r="I99" s="10">
        <v>4203</v>
      </c>
      <c r="J99" s="10">
        <v>4203</v>
      </c>
      <c r="K99" s="10">
        <v>4190</v>
      </c>
      <c r="L99" s="10">
        <v>4300</v>
      </c>
      <c r="M99" s="10">
        <v>4300</v>
      </c>
      <c r="N99" s="10">
        <v>4300</v>
      </c>
      <c r="O99" s="10">
        <v>4300</v>
      </c>
    </row>
    <row r="100" spans="1:15">
      <c r="A100" s="9">
        <v>1090701</v>
      </c>
      <c r="B100" s="9" t="s">
        <v>166</v>
      </c>
      <c r="C100" s="13">
        <v>21000</v>
      </c>
      <c r="D100" s="10">
        <v>21000</v>
      </c>
      <c r="E100" s="10">
        <v>21000</v>
      </c>
      <c r="F100" s="10">
        <v>21000</v>
      </c>
      <c r="G100" s="10">
        <v>21000</v>
      </c>
      <c r="H100" s="10">
        <v>21000</v>
      </c>
      <c r="I100" s="10">
        <v>21000</v>
      </c>
      <c r="J100" s="10">
        <v>21000</v>
      </c>
      <c r="K100" s="10">
        <v>21000</v>
      </c>
      <c r="L100" s="10">
        <v>21000</v>
      </c>
      <c r="M100" s="10">
        <v>21000</v>
      </c>
      <c r="N100" s="10">
        <v>21000</v>
      </c>
      <c r="O100" s="10">
        <v>21000</v>
      </c>
    </row>
    <row r="101" spans="1:15">
      <c r="A101" s="9">
        <v>1090901</v>
      </c>
      <c r="B101" s="9" t="s">
        <v>168</v>
      </c>
      <c r="C101" s="13">
        <v>4300</v>
      </c>
      <c r="D101" s="10">
        <v>4300</v>
      </c>
      <c r="E101" s="10">
        <v>4300</v>
      </c>
      <c r="F101" s="10">
        <v>4300</v>
      </c>
      <c r="G101" s="10">
        <v>4300</v>
      </c>
      <c r="H101" s="10">
        <v>4300</v>
      </c>
      <c r="I101" s="10">
        <v>4300</v>
      </c>
      <c r="J101" s="10">
        <v>4300</v>
      </c>
      <c r="K101" s="10">
        <v>4300</v>
      </c>
      <c r="L101" s="10">
        <v>4300</v>
      </c>
      <c r="M101" s="10">
        <v>4300</v>
      </c>
      <c r="N101" s="10">
        <v>4300</v>
      </c>
      <c r="O101" s="10">
        <v>4300</v>
      </c>
    </row>
    <row r="102" spans="1:15">
      <c r="A102" s="9">
        <v>1091001</v>
      </c>
      <c r="B102" s="9" t="s">
        <v>170</v>
      </c>
      <c r="C102" s="13">
        <v>6500</v>
      </c>
      <c r="D102" s="10">
        <v>6500</v>
      </c>
      <c r="E102" s="10">
        <v>6500</v>
      </c>
      <c r="F102" s="10">
        <v>6500</v>
      </c>
      <c r="G102" s="10">
        <v>7000</v>
      </c>
      <c r="H102" s="10">
        <v>7000</v>
      </c>
      <c r="I102" s="10">
        <v>7000</v>
      </c>
      <c r="J102" s="10">
        <v>7000</v>
      </c>
      <c r="K102" s="10">
        <v>7000</v>
      </c>
      <c r="L102" s="10">
        <v>7000</v>
      </c>
      <c r="M102" s="10">
        <v>7000</v>
      </c>
      <c r="N102" s="10">
        <v>7000</v>
      </c>
      <c r="O102" s="10">
        <v>7000</v>
      </c>
    </row>
    <row r="103" spans="1:15">
      <c r="A103" s="9">
        <v>1091002</v>
      </c>
      <c r="B103" s="9" t="s">
        <v>172</v>
      </c>
      <c r="C103" s="13">
        <v>5216</v>
      </c>
      <c r="D103" s="10">
        <v>5216</v>
      </c>
      <c r="E103" s="10">
        <v>6373</v>
      </c>
      <c r="F103" s="10">
        <v>6373</v>
      </c>
      <c r="G103" s="10">
        <v>6373</v>
      </c>
      <c r="H103" s="10">
        <v>6373</v>
      </c>
      <c r="I103" s="10">
        <v>6373</v>
      </c>
      <c r="J103" s="10">
        <v>6304</v>
      </c>
      <c r="K103" s="10">
        <v>6304</v>
      </c>
      <c r="L103" s="10">
        <v>6304</v>
      </c>
      <c r="M103" s="10">
        <v>6304</v>
      </c>
      <c r="N103" s="10">
        <v>6304</v>
      </c>
      <c r="O103" s="10">
        <v>7030</v>
      </c>
    </row>
    <row r="104" spans="1:15">
      <c r="A104" s="9">
        <v>1091003</v>
      </c>
      <c r="B104" s="9" t="s">
        <v>174</v>
      </c>
      <c r="C104" s="13">
        <v>8535</v>
      </c>
      <c r="D104" s="10">
        <v>6373</v>
      </c>
      <c r="E104" s="10">
        <v>7367</v>
      </c>
      <c r="F104" s="10">
        <v>8687</v>
      </c>
      <c r="G104" s="10">
        <v>8983</v>
      </c>
      <c r="H104" s="10">
        <v>10354</v>
      </c>
      <c r="I104" s="10">
        <v>9784</v>
      </c>
      <c r="J104" s="10">
        <v>11032</v>
      </c>
      <c r="K104" s="10">
        <v>8173</v>
      </c>
      <c r="L104" s="10">
        <v>10400</v>
      </c>
      <c r="M104" s="10">
        <v>10069</v>
      </c>
      <c r="N104" s="10">
        <v>9915</v>
      </c>
      <c r="O104" s="10">
        <v>10695</v>
      </c>
    </row>
    <row r="105" spans="1:15">
      <c r="A105" s="9">
        <v>1091004</v>
      </c>
      <c r="B105" s="9" t="s">
        <v>240</v>
      </c>
      <c r="C105" s="13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</row>
    <row r="106" spans="1:15">
      <c r="A106" s="9">
        <v>1091005</v>
      </c>
      <c r="B106" s="9" t="s">
        <v>241</v>
      </c>
      <c r="C106" s="13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0</v>
      </c>
      <c r="N106" s="10">
        <v>0</v>
      </c>
      <c r="O106" s="10">
        <v>0</v>
      </c>
    </row>
    <row r="107" spans="1:15">
      <c r="A107" s="9">
        <v>1091006</v>
      </c>
      <c r="B107" s="9" t="s">
        <v>242</v>
      </c>
      <c r="C107" s="13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</row>
    <row r="108" spans="1:15">
      <c r="A108" s="9">
        <v>1091007</v>
      </c>
      <c r="B108" s="9" t="s">
        <v>243</v>
      </c>
      <c r="C108" s="13">
        <v>2640</v>
      </c>
      <c r="D108" s="10">
        <v>2640</v>
      </c>
      <c r="E108" s="10">
        <v>2640</v>
      </c>
      <c r="F108" s="10">
        <v>2640</v>
      </c>
      <c r="G108" s="10">
        <v>2640</v>
      </c>
      <c r="H108" s="10">
        <v>2640</v>
      </c>
      <c r="I108" s="10">
        <v>2640</v>
      </c>
      <c r="J108" s="10">
        <v>2640</v>
      </c>
      <c r="K108" s="10">
        <v>2640</v>
      </c>
      <c r="L108" s="10">
        <v>2640</v>
      </c>
      <c r="M108" s="10">
        <v>2640</v>
      </c>
      <c r="N108" s="10">
        <v>2640</v>
      </c>
      <c r="O108" s="10">
        <v>2640</v>
      </c>
    </row>
    <row r="109" spans="1:15">
      <c r="A109" s="9">
        <v>1091008</v>
      </c>
      <c r="B109" s="9" t="s">
        <v>176</v>
      </c>
      <c r="C109" s="13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450000</v>
      </c>
      <c r="M109" s="10">
        <v>450000</v>
      </c>
      <c r="N109" s="10">
        <v>450000</v>
      </c>
      <c r="O109" s="10">
        <v>450000</v>
      </c>
    </row>
    <row r="110" spans="1:15">
      <c r="A110" s="9">
        <v>1091009</v>
      </c>
      <c r="B110" s="9" t="s">
        <v>178</v>
      </c>
      <c r="C110" s="13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190000</v>
      </c>
      <c r="M110" s="10">
        <v>190000</v>
      </c>
      <c r="N110" s="10">
        <v>190000</v>
      </c>
      <c r="O110" s="10">
        <v>190000</v>
      </c>
    </row>
    <row r="111" spans="1:15">
      <c r="A111" s="9">
        <v>1091010</v>
      </c>
      <c r="B111" s="9" t="s">
        <v>180</v>
      </c>
      <c r="C111" s="13">
        <v>27000</v>
      </c>
      <c r="D111" s="10">
        <v>27000</v>
      </c>
      <c r="E111" s="10">
        <v>27000</v>
      </c>
      <c r="F111" s="10">
        <v>27000</v>
      </c>
      <c r="G111" s="10">
        <v>27000</v>
      </c>
      <c r="H111" s="10">
        <v>27000</v>
      </c>
      <c r="I111" s="10">
        <v>27000</v>
      </c>
      <c r="J111" s="10">
        <v>27000</v>
      </c>
      <c r="K111" s="10">
        <v>27000</v>
      </c>
      <c r="L111" s="10">
        <v>27000</v>
      </c>
      <c r="M111" s="10">
        <v>27000</v>
      </c>
      <c r="N111" s="10">
        <v>27000</v>
      </c>
      <c r="O111" s="10">
        <v>27000</v>
      </c>
    </row>
    <row r="112" spans="1:15">
      <c r="A112" s="9">
        <v>1091011</v>
      </c>
      <c r="B112" s="9" t="s">
        <v>182</v>
      </c>
      <c r="C112" s="13">
        <v>33000</v>
      </c>
      <c r="D112" s="10">
        <v>33000</v>
      </c>
      <c r="E112" s="10">
        <v>33000</v>
      </c>
      <c r="F112" s="10">
        <v>33000</v>
      </c>
      <c r="G112" s="10">
        <v>33000</v>
      </c>
      <c r="H112" s="10">
        <v>33000</v>
      </c>
      <c r="I112" s="10">
        <v>33000</v>
      </c>
      <c r="J112" s="10">
        <v>33000</v>
      </c>
      <c r="K112" s="10">
        <v>33000</v>
      </c>
      <c r="L112" s="10">
        <v>33000</v>
      </c>
      <c r="M112" s="10">
        <v>33000</v>
      </c>
      <c r="N112" s="10">
        <v>33000</v>
      </c>
      <c r="O112" s="10">
        <v>33000</v>
      </c>
    </row>
    <row r="113" spans="1:15">
      <c r="A113" s="9">
        <v>1091012</v>
      </c>
      <c r="B113" s="9" t="s">
        <v>184</v>
      </c>
      <c r="C113" s="13">
        <v>47000</v>
      </c>
      <c r="D113" s="10">
        <v>47000</v>
      </c>
      <c r="E113" s="10">
        <v>47000</v>
      </c>
      <c r="F113" s="10">
        <v>47000</v>
      </c>
      <c r="G113" s="10">
        <v>47000</v>
      </c>
      <c r="H113" s="10">
        <v>47000</v>
      </c>
      <c r="I113" s="10">
        <v>47000</v>
      </c>
      <c r="J113" s="10">
        <v>47000</v>
      </c>
      <c r="K113" s="10">
        <v>47000</v>
      </c>
      <c r="L113" s="10">
        <v>47000</v>
      </c>
      <c r="M113" s="10">
        <v>47000</v>
      </c>
      <c r="N113" s="10">
        <v>47000</v>
      </c>
      <c r="O113" s="10">
        <v>47000</v>
      </c>
    </row>
    <row r="114" spans="1:15">
      <c r="A114" s="9">
        <v>1091013</v>
      </c>
      <c r="B114" s="9" t="s">
        <v>186</v>
      </c>
      <c r="C114" s="13">
        <v>33000</v>
      </c>
      <c r="D114" s="10">
        <v>33000</v>
      </c>
      <c r="E114" s="10">
        <v>33000</v>
      </c>
      <c r="F114" s="10">
        <v>33000</v>
      </c>
      <c r="G114" s="10">
        <v>33000</v>
      </c>
      <c r="H114" s="10">
        <v>33000</v>
      </c>
      <c r="I114" s="10">
        <v>33000</v>
      </c>
      <c r="J114" s="10">
        <v>33000</v>
      </c>
      <c r="K114" s="10">
        <v>33000</v>
      </c>
      <c r="L114" s="10">
        <v>33000</v>
      </c>
      <c r="M114" s="10">
        <v>33000</v>
      </c>
      <c r="N114" s="10">
        <v>33000</v>
      </c>
      <c r="O114" s="10">
        <v>33000</v>
      </c>
    </row>
    <row r="115" spans="1:15">
      <c r="A115" s="9">
        <v>1091014</v>
      </c>
      <c r="B115" s="9" t="s">
        <v>244</v>
      </c>
      <c r="C115" s="13">
        <v>6961</v>
      </c>
      <c r="D115" s="10">
        <v>6961</v>
      </c>
      <c r="E115" s="10">
        <v>6961</v>
      </c>
      <c r="F115" s="10">
        <v>6961</v>
      </c>
      <c r="G115" s="10">
        <v>6961</v>
      </c>
      <c r="H115" s="10">
        <v>6961</v>
      </c>
      <c r="I115" s="10">
        <v>6961</v>
      </c>
      <c r="J115" s="10">
        <v>6961</v>
      </c>
      <c r="K115" s="10">
        <v>6961</v>
      </c>
      <c r="L115" s="10">
        <v>6961</v>
      </c>
      <c r="M115" s="10">
        <v>6961</v>
      </c>
      <c r="N115" s="10">
        <v>6961</v>
      </c>
      <c r="O115" s="10">
        <v>6961</v>
      </c>
    </row>
    <row r="116" spans="1:15">
      <c r="A116" s="9">
        <v>1091015</v>
      </c>
      <c r="B116" s="9" t="s">
        <v>245</v>
      </c>
      <c r="C116" s="13">
        <v>25490</v>
      </c>
      <c r="D116" s="10">
        <v>25490</v>
      </c>
      <c r="E116" s="10">
        <v>25490</v>
      </c>
      <c r="F116" s="10">
        <v>25490</v>
      </c>
      <c r="G116" s="10">
        <v>25490</v>
      </c>
      <c r="H116" s="10">
        <v>25490</v>
      </c>
      <c r="I116" s="10">
        <v>28000</v>
      </c>
      <c r="J116" s="10">
        <v>28000</v>
      </c>
      <c r="K116" s="10">
        <v>28000</v>
      </c>
      <c r="L116" s="10">
        <v>28000</v>
      </c>
      <c r="M116" s="10">
        <v>28000</v>
      </c>
      <c r="N116" s="10">
        <v>25490</v>
      </c>
      <c r="O116" s="10">
        <v>25490</v>
      </c>
    </row>
    <row r="117" spans="1:15">
      <c r="A117" s="9">
        <v>1091016</v>
      </c>
      <c r="B117" s="9" t="s">
        <v>246</v>
      </c>
      <c r="C117" s="13">
        <v>50187</v>
      </c>
      <c r="D117" s="10">
        <v>50187</v>
      </c>
      <c r="E117" s="10">
        <v>59000</v>
      </c>
      <c r="F117" s="10">
        <v>59000</v>
      </c>
      <c r="G117" s="10">
        <v>54594</v>
      </c>
      <c r="H117" s="10">
        <v>54594</v>
      </c>
      <c r="I117" s="10">
        <v>54594</v>
      </c>
      <c r="J117" s="10">
        <v>54594</v>
      </c>
      <c r="K117" s="10">
        <v>54594</v>
      </c>
      <c r="L117" s="10">
        <v>77321</v>
      </c>
      <c r="M117" s="10">
        <v>50187</v>
      </c>
      <c r="N117" s="10">
        <v>50187</v>
      </c>
      <c r="O117" s="10">
        <v>50187</v>
      </c>
    </row>
    <row r="118" spans="1:15">
      <c r="A118" s="9">
        <v>1091017</v>
      </c>
      <c r="B118" s="9" t="s">
        <v>247</v>
      </c>
      <c r="C118" s="13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74833</v>
      </c>
      <c r="L118" s="10">
        <v>74833</v>
      </c>
      <c r="M118" s="10">
        <v>74833</v>
      </c>
      <c r="N118" s="10">
        <v>74833</v>
      </c>
      <c r="O118" s="10">
        <v>74833</v>
      </c>
    </row>
    <row r="119" spans="1:15">
      <c r="A119" s="9">
        <v>1091018</v>
      </c>
      <c r="B119" s="9" t="s">
        <v>248</v>
      </c>
      <c r="C119" s="13">
        <v>0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33031</v>
      </c>
      <c r="L119" s="10">
        <v>33031</v>
      </c>
      <c r="M119" s="10">
        <v>33031</v>
      </c>
      <c r="N119" s="10">
        <v>33031</v>
      </c>
      <c r="O119" s="10">
        <v>33031</v>
      </c>
    </row>
    <row r="120" spans="1:15">
      <c r="A120" s="9">
        <v>1091019</v>
      </c>
      <c r="B120" s="9" t="s">
        <v>249</v>
      </c>
      <c r="C120" s="13">
        <v>53387</v>
      </c>
      <c r="D120" s="10">
        <v>53387</v>
      </c>
      <c r="E120" s="10">
        <v>53387</v>
      </c>
      <c r="F120" s="10">
        <v>53387</v>
      </c>
      <c r="G120" s="10">
        <v>53387</v>
      </c>
      <c r="H120" s="10">
        <v>53387</v>
      </c>
      <c r="I120" s="10">
        <v>53387</v>
      </c>
      <c r="J120" s="10">
        <v>53387</v>
      </c>
      <c r="K120" s="10">
        <v>53387</v>
      </c>
      <c r="L120" s="10">
        <v>53387</v>
      </c>
      <c r="M120" s="10">
        <v>53387</v>
      </c>
      <c r="N120" s="10">
        <v>53387</v>
      </c>
      <c r="O120" s="10">
        <v>53387</v>
      </c>
    </row>
    <row r="121" spans="1:15">
      <c r="A121" s="9">
        <v>1091020</v>
      </c>
      <c r="B121" s="9" t="s">
        <v>250</v>
      </c>
      <c r="C121" s="13">
        <v>62745</v>
      </c>
      <c r="D121" s="10">
        <v>62745</v>
      </c>
      <c r="E121" s="10">
        <v>62745</v>
      </c>
      <c r="F121" s="10">
        <v>62745</v>
      </c>
      <c r="G121" s="10">
        <v>62745</v>
      </c>
      <c r="H121" s="10">
        <v>62745</v>
      </c>
      <c r="I121" s="10">
        <v>62745</v>
      </c>
      <c r="J121" s="10">
        <v>62745</v>
      </c>
      <c r="K121" s="10">
        <v>100500</v>
      </c>
      <c r="L121" s="10">
        <v>100500</v>
      </c>
      <c r="M121" s="10">
        <v>100500</v>
      </c>
      <c r="N121" s="10">
        <v>100500</v>
      </c>
      <c r="O121" s="10">
        <v>100500</v>
      </c>
    </row>
    <row r="122" spans="1:15">
      <c r="A122" s="9">
        <v>1091021</v>
      </c>
      <c r="B122" s="9" t="s">
        <v>251</v>
      </c>
      <c r="C122" s="13">
        <v>53922</v>
      </c>
      <c r="D122" s="10">
        <v>53922</v>
      </c>
      <c r="E122" s="10">
        <v>53922</v>
      </c>
      <c r="F122" s="10">
        <v>53922</v>
      </c>
      <c r="G122" s="10">
        <v>53922</v>
      </c>
      <c r="H122" s="10">
        <v>53922</v>
      </c>
      <c r="I122" s="10">
        <v>53922</v>
      </c>
      <c r="J122" s="10">
        <v>53922</v>
      </c>
      <c r="K122" s="10">
        <v>50600</v>
      </c>
      <c r="L122" s="10">
        <v>50600</v>
      </c>
      <c r="M122" s="10">
        <v>50600</v>
      </c>
      <c r="N122" s="10">
        <v>50600</v>
      </c>
      <c r="O122" s="10">
        <v>50600</v>
      </c>
    </row>
    <row r="123" spans="1:15">
      <c r="A123" s="9">
        <v>1091022</v>
      </c>
      <c r="B123" s="9" t="s">
        <v>252</v>
      </c>
      <c r="C123" s="13">
        <v>3235</v>
      </c>
      <c r="D123" s="10">
        <v>3235</v>
      </c>
      <c r="E123" s="10">
        <v>3235</v>
      </c>
      <c r="F123" s="10">
        <v>3235</v>
      </c>
      <c r="G123" s="10">
        <v>3235</v>
      </c>
      <c r="H123" s="10">
        <v>3235</v>
      </c>
      <c r="I123" s="10">
        <v>3235</v>
      </c>
      <c r="J123" s="10">
        <v>3235</v>
      </c>
      <c r="K123" s="10">
        <v>3235</v>
      </c>
      <c r="L123" s="10">
        <v>3235</v>
      </c>
      <c r="M123" s="10">
        <v>3235</v>
      </c>
      <c r="N123" s="10">
        <v>3235</v>
      </c>
      <c r="O123" s="10">
        <v>3235</v>
      </c>
    </row>
    <row r="124" spans="1:15">
      <c r="A124" s="9">
        <v>1091023</v>
      </c>
      <c r="B124" s="9" t="s">
        <v>253</v>
      </c>
      <c r="C124" s="13">
        <v>4412</v>
      </c>
      <c r="D124" s="10">
        <v>4412</v>
      </c>
      <c r="E124" s="10">
        <v>4412</v>
      </c>
      <c r="F124" s="10">
        <v>4412</v>
      </c>
      <c r="G124" s="10">
        <v>4412</v>
      </c>
      <c r="H124" s="10">
        <v>4412</v>
      </c>
      <c r="I124" s="10">
        <v>4412</v>
      </c>
      <c r="J124" s="10">
        <v>4412</v>
      </c>
      <c r="K124" s="10">
        <v>4412</v>
      </c>
      <c r="L124" s="10">
        <v>4412</v>
      </c>
      <c r="M124" s="10">
        <v>4412</v>
      </c>
      <c r="N124" s="10">
        <v>4412</v>
      </c>
      <c r="O124" s="10">
        <v>4412</v>
      </c>
    </row>
    <row r="125" spans="1:15">
      <c r="A125" s="9">
        <v>1091024</v>
      </c>
      <c r="B125" s="9" t="s">
        <v>254</v>
      </c>
      <c r="C125" s="13">
        <v>3922</v>
      </c>
      <c r="D125" s="10">
        <v>3922</v>
      </c>
      <c r="E125" s="10">
        <v>3922</v>
      </c>
      <c r="F125" s="10">
        <v>3922</v>
      </c>
      <c r="G125" s="10">
        <v>3922</v>
      </c>
      <c r="H125" s="10">
        <v>3922</v>
      </c>
      <c r="I125" s="10">
        <v>3922</v>
      </c>
      <c r="J125" s="10">
        <v>3922</v>
      </c>
      <c r="K125" s="10">
        <v>3922</v>
      </c>
      <c r="L125" s="10">
        <v>3922</v>
      </c>
      <c r="M125" s="10">
        <v>3922</v>
      </c>
      <c r="N125" s="10">
        <v>3922</v>
      </c>
      <c r="O125" s="10">
        <v>3922</v>
      </c>
    </row>
    <row r="126" spans="1:15">
      <c r="A126" s="9">
        <v>1091025</v>
      </c>
      <c r="B126" s="9" t="s">
        <v>255</v>
      </c>
      <c r="C126" s="13">
        <v>7843</v>
      </c>
      <c r="D126" s="10">
        <v>7843</v>
      </c>
      <c r="E126" s="10">
        <v>7843</v>
      </c>
      <c r="F126" s="10">
        <v>7843</v>
      </c>
      <c r="G126" s="10">
        <v>6373</v>
      </c>
      <c r="H126" s="10">
        <v>7843</v>
      </c>
      <c r="I126" s="10">
        <v>6275</v>
      </c>
      <c r="J126" s="10">
        <v>6275</v>
      </c>
      <c r="K126" s="10">
        <v>6275</v>
      </c>
      <c r="L126" s="10">
        <v>6373</v>
      </c>
      <c r="M126" s="10">
        <v>6275</v>
      </c>
      <c r="N126" s="10">
        <v>6275</v>
      </c>
      <c r="O126" s="10">
        <v>6373</v>
      </c>
    </row>
    <row r="127" spans="1:15">
      <c r="A127" s="9">
        <v>1091026</v>
      </c>
      <c r="B127" s="9" t="s">
        <v>256</v>
      </c>
      <c r="C127" s="13">
        <v>30196</v>
      </c>
      <c r="D127" s="10">
        <v>30196</v>
      </c>
      <c r="E127" s="10">
        <v>30196</v>
      </c>
      <c r="F127" s="10">
        <v>30196</v>
      </c>
      <c r="G127" s="10">
        <v>30196</v>
      </c>
      <c r="H127" s="10">
        <v>30196</v>
      </c>
      <c r="I127" s="10">
        <v>30196</v>
      </c>
      <c r="J127" s="10">
        <v>30196</v>
      </c>
      <c r="K127" s="10">
        <v>30686</v>
      </c>
      <c r="L127" s="10">
        <v>30686</v>
      </c>
      <c r="M127" s="10">
        <v>30686</v>
      </c>
      <c r="N127" s="10">
        <v>30686</v>
      </c>
      <c r="O127" s="10">
        <v>30686</v>
      </c>
    </row>
    <row r="128" spans="1:15">
      <c r="A128" s="9">
        <v>1600101</v>
      </c>
      <c r="B128" s="9" t="s">
        <v>188</v>
      </c>
      <c r="C128" s="13">
        <v>2206</v>
      </c>
      <c r="D128" s="10">
        <v>2206</v>
      </c>
      <c r="E128" s="10">
        <v>2253</v>
      </c>
      <c r="F128" s="10">
        <v>2324</v>
      </c>
      <c r="G128" s="10">
        <v>2304</v>
      </c>
      <c r="H128" s="10">
        <v>2304</v>
      </c>
      <c r="I128" s="10">
        <v>2402</v>
      </c>
      <c r="J128" s="10">
        <v>2402</v>
      </c>
      <c r="K128" s="10">
        <v>2545</v>
      </c>
      <c r="L128" s="10">
        <v>3044</v>
      </c>
      <c r="M128" s="10">
        <v>2872</v>
      </c>
      <c r="N128" s="10">
        <v>2835</v>
      </c>
      <c r="O128" s="10">
        <v>2892</v>
      </c>
    </row>
    <row r="129" spans="1:15">
      <c r="A129" s="9">
        <v>1600102</v>
      </c>
      <c r="B129" s="9" t="s">
        <v>257</v>
      </c>
      <c r="C129" s="13">
        <v>34314</v>
      </c>
      <c r="D129" s="10">
        <v>34314</v>
      </c>
      <c r="E129" s="10">
        <v>34314</v>
      </c>
      <c r="F129" s="10">
        <v>34314</v>
      </c>
      <c r="G129" s="10">
        <v>34314</v>
      </c>
      <c r="H129" s="10">
        <v>17648</v>
      </c>
      <c r="I129" s="10">
        <v>17648</v>
      </c>
      <c r="J129" s="10">
        <v>36275</v>
      </c>
      <c r="K129" s="10">
        <v>36275</v>
      </c>
      <c r="L129" s="10">
        <v>36275</v>
      </c>
      <c r="M129" s="10">
        <v>36275</v>
      </c>
      <c r="N129" s="10">
        <v>36275</v>
      </c>
      <c r="O129" s="10">
        <v>36275</v>
      </c>
    </row>
    <row r="130" spans="1:15">
      <c r="A130" s="9">
        <v>1600103</v>
      </c>
      <c r="B130" s="9" t="s">
        <v>258</v>
      </c>
      <c r="C130" s="13">
        <v>19800</v>
      </c>
      <c r="D130" s="10">
        <v>19800</v>
      </c>
      <c r="E130" s="10">
        <v>19800</v>
      </c>
      <c r="F130" s="10">
        <v>19800</v>
      </c>
      <c r="G130" s="10">
        <v>19800</v>
      </c>
      <c r="H130" s="10">
        <v>19800</v>
      </c>
      <c r="I130" s="10">
        <v>19800</v>
      </c>
      <c r="J130" s="10">
        <v>19800</v>
      </c>
      <c r="K130" s="10">
        <v>19800</v>
      </c>
      <c r="L130" s="10">
        <v>19800</v>
      </c>
      <c r="M130" s="10">
        <v>19800</v>
      </c>
      <c r="N130" s="10">
        <v>19800</v>
      </c>
      <c r="O130" s="10">
        <v>19800</v>
      </c>
    </row>
    <row r="131" spans="1:15">
      <c r="A131" s="9">
        <v>1600104</v>
      </c>
      <c r="B131" s="9" t="s">
        <v>259</v>
      </c>
      <c r="C131" s="13">
        <v>52500</v>
      </c>
      <c r="D131" s="10">
        <v>51000</v>
      </c>
      <c r="E131" s="10">
        <v>65000</v>
      </c>
      <c r="F131" s="10">
        <v>65000</v>
      </c>
      <c r="G131" s="10">
        <v>65000</v>
      </c>
      <c r="H131" s="10">
        <v>65000</v>
      </c>
      <c r="I131" s="10">
        <v>65000</v>
      </c>
      <c r="J131" s="10">
        <v>65000</v>
      </c>
      <c r="K131" s="10">
        <v>65000</v>
      </c>
      <c r="L131" s="10">
        <v>73810</v>
      </c>
      <c r="M131" s="10">
        <v>73810</v>
      </c>
      <c r="N131" s="10">
        <v>73810</v>
      </c>
      <c r="O131" s="10">
        <v>73810</v>
      </c>
    </row>
    <row r="132" spans="1:15">
      <c r="A132" s="9">
        <v>1600105</v>
      </c>
      <c r="B132" s="9" t="s">
        <v>260</v>
      </c>
      <c r="C132" s="13">
        <v>73000</v>
      </c>
      <c r="D132" s="10">
        <v>73000</v>
      </c>
      <c r="E132" s="10">
        <v>73000</v>
      </c>
      <c r="F132" s="10">
        <v>73000</v>
      </c>
      <c r="G132" s="10">
        <v>73000</v>
      </c>
      <c r="H132" s="10">
        <v>73000</v>
      </c>
      <c r="I132" s="10">
        <v>73000</v>
      </c>
      <c r="J132" s="10">
        <v>83950</v>
      </c>
      <c r="K132" s="10">
        <v>83950</v>
      </c>
      <c r="L132" s="10">
        <v>83950</v>
      </c>
      <c r="M132" s="10">
        <v>83950</v>
      </c>
      <c r="N132" s="10">
        <v>83950</v>
      </c>
      <c r="O132" s="10">
        <v>83950</v>
      </c>
    </row>
    <row r="133" spans="1:15">
      <c r="A133" s="9">
        <v>1600106</v>
      </c>
      <c r="B133" s="9" t="s">
        <v>261</v>
      </c>
      <c r="C133" s="13">
        <v>66667</v>
      </c>
      <c r="D133" s="10">
        <v>66667</v>
      </c>
      <c r="E133" s="10">
        <v>66667</v>
      </c>
      <c r="F133" s="10">
        <v>66667</v>
      </c>
      <c r="G133" s="10">
        <v>66667</v>
      </c>
      <c r="H133" s="10">
        <v>66667</v>
      </c>
      <c r="I133" s="10">
        <v>66667</v>
      </c>
      <c r="J133" s="10">
        <v>66667</v>
      </c>
      <c r="K133" s="10">
        <v>108071</v>
      </c>
      <c r="L133" s="10">
        <v>108071</v>
      </c>
      <c r="M133" s="10">
        <v>108071</v>
      </c>
      <c r="N133" s="10">
        <v>108071</v>
      </c>
      <c r="O133" s="10">
        <v>108071</v>
      </c>
    </row>
    <row r="134" spans="1:15">
      <c r="A134" s="9">
        <v>1600107</v>
      </c>
      <c r="B134" s="9" t="s">
        <v>262</v>
      </c>
      <c r="C134" s="13">
        <v>67647</v>
      </c>
      <c r="D134" s="10">
        <v>67647</v>
      </c>
      <c r="E134" s="10">
        <v>67647</v>
      </c>
      <c r="F134" s="10">
        <v>67647</v>
      </c>
      <c r="G134" s="10">
        <v>67647</v>
      </c>
      <c r="H134" s="10">
        <v>67647</v>
      </c>
      <c r="I134" s="10">
        <v>67647</v>
      </c>
      <c r="J134" s="10">
        <v>67647</v>
      </c>
      <c r="K134" s="10">
        <v>86601</v>
      </c>
      <c r="L134" s="10">
        <v>86601</v>
      </c>
      <c r="M134" s="10">
        <v>86601</v>
      </c>
      <c r="N134" s="10">
        <v>86601</v>
      </c>
      <c r="O134" s="10">
        <v>86601</v>
      </c>
    </row>
    <row r="135" spans="1:15">
      <c r="A135" s="9">
        <v>1600108</v>
      </c>
      <c r="B135" s="9" t="s">
        <v>263</v>
      </c>
      <c r="C135" s="13">
        <v>67647</v>
      </c>
      <c r="D135" s="10">
        <v>67647</v>
      </c>
      <c r="E135" s="10">
        <v>67647</v>
      </c>
      <c r="F135" s="10">
        <v>67647</v>
      </c>
      <c r="G135" s="10">
        <v>67647</v>
      </c>
      <c r="H135" s="10">
        <v>67647</v>
      </c>
      <c r="I135" s="10">
        <v>67647</v>
      </c>
      <c r="J135" s="10">
        <v>67647</v>
      </c>
      <c r="K135" s="10">
        <v>74041</v>
      </c>
      <c r="L135" s="10">
        <v>73810</v>
      </c>
      <c r="M135" s="10">
        <v>73810</v>
      </c>
      <c r="N135" s="10">
        <v>73810</v>
      </c>
      <c r="O135" s="10">
        <v>73810</v>
      </c>
    </row>
    <row r="136" spans="1:15">
      <c r="A136" s="9">
        <v>1600109</v>
      </c>
      <c r="B136" s="9" t="s">
        <v>264</v>
      </c>
      <c r="C136" s="13">
        <v>3529</v>
      </c>
      <c r="D136" s="10">
        <v>3529</v>
      </c>
      <c r="E136" s="10">
        <v>4510</v>
      </c>
      <c r="F136" s="10">
        <v>4657</v>
      </c>
      <c r="G136" s="10">
        <v>4657</v>
      </c>
      <c r="H136" s="10">
        <v>4657</v>
      </c>
      <c r="I136" s="10">
        <v>5882</v>
      </c>
      <c r="J136" s="10">
        <v>5882</v>
      </c>
      <c r="K136" s="10">
        <v>5882</v>
      </c>
      <c r="L136" s="10">
        <v>5882</v>
      </c>
      <c r="M136" s="10">
        <v>5882</v>
      </c>
      <c r="N136" s="10">
        <v>5882</v>
      </c>
      <c r="O136" s="10">
        <v>5882</v>
      </c>
    </row>
    <row r="137" spans="1:15">
      <c r="A137" s="9">
        <v>1600110</v>
      </c>
      <c r="B137" s="9" t="s">
        <v>265</v>
      </c>
      <c r="C137" s="13">
        <v>7917</v>
      </c>
      <c r="D137" s="10">
        <v>7917</v>
      </c>
      <c r="E137" s="10">
        <v>7917</v>
      </c>
      <c r="F137" s="10">
        <v>7917</v>
      </c>
      <c r="G137" s="10">
        <v>7917</v>
      </c>
      <c r="H137" s="10">
        <v>7917</v>
      </c>
      <c r="I137" s="10">
        <v>7917</v>
      </c>
      <c r="J137" s="10">
        <v>7917</v>
      </c>
      <c r="K137" s="10">
        <v>7917</v>
      </c>
      <c r="L137" s="10">
        <v>7917</v>
      </c>
      <c r="M137" s="10">
        <v>7917</v>
      </c>
      <c r="N137" s="10">
        <v>7917</v>
      </c>
      <c r="O137" s="10">
        <v>7917</v>
      </c>
    </row>
    <row r="138" spans="1:15">
      <c r="A138" s="9">
        <v>1600111</v>
      </c>
      <c r="B138" s="9" t="s">
        <v>266</v>
      </c>
      <c r="C138" s="13">
        <v>2266</v>
      </c>
      <c r="D138" s="10">
        <v>2266</v>
      </c>
      <c r="E138" s="10">
        <v>2266</v>
      </c>
      <c r="F138" s="10">
        <v>2266</v>
      </c>
      <c r="G138" s="10">
        <v>2266</v>
      </c>
      <c r="H138" s="10">
        <v>2266</v>
      </c>
      <c r="I138" s="10">
        <v>2266</v>
      </c>
      <c r="J138" s="10">
        <v>2266</v>
      </c>
      <c r="K138" s="10">
        <v>2266</v>
      </c>
      <c r="L138" s="10">
        <v>2266</v>
      </c>
      <c r="M138" s="10">
        <v>2266</v>
      </c>
      <c r="N138" s="10">
        <v>2266</v>
      </c>
      <c r="O138" s="10">
        <v>2266</v>
      </c>
    </row>
    <row r="139" spans="1:15">
      <c r="A139" s="9">
        <v>1600112</v>
      </c>
      <c r="B139" s="9" t="s">
        <v>190</v>
      </c>
      <c r="C139" s="13">
        <v>4800</v>
      </c>
      <c r="D139" s="10">
        <v>4800</v>
      </c>
      <c r="E139" s="10">
        <v>4800</v>
      </c>
      <c r="F139" s="10">
        <v>4800</v>
      </c>
      <c r="G139" s="10">
        <v>4800</v>
      </c>
      <c r="H139" s="10">
        <v>4800</v>
      </c>
      <c r="I139" s="10">
        <v>4800</v>
      </c>
      <c r="J139" s="10">
        <v>4800</v>
      </c>
      <c r="K139" s="10">
        <v>4800</v>
      </c>
      <c r="L139" s="10">
        <v>4800</v>
      </c>
      <c r="M139" s="10">
        <v>4800</v>
      </c>
      <c r="N139" s="10">
        <v>4800</v>
      </c>
      <c r="O139" s="10">
        <v>4800</v>
      </c>
    </row>
    <row r="140" spans="1:15">
      <c r="A140" s="9">
        <v>1600113</v>
      </c>
      <c r="B140" s="9" t="s">
        <v>267</v>
      </c>
      <c r="C140" s="13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</row>
    <row r="141" spans="1:15">
      <c r="A141" s="9">
        <v>1600114</v>
      </c>
      <c r="B141" s="9" t="s">
        <v>268</v>
      </c>
      <c r="C141" s="13">
        <v>9930</v>
      </c>
      <c r="D141" s="10">
        <v>14490</v>
      </c>
      <c r="E141" s="10">
        <v>14490</v>
      </c>
      <c r="F141" s="10">
        <v>14490</v>
      </c>
      <c r="G141" s="10">
        <v>10140</v>
      </c>
      <c r="H141" s="10">
        <v>10140</v>
      </c>
      <c r="I141" s="10">
        <v>10140</v>
      </c>
      <c r="J141" s="10">
        <v>10140</v>
      </c>
      <c r="K141" s="10">
        <v>10140</v>
      </c>
      <c r="L141" s="10">
        <v>13333</v>
      </c>
      <c r="M141" s="10">
        <v>13333</v>
      </c>
      <c r="N141" s="10">
        <v>13333</v>
      </c>
      <c r="O141" s="10">
        <v>13333</v>
      </c>
    </row>
    <row r="142" spans="1:15">
      <c r="A142" s="9">
        <v>1700001</v>
      </c>
      <c r="B142" s="9" t="s">
        <v>269</v>
      </c>
      <c r="C142" s="13">
        <v>3922</v>
      </c>
      <c r="D142" s="10">
        <v>3566</v>
      </c>
      <c r="E142" s="10">
        <v>3340</v>
      </c>
      <c r="F142" s="10">
        <v>3340</v>
      </c>
      <c r="G142" s="10">
        <v>3452</v>
      </c>
      <c r="H142" s="10">
        <v>4019</v>
      </c>
      <c r="I142" s="10">
        <v>4167</v>
      </c>
      <c r="J142" s="10">
        <v>4513</v>
      </c>
      <c r="K142" s="10">
        <v>4681</v>
      </c>
      <c r="L142" s="10">
        <v>4681</v>
      </c>
      <c r="M142" s="10">
        <v>4570</v>
      </c>
      <c r="N142" s="10">
        <v>4468</v>
      </c>
      <c r="O142" s="10">
        <v>4282</v>
      </c>
    </row>
    <row r="143" spans="1:15">
      <c r="A143" s="9">
        <v>1700002</v>
      </c>
      <c r="B143" s="9" t="s">
        <v>270</v>
      </c>
      <c r="C143" s="13">
        <v>3726</v>
      </c>
      <c r="D143" s="10">
        <v>3726</v>
      </c>
      <c r="E143" s="10">
        <v>3726</v>
      </c>
      <c r="F143" s="10">
        <v>3726</v>
      </c>
      <c r="G143" s="10">
        <v>3726</v>
      </c>
      <c r="H143" s="10">
        <v>3726</v>
      </c>
      <c r="I143" s="10">
        <v>3726</v>
      </c>
      <c r="J143" s="10">
        <v>3726</v>
      </c>
      <c r="K143" s="10">
        <v>3726</v>
      </c>
      <c r="L143" s="10">
        <v>3726</v>
      </c>
      <c r="M143" s="10">
        <v>3726</v>
      </c>
      <c r="N143" s="10">
        <v>3726</v>
      </c>
      <c r="O143" s="10">
        <v>3726</v>
      </c>
    </row>
    <row r="144" spans="1:15">
      <c r="A144" s="9">
        <v>1700003</v>
      </c>
      <c r="B144" s="9" t="s">
        <v>271</v>
      </c>
      <c r="C144" s="13">
        <v>4412</v>
      </c>
      <c r="D144" s="10">
        <v>4902</v>
      </c>
      <c r="E144" s="10">
        <v>4902</v>
      </c>
      <c r="F144" s="10">
        <v>4902</v>
      </c>
      <c r="G144" s="10">
        <v>4902</v>
      </c>
      <c r="H144" s="10">
        <v>4902</v>
      </c>
      <c r="I144" s="10">
        <v>4902</v>
      </c>
      <c r="J144" s="10">
        <v>4902</v>
      </c>
      <c r="K144" s="10">
        <v>4902</v>
      </c>
      <c r="L144" s="10">
        <v>4902</v>
      </c>
      <c r="M144" s="10">
        <v>4902</v>
      </c>
      <c r="N144" s="10">
        <v>4902</v>
      </c>
      <c r="O144" s="10">
        <v>4902</v>
      </c>
    </row>
    <row r="145" spans="1:15">
      <c r="A145" s="9">
        <v>1700004</v>
      </c>
      <c r="B145" s="9" t="s">
        <v>272</v>
      </c>
      <c r="C145" s="13">
        <v>13137</v>
      </c>
      <c r="D145" s="10">
        <v>13137</v>
      </c>
      <c r="E145" s="10">
        <v>13137</v>
      </c>
      <c r="F145" s="10">
        <v>13137</v>
      </c>
      <c r="G145" s="10">
        <v>13137</v>
      </c>
      <c r="H145" s="10">
        <v>13235</v>
      </c>
      <c r="I145" s="10">
        <v>13137</v>
      </c>
      <c r="J145" s="10">
        <v>13137</v>
      </c>
      <c r="K145" s="10">
        <v>13137</v>
      </c>
      <c r="L145" s="10">
        <v>15784</v>
      </c>
      <c r="M145" s="10">
        <v>15784</v>
      </c>
      <c r="N145" s="10">
        <v>15784</v>
      </c>
      <c r="O145" s="10">
        <v>15784</v>
      </c>
    </row>
    <row r="146" spans="1:15">
      <c r="A146" s="9">
        <v>1700005</v>
      </c>
      <c r="B146" s="9" t="s">
        <v>192</v>
      </c>
      <c r="C146" s="13">
        <v>1667</v>
      </c>
      <c r="D146" s="10">
        <v>1667</v>
      </c>
      <c r="E146" s="10">
        <v>1667</v>
      </c>
      <c r="F146" s="10">
        <v>1710</v>
      </c>
      <c r="G146" s="10">
        <v>1710</v>
      </c>
      <c r="H146" s="10">
        <v>1765</v>
      </c>
      <c r="I146" s="10">
        <v>1784</v>
      </c>
      <c r="J146" s="10">
        <v>1784</v>
      </c>
      <c r="K146" s="10">
        <v>1765</v>
      </c>
      <c r="L146" s="10">
        <v>1765</v>
      </c>
      <c r="M146" s="10">
        <v>1765</v>
      </c>
      <c r="N146" s="10">
        <v>1765</v>
      </c>
      <c r="O146" s="10">
        <v>1765</v>
      </c>
    </row>
    <row r="147" spans="1:15">
      <c r="A147" s="9">
        <v>1700006</v>
      </c>
      <c r="B147" s="9" t="s">
        <v>273</v>
      </c>
      <c r="C147" s="13">
        <v>6000</v>
      </c>
      <c r="D147" s="10">
        <v>6000</v>
      </c>
      <c r="E147" s="10">
        <v>6373</v>
      </c>
      <c r="F147" s="10">
        <v>6373</v>
      </c>
      <c r="G147" s="10">
        <v>6373</v>
      </c>
      <c r="H147" s="10">
        <v>6373</v>
      </c>
      <c r="I147" s="10">
        <v>10382</v>
      </c>
      <c r="J147" s="10">
        <v>10382</v>
      </c>
      <c r="K147" s="10">
        <v>6676</v>
      </c>
      <c r="L147" s="10">
        <v>10383</v>
      </c>
      <c r="M147" s="10">
        <v>6676</v>
      </c>
      <c r="N147" s="10">
        <v>6676</v>
      </c>
      <c r="O147" s="10">
        <v>7176</v>
      </c>
    </row>
    <row r="148" spans="1:15">
      <c r="A148" s="9">
        <v>1700007</v>
      </c>
      <c r="B148" s="9" t="s">
        <v>274</v>
      </c>
      <c r="C148" s="13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</row>
    <row r="149" spans="1:15">
      <c r="A149" s="9">
        <v>1700008</v>
      </c>
      <c r="B149" s="9" t="s">
        <v>275</v>
      </c>
      <c r="C149" s="13">
        <v>0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</row>
    <row r="150" spans="1:15">
      <c r="A150" s="9">
        <v>1700009</v>
      </c>
      <c r="B150" s="9" t="s">
        <v>276</v>
      </c>
      <c r="C150" s="13">
        <v>0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0</v>
      </c>
      <c r="L150" s="10">
        <v>0</v>
      </c>
      <c r="M150" s="10">
        <v>0</v>
      </c>
      <c r="N150" s="10">
        <v>0</v>
      </c>
      <c r="O150" s="10">
        <v>0</v>
      </c>
    </row>
    <row r="151" spans="1:15">
      <c r="A151" s="9">
        <v>1700010</v>
      </c>
      <c r="B151" s="9" t="s">
        <v>277</v>
      </c>
      <c r="C151" s="13">
        <v>4530</v>
      </c>
      <c r="D151" s="10">
        <v>4530</v>
      </c>
      <c r="E151" s="10">
        <v>4530</v>
      </c>
      <c r="F151" s="10">
        <v>3620</v>
      </c>
      <c r="G151" s="10">
        <v>3620</v>
      </c>
      <c r="H151" s="10">
        <v>3620</v>
      </c>
      <c r="I151" s="10">
        <v>3630</v>
      </c>
      <c r="J151" s="10">
        <v>3630</v>
      </c>
      <c r="K151" s="10">
        <v>3630</v>
      </c>
      <c r="L151" s="10">
        <v>3990</v>
      </c>
      <c r="M151" s="10">
        <v>3990</v>
      </c>
      <c r="N151" s="10">
        <v>3990</v>
      </c>
      <c r="O151" s="10">
        <v>3990</v>
      </c>
    </row>
    <row r="152" spans="1:15">
      <c r="A152" s="9">
        <v>1700011</v>
      </c>
      <c r="B152" s="9" t="s">
        <v>278</v>
      </c>
      <c r="C152" s="13">
        <v>0</v>
      </c>
      <c r="D152" s="10">
        <v>0</v>
      </c>
      <c r="E152" s="10">
        <v>0</v>
      </c>
      <c r="F152" s="10">
        <v>0</v>
      </c>
      <c r="G152" s="10">
        <v>11961</v>
      </c>
      <c r="H152" s="10">
        <v>11961</v>
      </c>
      <c r="I152" s="10">
        <v>11961</v>
      </c>
      <c r="J152" s="10">
        <v>11961</v>
      </c>
      <c r="K152" s="10">
        <v>11961</v>
      </c>
      <c r="L152" s="10">
        <v>12745</v>
      </c>
      <c r="M152" s="10">
        <v>12745</v>
      </c>
      <c r="N152" s="10">
        <v>12745</v>
      </c>
      <c r="O152" s="10">
        <v>12745</v>
      </c>
    </row>
    <row r="153" spans="1:15">
      <c r="A153" s="9">
        <v>1700012</v>
      </c>
      <c r="B153" s="9" t="s">
        <v>279</v>
      </c>
      <c r="C153" s="13">
        <v>12255</v>
      </c>
      <c r="D153" s="10">
        <v>12255</v>
      </c>
      <c r="E153" s="10">
        <v>12255</v>
      </c>
      <c r="F153" s="10">
        <v>12255</v>
      </c>
      <c r="G153" s="10">
        <v>12255</v>
      </c>
      <c r="H153" s="10">
        <v>12255</v>
      </c>
      <c r="I153" s="10">
        <v>12255</v>
      </c>
      <c r="J153" s="10">
        <v>13235</v>
      </c>
      <c r="K153" s="10">
        <v>13235</v>
      </c>
      <c r="L153" s="10">
        <v>15980</v>
      </c>
      <c r="M153" s="10">
        <v>15980</v>
      </c>
      <c r="N153" s="10">
        <v>15980</v>
      </c>
      <c r="O153" s="10">
        <v>15980</v>
      </c>
    </row>
    <row r="154" spans="1:15">
      <c r="A154" s="9">
        <v>1700013</v>
      </c>
      <c r="B154" s="9" t="s">
        <v>280</v>
      </c>
      <c r="C154" s="13">
        <v>657</v>
      </c>
      <c r="D154" s="10">
        <v>657</v>
      </c>
      <c r="E154" s="10">
        <v>657</v>
      </c>
      <c r="F154" s="10">
        <v>657</v>
      </c>
      <c r="G154" s="10">
        <v>657</v>
      </c>
      <c r="H154" s="10">
        <v>18137</v>
      </c>
      <c r="I154" s="10">
        <v>18137</v>
      </c>
      <c r="J154" s="10">
        <v>18137</v>
      </c>
      <c r="K154" s="10">
        <v>18137</v>
      </c>
      <c r="L154" s="10">
        <v>18137</v>
      </c>
      <c r="M154" s="10">
        <v>18137</v>
      </c>
      <c r="N154" s="10">
        <v>18137</v>
      </c>
      <c r="O154" s="10">
        <v>18137</v>
      </c>
    </row>
    <row r="155" spans="1:15">
      <c r="A155" s="9">
        <v>1700014</v>
      </c>
      <c r="B155" s="9" t="s">
        <v>194</v>
      </c>
      <c r="C155" s="13">
        <v>2255</v>
      </c>
      <c r="D155" s="10">
        <v>2255</v>
      </c>
      <c r="E155" s="10">
        <v>2255</v>
      </c>
      <c r="F155" s="10">
        <v>2255</v>
      </c>
      <c r="G155" s="10">
        <v>2255</v>
      </c>
      <c r="H155" s="10">
        <v>2255</v>
      </c>
      <c r="I155" s="10">
        <v>2255</v>
      </c>
      <c r="J155" s="10">
        <v>2255</v>
      </c>
      <c r="K155" s="10">
        <v>2255</v>
      </c>
      <c r="L155" s="10">
        <v>2255</v>
      </c>
      <c r="M155" s="10">
        <v>2255</v>
      </c>
      <c r="N155" s="10">
        <v>2255</v>
      </c>
      <c r="O155" s="10">
        <v>2255</v>
      </c>
    </row>
    <row r="156" spans="1:15">
      <c r="A156" s="9">
        <v>1700015</v>
      </c>
      <c r="B156" s="9" t="s">
        <v>281</v>
      </c>
      <c r="C156" s="13">
        <v>2300</v>
      </c>
      <c r="D156" s="10">
        <v>2300</v>
      </c>
      <c r="E156" s="10">
        <v>3580</v>
      </c>
      <c r="F156" s="10">
        <v>2552</v>
      </c>
      <c r="G156" s="10">
        <v>2552</v>
      </c>
      <c r="H156" s="10">
        <v>2552</v>
      </c>
      <c r="I156" s="10">
        <v>2552</v>
      </c>
      <c r="J156" s="10">
        <v>2552</v>
      </c>
      <c r="K156" s="10">
        <v>5160</v>
      </c>
      <c r="L156" s="10">
        <v>5160</v>
      </c>
      <c r="M156" s="10">
        <v>5160</v>
      </c>
      <c r="N156" s="10">
        <v>5160</v>
      </c>
      <c r="O156" s="10">
        <v>5160</v>
      </c>
    </row>
    <row r="157" spans="1:15">
      <c r="A157" s="9">
        <v>1700016</v>
      </c>
      <c r="B157" s="9" t="s">
        <v>282</v>
      </c>
      <c r="C157" s="13">
        <v>5177</v>
      </c>
      <c r="D157" s="10">
        <v>8216</v>
      </c>
      <c r="E157" s="10">
        <v>2657</v>
      </c>
      <c r="F157" s="10">
        <v>3073</v>
      </c>
      <c r="G157" s="10">
        <v>3951</v>
      </c>
      <c r="H157" s="10">
        <v>3510</v>
      </c>
      <c r="I157" s="10">
        <v>3510</v>
      </c>
      <c r="J157" s="10">
        <v>3238</v>
      </c>
      <c r="K157" s="10">
        <v>3637</v>
      </c>
      <c r="L157" s="10">
        <v>4900</v>
      </c>
      <c r="M157" s="10">
        <v>3568</v>
      </c>
      <c r="N157" s="10">
        <v>3617</v>
      </c>
      <c r="O157" s="10">
        <v>4452</v>
      </c>
    </row>
    <row r="158" spans="1:15">
      <c r="A158" s="9">
        <v>1700017</v>
      </c>
      <c r="B158" s="9" t="s">
        <v>283</v>
      </c>
      <c r="C158" s="13">
        <v>10530</v>
      </c>
      <c r="D158" s="10">
        <v>10530</v>
      </c>
      <c r="E158" s="10">
        <v>10784</v>
      </c>
      <c r="F158" s="10">
        <v>8922</v>
      </c>
      <c r="G158" s="10">
        <v>8922</v>
      </c>
      <c r="H158" s="10">
        <v>9804</v>
      </c>
      <c r="I158" s="10">
        <v>9804</v>
      </c>
      <c r="J158" s="10">
        <v>10784</v>
      </c>
      <c r="K158" s="10">
        <v>10784</v>
      </c>
      <c r="L158" s="10">
        <v>10784</v>
      </c>
      <c r="M158" s="10">
        <v>10784</v>
      </c>
      <c r="N158" s="10">
        <v>10784</v>
      </c>
      <c r="O158" s="10">
        <v>10784</v>
      </c>
    </row>
    <row r="159" spans="1:15">
      <c r="A159" s="9">
        <v>1700018</v>
      </c>
      <c r="B159" s="9" t="s">
        <v>284</v>
      </c>
      <c r="C159" s="13">
        <v>4439</v>
      </c>
      <c r="D159" s="10">
        <v>4791</v>
      </c>
      <c r="E159" s="10">
        <v>4549</v>
      </c>
      <c r="F159" s="10">
        <v>3737</v>
      </c>
      <c r="G159" s="10">
        <v>3992</v>
      </c>
      <c r="H159" s="10">
        <v>3804</v>
      </c>
      <c r="I159" s="10">
        <v>4140</v>
      </c>
      <c r="J159" s="10">
        <v>4174</v>
      </c>
      <c r="K159" s="10">
        <v>3820</v>
      </c>
      <c r="L159" s="10">
        <v>4367</v>
      </c>
      <c r="M159" s="10">
        <v>4130</v>
      </c>
      <c r="N159" s="10">
        <v>4367</v>
      </c>
      <c r="O159" s="10">
        <v>4367</v>
      </c>
    </row>
    <row r="160" spans="1:15">
      <c r="A160" s="9">
        <v>1700019</v>
      </c>
      <c r="B160" s="9" t="s">
        <v>285</v>
      </c>
      <c r="C160" s="13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</row>
    <row r="161" spans="1:15">
      <c r="A161" s="9">
        <v>1700020</v>
      </c>
      <c r="B161" s="9" t="s">
        <v>286</v>
      </c>
      <c r="C161" s="13">
        <v>50211</v>
      </c>
      <c r="D161" s="10">
        <v>50211</v>
      </c>
      <c r="E161" s="10">
        <v>50211</v>
      </c>
      <c r="F161" s="10">
        <v>49412</v>
      </c>
      <c r="G161" s="10">
        <v>49412</v>
      </c>
      <c r="H161" s="10">
        <v>49412</v>
      </c>
      <c r="I161" s="10">
        <v>49412</v>
      </c>
      <c r="J161" s="10">
        <v>49412</v>
      </c>
      <c r="K161" s="10">
        <v>49412</v>
      </c>
      <c r="L161" s="10">
        <v>49412</v>
      </c>
      <c r="M161" s="10">
        <v>49412</v>
      </c>
      <c r="N161" s="10">
        <v>49412</v>
      </c>
      <c r="O161" s="10">
        <v>49412</v>
      </c>
    </row>
    <row r="162" spans="1:15">
      <c r="A162" s="9">
        <v>1700021</v>
      </c>
      <c r="B162" s="9" t="s">
        <v>287</v>
      </c>
      <c r="C162" s="13">
        <v>73804</v>
      </c>
      <c r="D162" s="10">
        <v>73804</v>
      </c>
      <c r="E162" s="10">
        <v>71301</v>
      </c>
      <c r="F162" s="10">
        <v>73608</v>
      </c>
      <c r="G162" s="10">
        <v>73216</v>
      </c>
      <c r="H162" s="10">
        <v>73938</v>
      </c>
      <c r="I162" s="10">
        <v>77069</v>
      </c>
      <c r="J162" s="10">
        <v>78841</v>
      </c>
      <c r="K162" s="10">
        <v>76843</v>
      </c>
      <c r="L162" s="10">
        <v>84332</v>
      </c>
      <c r="M162" s="10">
        <v>86137</v>
      </c>
      <c r="N162" s="10">
        <v>84736</v>
      </c>
      <c r="O162" s="10">
        <v>84167</v>
      </c>
    </row>
    <row r="163" spans="1:15">
      <c r="A163" s="9">
        <v>1700022</v>
      </c>
      <c r="B163" s="9" t="s">
        <v>288</v>
      </c>
      <c r="C163" s="13">
        <v>26628</v>
      </c>
      <c r="D163" s="10">
        <v>26628</v>
      </c>
      <c r="E163" s="10">
        <v>26628</v>
      </c>
      <c r="F163" s="10">
        <v>26628</v>
      </c>
      <c r="G163" s="10">
        <v>33706</v>
      </c>
      <c r="H163" s="10">
        <v>33706</v>
      </c>
      <c r="I163" s="10">
        <v>33706</v>
      </c>
      <c r="J163" s="10">
        <v>33706</v>
      </c>
      <c r="K163" s="10">
        <v>27726</v>
      </c>
      <c r="L163" s="10">
        <v>33706</v>
      </c>
      <c r="M163" s="10">
        <v>33706</v>
      </c>
      <c r="N163" s="10">
        <v>33706</v>
      </c>
      <c r="O163" s="10">
        <v>33706</v>
      </c>
    </row>
    <row r="164" spans="1:15">
      <c r="A164" s="9">
        <v>1700023</v>
      </c>
      <c r="B164" s="9" t="s">
        <v>289</v>
      </c>
      <c r="C164" s="13">
        <v>4824</v>
      </c>
      <c r="D164" s="10">
        <v>4824</v>
      </c>
      <c r="E164" s="10">
        <v>5294</v>
      </c>
      <c r="F164" s="10">
        <v>5294</v>
      </c>
      <c r="G164" s="10">
        <v>6343</v>
      </c>
      <c r="H164" s="10">
        <v>6343</v>
      </c>
      <c r="I164" s="10">
        <v>6343</v>
      </c>
      <c r="J164" s="10">
        <v>7470</v>
      </c>
      <c r="K164" s="10">
        <v>8251</v>
      </c>
      <c r="L164" s="10">
        <v>8581</v>
      </c>
      <c r="M164" s="10">
        <v>8581</v>
      </c>
      <c r="N164" s="10">
        <v>9809</v>
      </c>
      <c r="O164" s="10">
        <v>8818</v>
      </c>
    </row>
    <row r="165" spans="1:15">
      <c r="A165" s="9">
        <v>1700024</v>
      </c>
      <c r="B165" s="9" t="s">
        <v>421</v>
      </c>
      <c r="C165" s="13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0</v>
      </c>
      <c r="L165" s="10">
        <v>0</v>
      </c>
      <c r="M165" s="10">
        <v>0</v>
      </c>
      <c r="N165" s="10">
        <v>0</v>
      </c>
      <c r="O165" s="10">
        <v>3080</v>
      </c>
    </row>
    <row r="166" spans="1:15">
      <c r="A166" s="9">
        <v>1700025</v>
      </c>
      <c r="B166" s="9" t="s">
        <v>291</v>
      </c>
      <c r="C166" s="13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1961</v>
      </c>
      <c r="I166" s="10">
        <v>1961</v>
      </c>
      <c r="J166" s="10">
        <v>1961</v>
      </c>
      <c r="K166" s="10">
        <v>1961</v>
      </c>
      <c r="L166" s="10">
        <v>1961</v>
      </c>
      <c r="M166" s="10">
        <v>1961</v>
      </c>
      <c r="N166" s="10">
        <v>1961</v>
      </c>
      <c r="O166" s="10">
        <v>1961</v>
      </c>
    </row>
    <row r="167" spans="1:15">
      <c r="A167" s="9">
        <v>1700026</v>
      </c>
      <c r="B167" s="9" t="s">
        <v>292</v>
      </c>
      <c r="C167" s="13">
        <v>3725</v>
      </c>
      <c r="D167" s="10">
        <v>3725</v>
      </c>
      <c r="E167" s="10">
        <v>3843</v>
      </c>
      <c r="F167" s="10">
        <v>3843</v>
      </c>
      <c r="G167" s="10">
        <v>4412</v>
      </c>
      <c r="H167" s="10">
        <v>4412</v>
      </c>
      <c r="I167" s="10">
        <v>4412</v>
      </c>
      <c r="J167" s="10">
        <v>4412</v>
      </c>
      <c r="K167" s="10">
        <v>4412</v>
      </c>
      <c r="L167" s="10">
        <v>3725</v>
      </c>
      <c r="M167" s="10">
        <v>3725</v>
      </c>
      <c r="N167" s="10">
        <v>3725</v>
      </c>
      <c r="O167" s="10">
        <v>3725</v>
      </c>
    </row>
    <row r="168" spans="1:15">
      <c r="A168" s="9">
        <v>1700027</v>
      </c>
      <c r="B168" s="9" t="s">
        <v>293</v>
      </c>
      <c r="C168" s="13">
        <v>4902</v>
      </c>
      <c r="D168" s="10">
        <v>4902</v>
      </c>
      <c r="E168" s="10">
        <v>4657</v>
      </c>
      <c r="F168" s="10">
        <v>4412</v>
      </c>
      <c r="G168" s="10">
        <v>4700</v>
      </c>
      <c r="H168" s="10">
        <v>4412</v>
      </c>
      <c r="I168" s="10">
        <v>4412</v>
      </c>
      <c r="J168" s="10">
        <v>4412</v>
      </c>
      <c r="K168" s="10">
        <v>4412</v>
      </c>
      <c r="L168" s="10">
        <v>4412</v>
      </c>
      <c r="M168" s="10">
        <v>4412</v>
      </c>
      <c r="N168" s="10">
        <v>4412</v>
      </c>
      <c r="O168" s="10">
        <v>4412</v>
      </c>
    </row>
    <row r="169" spans="1:15">
      <c r="A169" s="9">
        <v>1700028</v>
      </c>
      <c r="B169" s="9" t="s">
        <v>294</v>
      </c>
      <c r="C169" s="13">
        <v>9500</v>
      </c>
      <c r="D169" s="10">
        <v>9500</v>
      </c>
      <c r="E169" s="10">
        <v>9500</v>
      </c>
      <c r="F169" s="10">
        <v>9500</v>
      </c>
      <c r="G169" s="10">
        <v>9500</v>
      </c>
      <c r="H169" s="10">
        <v>9500</v>
      </c>
      <c r="I169" s="10">
        <v>9500</v>
      </c>
      <c r="J169" s="10">
        <v>9500</v>
      </c>
      <c r="K169" s="10">
        <v>9500</v>
      </c>
      <c r="L169" s="10">
        <v>9500</v>
      </c>
      <c r="M169" s="10">
        <v>9500</v>
      </c>
      <c r="N169" s="10">
        <v>9500</v>
      </c>
      <c r="O169" s="10">
        <v>9500</v>
      </c>
    </row>
    <row r="170" spans="1:15">
      <c r="A170" s="9">
        <v>1700029</v>
      </c>
      <c r="B170" s="9" t="s">
        <v>295</v>
      </c>
      <c r="C170" s="13">
        <v>10670</v>
      </c>
      <c r="D170" s="10">
        <v>10670</v>
      </c>
      <c r="E170" s="10">
        <v>10670</v>
      </c>
      <c r="F170" s="10">
        <v>10670</v>
      </c>
      <c r="G170" s="10">
        <v>10670</v>
      </c>
      <c r="H170" s="10">
        <v>10670</v>
      </c>
      <c r="I170" s="10">
        <v>10670</v>
      </c>
      <c r="J170" s="10">
        <v>10670</v>
      </c>
      <c r="K170" s="10">
        <v>10670</v>
      </c>
      <c r="L170" s="10">
        <v>10670</v>
      </c>
      <c r="M170" s="10">
        <v>10670</v>
      </c>
      <c r="N170" s="10">
        <v>10670</v>
      </c>
      <c r="O170" s="10">
        <v>10670</v>
      </c>
    </row>
    <row r="171" spans="1:15">
      <c r="A171" s="9">
        <v>1700030</v>
      </c>
      <c r="B171" s="9" t="s">
        <v>296</v>
      </c>
      <c r="C171" s="13">
        <v>12720</v>
      </c>
      <c r="D171" s="10">
        <v>12720</v>
      </c>
      <c r="E171" s="10">
        <v>12720</v>
      </c>
      <c r="F171" s="10">
        <v>12720</v>
      </c>
      <c r="G171" s="10">
        <v>12720</v>
      </c>
      <c r="H171" s="10">
        <v>12720</v>
      </c>
      <c r="I171" s="10">
        <v>12720</v>
      </c>
      <c r="J171" s="10">
        <v>12720</v>
      </c>
      <c r="K171" s="10">
        <v>12720</v>
      </c>
      <c r="L171" s="10">
        <v>12720</v>
      </c>
      <c r="M171" s="10">
        <v>12720</v>
      </c>
      <c r="N171" s="10">
        <v>12720</v>
      </c>
      <c r="O171" s="10">
        <v>12720</v>
      </c>
    </row>
    <row r="172" spans="1:15">
      <c r="A172" s="9">
        <v>1700031</v>
      </c>
      <c r="B172" s="9" t="s">
        <v>196</v>
      </c>
      <c r="C172" s="13">
        <v>1961</v>
      </c>
      <c r="D172" s="10">
        <v>1961</v>
      </c>
      <c r="E172" s="10">
        <v>1961</v>
      </c>
      <c r="F172" s="10">
        <v>1961</v>
      </c>
      <c r="G172" s="10">
        <v>1961</v>
      </c>
      <c r="H172" s="10">
        <v>1961</v>
      </c>
      <c r="I172" s="10">
        <v>1961</v>
      </c>
      <c r="J172" s="10">
        <v>1961</v>
      </c>
      <c r="K172" s="10">
        <v>1961</v>
      </c>
      <c r="L172" s="10">
        <v>2069</v>
      </c>
      <c r="M172" s="10">
        <v>2069</v>
      </c>
      <c r="N172" s="10">
        <v>2069</v>
      </c>
      <c r="O172" s="10">
        <v>2069</v>
      </c>
    </row>
    <row r="173" spans="1:15">
      <c r="A173" s="9">
        <v>1700032</v>
      </c>
      <c r="B173" s="9" t="s">
        <v>297</v>
      </c>
      <c r="C173" s="13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1700033</v>
      </c>
      <c r="B174" s="9" t="s">
        <v>298</v>
      </c>
      <c r="C174" s="13">
        <v>0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0</v>
      </c>
    </row>
    <row r="175" spans="1:15">
      <c r="A175" s="9">
        <v>1700034</v>
      </c>
      <c r="B175" s="9" t="s">
        <v>299</v>
      </c>
      <c r="C175" s="13">
        <v>15125</v>
      </c>
      <c r="D175" s="10">
        <v>15125</v>
      </c>
      <c r="E175" s="10">
        <v>15125</v>
      </c>
      <c r="F175" s="10">
        <v>15125</v>
      </c>
      <c r="G175" s="10">
        <v>15125</v>
      </c>
      <c r="H175" s="10">
        <v>15125</v>
      </c>
      <c r="I175" s="10">
        <v>15125</v>
      </c>
      <c r="J175" s="10">
        <v>17475</v>
      </c>
      <c r="K175" s="10">
        <v>17475</v>
      </c>
      <c r="L175" s="10">
        <v>17475</v>
      </c>
      <c r="M175" s="10">
        <v>17475</v>
      </c>
      <c r="N175" s="10">
        <v>17475</v>
      </c>
      <c r="O175" s="10">
        <v>16625</v>
      </c>
    </row>
    <row r="176" spans="1:15">
      <c r="A176" s="9">
        <v>1700035</v>
      </c>
      <c r="B176" s="9" t="s">
        <v>300</v>
      </c>
      <c r="C176" s="13">
        <v>34000</v>
      </c>
      <c r="D176" s="10">
        <v>34000</v>
      </c>
      <c r="E176" s="10">
        <v>34000</v>
      </c>
      <c r="F176" s="10">
        <v>34000</v>
      </c>
      <c r="G176" s="10">
        <v>34000</v>
      </c>
      <c r="H176" s="10">
        <v>64367</v>
      </c>
      <c r="I176" s="10">
        <v>64367</v>
      </c>
      <c r="J176" s="10">
        <v>64367</v>
      </c>
      <c r="K176" s="10">
        <v>64367</v>
      </c>
      <c r="L176" s="10">
        <v>64367</v>
      </c>
      <c r="M176" s="10">
        <v>34000</v>
      </c>
      <c r="N176" s="10">
        <v>34000</v>
      </c>
      <c r="O176" s="10">
        <v>34000</v>
      </c>
    </row>
    <row r="177" spans="1:15">
      <c r="A177" s="9">
        <v>1700036</v>
      </c>
      <c r="B177" s="9" t="s">
        <v>301</v>
      </c>
      <c r="C177" s="13">
        <v>4000</v>
      </c>
      <c r="D177" s="10">
        <v>4000</v>
      </c>
      <c r="E177" s="10">
        <v>4000</v>
      </c>
      <c r="F177" s="10">
        <v>5200</v>
      </c>
      <c r="G177" s="10">
        <v>5200</v>
      </c>
      <c r="H177" s="10">
        <v>5200</v>
      </c>
      <c r="I177" s="10">
        <v>5200</v>
      </c>
      <c r="J177" s="10">
        <v>5200</v>
      </c>
      <c r="K177" s="10">
        <v>5200</v>
      </c>
      <c r="L177" s="10">
        <v>5200</v>
      </c>
      <c r="M177" s="10">
        <v>5200</v>
      </c>
      <c r="N177" s="10">
        <v>5200</v>
      </c>
      <c r="O177" s="10">
        <v>5200</v>
      </c>
    </row>
    <row r="178" spans="1:15">
      <c r="A178" s="9">
        <v>1700037</v>
      </c>
      <c r="B178" s="9" t="s">
        <v>302</v>
      </c>
      <c r="C178" s="13">
        <v>7200</v>
      </c>
      <c r="D178" s="10">
        <v>7133</v>
      </c>
      <c r="E178" s="10">
        <v>7133</v>
      </c>
      <c r="F178" s="10">
        <v>7533</v>
      </c>
      <c r="G178" s="10">
        <v>7533</v>
      </c>
      <c r="H178" s="10">
        <v>7533</v>
      </c>
      <c r="I178" s="10">
        <v>7533</v>
      </c>
      <c r="J178" s="10">
        <v>7533</v>
      </c>
      <c r="K178" s="10">
        <v>7533</v>
      </c>
      <c r="L178" s="10">
        <v>7533</v>
      </c>
      <c r="M178" s="10">
        <v>7533</v>
      </c>
      <c r="N178" s="10">
        <v>7533</v>
      </c>
      <c r="O178" s="10">
        <v>7533</v>
      </c>
    </row>
    <row r="179" spans="1:15">
      <c r="A179" s="9">
        <v>1700038</v>
      </c>
      <c r="B179" s="9" t="s">
        <v>303</v>
      </c>
      <c r="C179" s="13">
        <v>2441</v>
      </c>
      <c r="D179" s="10">
        <v>2079</v>
      </c>
      <c r="E179" s="10">
        <v>2079</v>
      </c>
      <c r="F179" s="10">
        <v>2559</v>
      </c>
      <c r="G179" s="10">
        <v>2559</v>
      </c>
      <c r="H179" s="10">
        <v>2687</v>
      </c>
      <c r="I179" s="10">
        <v>2500</v>
      </c>
      <c r="J179" s="10">
        <v>2500</v>
      </c>
      <c r="K179" s="10">
        <v>2500</v>
      </c>
      <c r="L179" s="10">
        <v>2157</v>
      </c>
      <c r="M179" s="10">
        <v>2108</v>
      </c>
      <c r="N179" s="10">
        <v>2108</v>
      </c>
      <c r="O179" s="10">
        <v>2108</v>
      </c>
    </row>
    <row r="180" spans="1:15">
      <c r="A180" s="9">
        <v>1700039</v>
      </c>
      <c r="B180" s="9" t="s">
        <v>304</v>
      </c>
      <c r="C180" s="13">
        <v>2000</v>
      </c>
      <c r="D180" s="10">
        <v>2000</v>
      </c>
      <c r="E180" s="10">
        <v>2000</v>
      </c>
      <c r="F180" s="10">
        <v>2000</v>
      </c>
      <c r="G180" s="10">
        <v>2000</v>
      </c>
      <c r="H180" s="10">
        <v>2431</v>
      </c>
      <c r="I180" s="10">
        <v>2431</v>
      </c>
      <c r="J180" s="10">
        <v>2431</v>
      </c>
      <c r="K180" s="10">
        <v>2431</v>
      </c>
      <c r="L180" s="10">
        <v>2431</v>
      </c>
      <c r="M180" s="10">
        <v>3480</v>
      </c>
      <c r="N180" s="10">
        <v>3480</v>
      </c>
      <c r="O180" s="10">
        <v>3480</v>
      </c>
    </row>
    <row r="181" spans="1:15">
      <c r="A181" s="9">
        <v>1700040</v>
      </c>
      <c r="B181" s="9" t="s">
        <v>305</v>
      </c>
      <c r="C181" s="13">
        <v>1967</v>
      </c>
      <c r="D181" s="10">
        <v>1967</v>
      </c>
      <c r="E181" s="10">
        <v>1967</v>
      </c>
      <c r="F181" s="10">
        <v>1967</v>
      </c>
      <c r="G181" s="10">
        <v>1967</v>
      </c>
      <c r="H181" s="10">
        <v>1967</v>
      </c>
      <c r="I181" s="10">
        <v>1967</v>
      </c>
      <c r="J181" s="10">
        <v>1967</v>
      </c>
      <c r="K181" s="10">
        <v>1967</v>
      </c>
      <c r="L181" s="10">
        <v>1967</v>
      </c>
      <c r="M181" s="10">
        <v>1967</v>
      </c>
      <c r="N181" s="10">
        <v>1967</v>
      </c>
      <c r="O181" s="10">
        <v>1967</v>
      </c>
    </row>
    <row r="182" spans="1:15">
      <c r="A182" s="9">
        <v>1700041</v>
      </c>
      <c r="B182" s="9" t="s">
        <v>306</v>
      </c>
      <c r="C182" s="13">
        <v>3000</v>
      </c>
      <c r="D182" s="10">
        <v>3000</v>
      </c>
      <c r="E182" s="10">
        <v>3000</v>
      </c>
      <c r="F182" s="10">
        <v>3000</v>
      </c>
      <c r="G182" s="10">
        <v>3000</v>
      </c>
      <c r="H182" s="10">
        <v>3000</v>
      </c>
      <c r="I182" s="10">
        <v>3000</v>
      </c>
      <c r="J182" s="10">
        <v>3000</v>
      </c>
      <c r="K182" s="10">
        <v>3000</v>
      </c>
      <c r="L182" s="10">
        <v>3000</v>
      </c>
      <c r="M182" s="10">
        <v>3000</v>
      </c>
      <c r="N182" s="10">
        <v>3000</v>
      </c>
      <c r="O182" s="10">
        <v>3000</v>
      </c>
    </row>
    <row r="183" spans="1:15">
      <c r="A183" s="9">
        <v>1700042</v>
      </c>
      <c r="B183" s="9" t="s">
        <v>307</v>
      </c>
      <c r="C183" s="13">
        <v>3163</v>
      </c>
      <c r="D183" s="10">
        <v>3200</v>
      </c>
      <c r="E183" s="10">
        <v>3212</v>
      </c>
      <c r="F183" s="10">
        <v>3220</v>
      </c>
      <c r="G183" s="10">
        <v>3220</v>
      </c>
      <c r="H183" s="10">
        <v>3211</v>
      </c>
      <c r="I183" s="10">
        <v>3268</v>
      </c>
      <c r="J183" s="10">
        <v>3222</v>
      </c>
      <c r="K183" s="10">
        <v>3211</v>
      </c>
      <c r="L183" s="10">
        <v>3163</v>
      </c>
      <c r="M183" s="10">
        <v>3163</v>
      </c>
      <c r="N183" s="10">
        <v>3163</v>
      </c>
      <c r="O183" s="10">
        <v>3163</v>
      </c>
    </row>
    <row r="184" spans="1:15">
      <c r="A184" s="9">
        <v>1700043</v>
      </c>
      <c r="B184" s="9" t="s">
        <v>308</v>
      </c>
      <c r="C184" s="13">
        <v>4931</v>
      </c>
      <c r="D184" s="10">
        <v>4990</v>
      </c>
      <c r="E184" s="10">
        <v>2931</v>
      </c>
      <c r="F184" s="10">
        <v>2931</v>
      </c>
      <c r="G184" s="10">
        <v>4652</v>
      </c>
      <c r="H184" s="10">
        <v>4652</v>
      </c>
      <c r="I184" s="10">
        <v>4026</v>
      </c>
      <c r="J184" s="10">
        <v>4029</v>
      </c>
      <c r="K184" s="10">
        <v>5877</v>
      </c>
      <c r="L184" s="10">
        <v>5877</v>
      </c>
      <c r="M184" s="10">
        <v>5877</v>
      </c>
      <c r="N184" s="10">
        <v>5877</v>
      </c>
      <c r="O184" s="10">
        <v>5877</v>
      </c>
    </row>
    <row r="185" spans="1:15">
      <c r="A185" s="9">
        <v>1700044</v>
      </c>
      <c r="B185" s="9" t="s">
        <v>309</v>
      </c>
      <c r="C185" s="13">
        <v>7000</v>
      </c>
      <c r="D185" s="10">
        <v>7000</v>
      </c>
      <c r="E185" s="10">
        <v>7000</v>
      </c>
      <c r="F185" s="10">
        <v>7000</v>
      </c>
      <c r="G185" s="10">
        <v>7000</v>
      </c>
      <c r="H185" s="10">
        <v>7000</v>
      </c>
      <c r="I185" s="10">
        <v>7000</v>
      </c>
      <c r="J185" s="10">
        <v>7000</v>
      </c>
      <c r="K185" s="10">
        <v>7000</v>
      </c>
      <c r="L185" s="10">
        <v>7000</v>
      </c>
      <c r="M185" s="10">
        <v>7000</v>
      </c>
      <c r="N185" s="10">
        <v>7000</v>
      </c>
      <c r="O185" s="10">
        <v>7000</v>
      </c>
    </row>
    <row r="186" spans="1:15">
      <c r="A186" s="9">
        <v>1700045</v>
      </c>
      <c r="B186" s="9" t="s">
        <v>310</v>
      </c>
      <c r="C186" s="13">
        <v>4382</v>
      </c>
      <c r="D186" s="10">
        <v>4382</v>
      </c>
      <c r="E186" s="10">
        <v>3549</v>
      </c>
      <c r="F186" s="10">
        <v>3549</v>
      </c>
      <c r="G186" s="10">
        <v>4180</v>
      </c>
      <c r="H186" s="10">
        <v>3373</v>
      </c>
      <c r="I186" s="10">
        <v>3417</v>
      </c>
      <c r="J186" s="10">
        <v>3461</v>
      </c>
      <c r="K186" s="10">
        <v>3461</v>
      </c>
      <c r="L186" s="10">
        <v>3696</v>
      </c>
      <c r="M186" s="10">
        <v>3770</v>
      </c>
      <c r="N186" s="10">
        <v>3814</v>
      </c>
      <c r="O186" s="10">
        <v>3814</v>
      </c>
    </row>
    <row r="187" spans="1:15">
      <c r="A187" s="9">
        <v>1700046</v>
      </c>
      <c r="B187" s="9" t="s">
        <v>311</v>
      </c>
      <c r="C187" s="13">
        <v>6176</v>
      </c>
      <c r="D187" s="10">
        <v>6176</v>
      </c>
      <c r="E187" s="10">
        <v>6176</v>
      </c>
      <c r="F187" s="10">
        <v>6176</v>
      </c>
      <c r="G187" s="10">
        <v>6176</v>
      </c>
      <c r="H187" s="10">
        <v>6863</v>
      </c>
      <c r="I187" s="10">
        <v>6863</v>
      </c>
      <c r="J187" s="10">
        <v>6863</v>
      </c>
      <c r="K187" s="10">
        <v>6863</v>
      </c>
      <c r="L187" s="10">
        <v>6863</v>
      </c>
      <c r="M187" s="10">
        <v>6863</v>
      </c>
      <c r="N187" s="10">
        <v>6863</v>
      </c>
      <c r="O187" s="10">
        <v>6863</v>
      </c>
    </row>
    <row r="188" spans="1:15">
      <c r="A188" s="9">
        <v>1700047</v>
      </c>
      <c r="B188" s="9" t="s">
        <v>312</v>
      </c>
      <c r="C188" s="13">
        <v>25000</v>
      </c>
      <c r="D188" s="10">
        <v>25000</v>
      </c>
      <c r="E188" s="10">
        <v>25000</v>
      </c>
      <c r="F188" s="10">
        <v>22150</v>
      </c>
      <c r="G188" s="10">
        <v>22150</v>
      </c>
      <c r="H188" s="10">
        <v>22150</v>
      </c>
      <c r="I188" s="10">
        <v>22150</v>
      </c>
      <c r="J188" s="10">
        <v>22150</v>
      </c>
      <c r="K188" s="10">
        <v>22150</v>
      </c>
      <c r="L188" s="10">
        <v>22350</v>
      </c>
      <c r="M188" s="10">
        <v>22350</v>
      </c>
      <c r="N188" s="10">
        <v>22350</v>
      </c>
      <c r="O188" s="10">
        <v>22350</v>
      </c>
    </row>
    <row r="189" spans="1:15">
      <c r="A189" s="9">
        <v>1700048</v>
      </c>
      <c r="B189" s="9" t="s">
        <v>313</v>
      </c>
      <c r="C189" s="13">
        <v>13330</v>
      </c>
      <c r="D189" s="10">
        <v>13330</v>
      </c>
      <c r="E189" s="10">
        <v>13330</v>
      </c>
      <c r="F189" s="10">
        <v>13330</v>
      </c>
      <c r="G189" s="10">
        <v>13330</v>
      </c>
      <c r="H189" s="10">
        <v>13330</v>
      </c>
      <c r="I189" s="10">
        <v>13330</v>
      </c>
      <c r="J189" s="10">
        <v>13330</v>
      </c>
      <c r="K189" s="10">
        <v>13330</v>
      </c>
      <c r="L189" s="10">
        <v>13330</v>
      </c>
      <c r="M189" s="10">
        <v>13330</v>
      </c>
      <c r="N189" s="10">
        <v>13330</v>
      </c>
      <c r="O189" s="10">
        <v>13330</v>
      </c>
    </row>
    <row r="190" spans="1:15">
      <c r="A190" s="9">
        <v>1700049</v>
      </c>
      <c r="B190" s="9" t="s">
        <v>314</v>
      </c>
      <c r="C190" s="13">
        <v>5785</v>
      </c>
      <c r="D190" s="10">
        <v>5785</v>
      </c>
      <c r="E190" s="10">
        <v>5785</v>
      </c>
      <c r="F190" s="10">
        <v>5785</v>
      </c>
      <c r="G190" s="10">
        <v>5785</v>
      </c>
      <c r="H190" s="10">
        <v>5785</v>
      </c>
      <c r="I190" s="10">
        <v>5785</v>
      </c>
      <c r="J190" s="10">
        <v>5785</v>
      </c>
      <c r="K190" s="10">
        <v>5785</v>
      </c>
      <c r="L190" s="10">
        <v>5785</v>
      </c>
      <c r="M190" s="10">
        <v>5785</v>
      </c>
      <c r="N190" s="10">
        <v>5785</v>
      </c>
      <c r="O190" s="10">
        <v>5785</v>
      </c>
    </row>
    <row r="191" spans="1:15">
      <c r="A191" s="9">
        <v>1700050</v>
      </c>
      <c r="B191" s="9" t="s">
        <v>315</v>
      </c>
      <c r="C191" s="13">
        <v>39000</v>
      </c>
      <c r="D191" s="10">
        <v>39000</v>
      </c>
      <c r="E191" s="10">
        <v>39000</v>
      </c>
      <c r="F191" s="10">
        <v>39000</v>
      </c>
      <c r="G191" s="10">
        <v>39000</v>
      </c>
      <c r="H191" s="10">
        <v>39000</v>
      </c>
      <c r="I191" s="10">
        <v>39000</v>
      </c>
      <c r="J191" s="10">
        <v>39000</v>
      </c>
      <c r="K191" s="10">
        <v>39000</v>
      </c>
      <c r="L191" s="10">
        <v>39000</v>
      </c>
      <c r="M191" s="10">
        <v>39000</v>
      </c>
      <c r="N191" s="10">
        <v>39000</v>
      </c>
      <c r="O191" s="10">
        <v>39000</v>
      </c>
    </row>
    <row r="192" spans="1:15">
      <c r="A192" s="9">
        <v>1700051</v>
      </c>
      <c r="B192" s="9" t="s">
        <v>316</v>
      </c>
      <c r="C192" s="13">
        <v>11500</v>
      </c>
      <c r="D192" s="10">
        <v>11500</v>
      </c>
      <c r="E192" s="10">
        <v>11500</v>
      </c>
      <c r="F192" s="10">
        <v>11500</v>
      </c>
      <c r="G192" s="10">
        <v>11500</v>
      </c>
      <c r="H192" s="10">
        <v>11500</v>
      </c>
      <c r="I192" s="10">
        <v>11500</v>
      </c>
      <c r="J192" s="10">
        <v>11500</v>
      </c>
      <c r="K192" s="10">
        <v>11500</v>
      </c>
      <c r="L192" s="10">
        <v>11500</v>
      </c>
      <c r="M192" s="10">
        <v>11500</v>
      </c>
      <c r="N192" s="10">
        <v>11500</v>
      </c>
      <c r="O192" s="10">
        <v>11500</v>
      </c>
    </row>
    <row r="193" spans="1:15">
      <c r="A193" s="9">
        <v>1700052</v>
      </c>
      <c r="B193" s="9" t="s">
        <v>317</v>
      </c>
      <c r="C193" s="13">
        <v>3444</v>
      </c>
      <c r="D193" s="10">
        <v>3444</v>
      </c>
      <c r="E193" s="10">
        <v>3444</v>
      </c>
      <c r="F193" s="10">
        <v>3444</v>
      </c>
      <c r="G193" s="10">
        <v>3444</v>
      </c>
      <c r="H193" s="10">
        <v>3444</v>
      </c>
      <c r="I193" s="10">
        <v>3444</v>
      </c>
      <c r="J193" s="10">
        <v>3444</v>
      </c>
      <c r="K193" s="10">
        <v>3444</v>
      </c>
      <c r="L193" s="10">
        <v>3444</v>
      </c>
      <c r="M193" s="10">
        <v>3444</v>
      </c>
      <c r="N193" s="10">
        <v>3444</v>
      </c>
      <c r="O193" s="10">
        <v>3444</v>
      </c>
    </row>
    <row r="194" spans="1:15">
      <c r="A194" s="9">
        <v>1700053</v>
      </c>
      <c r="B194" s="9" t="s">
        <v>318</v>
      </c>
      <c r="C194" s="13">
        <v>15530</v>
      </c>
      <c r="D194" s="10">
        <v>15530</v>
      </c>
      <c r="E194" s="10">
        <v>15530</v>
      </c>
      <c r="F194" s="10">
        <v>15530</v>
      </c>
      <c r="G194" s="10">
        <v>15530</v>
      </c>
      <c r="H194" s="10">
        <v>15530</v>
      </c>
      <c r="I194" s="10">
        <v>15530</v>
      </c>
      <c r="J194" s="10">
        <v>15530</v>
      </c>
      <c r="K194" s="10">
        <v>15530</v>
      </c>
      <c r="L194" s="10">
        <v>15530</v>
      </c>
      <c r="M194" s="10">
        <v>15530</v>
      </c>
      <c r="N194" s="10">
        <v>15530</v>
      </c>
      <c r="O194" s="10">
        <v>15530</v>
      </c>
    </row>
    <row r="195" spans="1:15">
      <c r="A195" s="9">
        <v>1700054</v>
      </c>
      <c r="B195" s="9" t="s">
        <v>319</v>
      </c>
      <c r="C195" s="13">
        <v>11670</v>
      </c>
      <c r="D195" s="10">
        <v>11670</v>
      </c>
      <c r="E195" s="10">
        <v>11670</v>
      </c>
      <c r="F195" s="10">
        <v>11670</v>
      </c>
      <c r="G195" s="10">
        <v>11670</v>
      </c>
      <c r="H195" s="10">
        <v>11670</v>
      </c>
      <c r="I195" s="10">
        <v>11670</v>
      </c>
      <c r="J195" s="10">
        <v>11670</v>
      </c>
      <c r="K195" s="10">
        <v>11670</v>
      </c>
      <c r="L195" s="10">
        <v>11670</v>
      </c>
      <c r="M195" s="10">
        <v>11670</v>
      </c>
      <c r="N195" s="10">
        <v>11670</v>
      </c>
      <c r="O195" s="10">
        <v>11670</v>
      </c>
    </row>
    <row r="196" spans="1:15">
      <c r="A196" s="9">
        <v>1700055</v>
      </c>
      <c r="B196" s="9" t="s">
        <v>320</v>
      </c>
      <c r="C196" s="13">
        <v>11940</v>
      </c>
      <c r="D196" s="10">
        <v>11940</v>
      </c>
      <c r="E196" s="10">
        <v>11940</v>
      </c>
      <c r="F196" s="10">
        <v>11940</v>
      </c>
      <c r="G196" s="10">
        <v>11940</v>
      </c>
      <c r="H196" s="10">
        <v>11940</v>
      </c>
      <c r="I196" s="10">
        <v>11940</v>
      </c>
      <c r="J196" s="10">
        <v>11940</v>
      </c>
      <c r="K196" s="10">
        <v>11940</v>
      </c>
      <c r="L196" s="10">
        <v>11940</v>
      </c>
      <c r="M196" s="10">
        <v>11940</v>
      </c>
      <c r="N196" s="10">
        <v>11940</v>
      </c>
      <c r="O196" s="10">
        <v>11940</v>
      </c>
    </row>
    <row r="197" spans="1:15">
      <c r="A197" s="9">
        <v>1700056</v>
      </c>
      <c r="B197" s="9" t="s">
        <v>321</v>
      </c>
      <c r="C197" s="13">
        <v>6123</v>
      </c>
      <c r="D197" s="10">
        <v>6226</v>
      </c>
      <c r="E197" s="10">
        <v>6226</v>
      </c>
      <c r="F197" s="10">
        <v>6226</v>
      </c>
      <c r="G197" s="10">
        <v>6147</v>
      </c>
      <c r="H197" s="10">
        <v>5775</v>
      </c>
      <c r="I197" s="10">
        <v>5603</v>
      </c>
      <c r="J197" s="10">
        <v>6144</v>
      </c>
      <c r="K197" s="10">
        <v>6226</v>
      </c>
      <c r="L197" s="10">
        <v>6513</v>
      </c>
      <c r="M197" s="10">
        <v>6226</v>
      </c>
      <c r="N197" s="10">
        <v>7001</v>
      </c>
      <c r="O197" s="10">
        <v>6402</v>
      </c>
    </row>
    <row r="198" spans="1:15">
      <c r="A198" s="9">
        <v>1700057</v>
      </c>
      <c r="B198" s="9" t="s">
        <v>322</v>
      </c>
      <c r="C198" s="13">
        <v>2098</v>
      </c>
      <c r="D198" s="10">
        <v>2098</v>
      </c>
      <c r="E198" s="10">
        <v>2098</v>
      </c>
      <c r="F198" s="10">
        <v>2098</v>
      </c>
      <c r="G198" s="10">
        <v>2098</v>
      </c>
      <c r="H198" s="10">
        <v>2098</v>
      </c>
      <c r="I198" s="10">
        <v>2098</v>
      </c>
      <c r="J198" s="10">
        <v>2098</v>
      </c>
      <c r="K198" s="10">
        <v>2098</v>
      </c>
      <c r="L198" s="10">
        <v>2098</v>
      </c>
      <c r="M198" s="10">
        <v>2098</v>
      </c>
      <c r="N198" s="10">
        <v>2098</v>
      </c>
      <c r="O198" s="10">
        <v>2098</v>
      </c>
    </row>
    <row r="199" spans="1:15">
      <c r="A199" s="9">
        <v>1700058</v>
      </c>
      <c r="B199" s="9" t="s">
        <v>323</v>
      </c>
      <c r="C199" s="13">
        <v>5800</v>
      </c>
      <c r="D199" s="10">
        <v>5800</v>
      </c>
      <c r="E199" s="10">
        <v>5800</v>
      </c>
      <c r="F199" s="10">
        <v>5800</v>
      </c>
      <c r="G199" s="10">
        <v>5800</v>
      </c>
      <c r="H199" s="10">
        <v>5800</v>
      </c>
      <c r="I199" s="10">
        <v>5800</v>
      </c>
      <c r="J199" s="10">
        <v>5800</v>
      </c>
      <c r="K199" s="10">
        <v>5800</v>
      </c>
      <c r="L199" s="10">
        <v>5800</v>
      </c>
      <c r="M199" s="10">
        <v>5800</v>
      </c>
      <c r="N199" s="10">
        <v>5800</v>
      </c>
      <c r="O199" s="10">
        <v>5800</v>
      </c>
    </row>
    <row r="200" spans="1:15">
      <c r="A200" s="9">
        <v>1700059</v>
      </c>
      <c r="B200" s="9" t="s">
        <v>324</v>
      </c>
      <c r="C200" s="13">
        <v>27667</v>
      </c>
      <c r="D200" s="10">
        <v>27667</v>
      </c>
      <c r="E200" s="10">
        <v>27667</v>
      </c>
      <c r="F200" s="10">
        <v>27667</v>
      </c>
      <c r="G200" s="10">
        <v>27667</v>
      </c>
      <c r="H200" s="10">
        <v>27667</v>
      </c>
      <c r="I200" s="10">
        <v>27667</v>
      </c>
      <c r="J200" s="10">
        <v>27667</v>
      </c>
      <c r="K200" s="10">
        <v>27667</v>
      </c>
      <c r="L200" s="10">
        <v>27667</v>
      </c>
      <c r="M200" s="10">
        <v>27667</v>
      </c>
      <c r="N200" s="10">
        <v>27667</v>
      </c>
      <c r="O200" s="10">
        <v>27667</v>
      </c>
    </row>
    <row r="201" spans="1:15">
      <c r="A201" s="9">
        <v>1700060</v>
      </c>
      <c r="B201" s="9" t="s">
        <v>325</v>
      </c>
      <c r="C201" s="13">
        <v>8245</v>
      </c>
      <c r="D201" s="10">
        <v>8245</v>
      </c>
      <c r="E201" s="10">
        <v>8245</v>
      </c>
      <c r="F201" s="10">
        <v>5314</v>
      </c>
      <c r="G201" s="10">
        <v>5314</v>
      </c>
      <c r="H201" s="10">
        <v>5314</v>
      </c>
      <c r="I201" s="10">
        <v>3402</v>
      </c>
      <c r="J201" s="10">
        <v>3402</v>
      </c>
      <c r="K201" s="10">
        <v>3402</v>
      </c>
      <c r="L201" s="10">
        <v>3402</v>
      </c>
      <c r="M201" s="10">
        <v>5471</v>
      </c>
      <c r="N201" s="10">
        <v>5471</v>
      </c>
      <c r="O201" s="10">
        <v>3824</v>
      </c>
    </row>
    <row r="202" spans="1:15">
      <c r="A202" s="9">
        <v>1700061</v>
      </c>
      <c r="B202" s="9" t="s">
        <v>326</v>
      </c>
      <c r="C202" s="13">
        <v>8920</v>
      </c>
      <c r="D202" s="10">
        <v>8920</v>
      </c>
      <c r="E202" s="10">
        <v>8920</v>
      </c>
      <c r="F202" s="10">
        <v>8920</v>
      </c>
      <c r="G202" s="10">
        <v>8920</v>
      </c>
      <c r="H202" s="10">
        <v>8920</v>
      </c>
      <c r="I202" s="10">
        <v>8920</v>
      </c>
      <c r="J202" s="10">
        <v>8920</v>
      </c>
      <c r="K202" s="10">
        <v>8920</v>
      </c>
      <c r="L202" s="10">
        <v>8920</v>
      </c>
      <c r="M202" s="10">
        <v>8920</v>
      </c>
      <c r="N202" s="10">
        <v>8920</v>
      </c>
      <c r="O202" s="10">
        <v>8920</v>
      </c>
    </row>
    <row r="203" spans="1:15">
      <c r="A203" s="9">
        <v>1700062</v>
      </c>
      <c r="B203" s="9" t="s">
        <v>327</v>
      </c>
      <c r="C203" s="13">
        <v>10520</v>
      </c>
      <c r="D203" s="10">
        <v>10520</v>
      </c>
      <c r="E203" s="10">
        <v>10520</v>
      </c>
      <c r="F203" s="10">
        <v>10520</v>
      </c>
      <c r="G203" s="10">
        <v>10520</v>
      </c>
      <c r="H203" s="10">
        <v>10520</v>
      </c>
      <c r="I203" s="10">
        <v>10520</v>
      </c>
      <c r="J203" s="10">
        <v>10520</v>
      </c>
      <c r="K203" s="10">
        <v>10520</v>
      </c>
      <c r="L203" s="10">
        <v>10520</v>
      </c>
      <c r="M203" s="10">
        <v>10520</v>
      </c>
      <c r="N203" s="10">
        <v>10520</v>
      </c>
      <c r="O203" s="10">
        <v>10520</v>
      </c>
    </row>
    <row r="204" spans="1:15">
      <c r="A204" s="9">
        <v>1700063</v>
      </c>
      <c r="B204" s="9" t="s">
        <v>328</v>
      </c>
      <c r="C204" s="13">
        <v>10550</v>
      </c>
      <c r="D204" s="10">
        <v>10550</v>
      </c>
      <c r="E204" s="10">
        <v>10550</v>
      </c>
      <c r="F204" s="10">
        <v>10550</v>
      </c>
      <c r="G204" s="10">
        <v>10550</v>
      </c>
      <c r="H204" s="10">
        <v>10550</v>
      </c>
      <c r="I204" s="10">
        <v>10550</v>
      </c>
      <c r="J204" s="10">
        <v>10550</v>
      </c>
      <c r="K204" s="10">
        <v>10550</v>
      </c>
      <c r="L204" s="10">
        <v>10550</v>
      </c>
      <c r="M204" s="10">
        <v>10550</v>
      </c>
      <c r="N204" s="10">
        <v>10550</v>
      </c>
      <c r="O204" s="10">
        <v>10550</v>
      </c>
    </row>
    <row r="205" spans="1:15">
      <c r="A205" s="9">
        <v>1700064</v>
      </c>
      <c r="B205" s="9" t="s">
        <v>329</v>
      </c>
      <c r="C205" s="13">
        <v>11060</v>
      </c>
      <c r="D205" s="10">
        <v>11060</v>
      </c>
      <c r="E205" s="10">
        <v>11060</v>
      </c>
      <c r="F205" s="10">
        <v>11060</v>
      </c>
      <c r="G205" s="10">
        <v>11060</v>
      </c>
      <c r="H205" s="10">
        <v>11060</v>
      </c>
      <c r="I205" s="10">
        <v>11060</v>
      </c>
      <c r="J205" s="10">
        <v>11060</v>
      </c>
      <c r="K205" s="10">
        <v>11060</v>
      </c>
      <c r="L205" s="10">
        <v>11060</v>
      </c>
      <c r="M205" s="10">
        <v>11060</v>
      </c>
      <c r="N205" s="10">
        <v>11060</v>
      </c>
      <c r="O205" s="10">
        <v>11060</v>
      </c>
    </row>
    <row r="206" spans="1:15">
      <c r="A206" s="9">
        <v>1700065</v>
      </c>
      <c r="B206" s="9" t="s">
        <v>330</v>
      </c>
      <c r="C206" s="13">
        <v>12760</v>
      </c>
      <c r="D206" s="10">
        <v>12760</v>
      </c>
      <c r="E206" s="10">
        <v>12760</v>
      </c>
      <c r="F206" s="10">
        <v>12760</v>
      </c>
      <c r="G206" s="10">
        <v>12760</v>
      </c>
      <c r="H206" s="10">
        <v>12760</v>
      </c>
      <c r="I206" s="10">
        <v>12760</v>
      </c>
      <c r="J206" s="10">
        <v>12760</v>
      </c>
      <c r="K206" s="10">
        <v>12760</v>
      </c>
      <c r="L206" s="10">
        <v>12760</v>
      </c>
      <c r="M206" s="10">
        <v>12760</v>
      </c>
      <c r="N206" s="10">
        <v>12760</v>
      </c>
      <c r="O206" s="10">
        <v>12760</v>
      </c>
    </row>
    <row r="207" spans="1:15">
      <c r="A207" s="9">
        <v>1700066</v>
      </c>
      <c r="B207" s="9" t="s">
        <v>331</v>
      </c>
      <c r="C207" s="13">
        <v>13200</v>
      </c>
      <c r="D207" s="10">
        <v>13200</v>
      </c>
      <c r="E207" s="10">
        <v>13200</v>
      </c>
      <c r="F207" s="10">
        <v>13200</v>
      </c>
      <c r="G207" s="10">
        <v>13200</v>
      </c>
      <c r="H207" s="10">
        <v>13200</v>
      </c>
      <c r="I207" s="10">
        <v>13200</v>
      </c>
      <c r="J207" s="10">
        <v>13200</v>
      </c>
      <c r="K207" s="10">
        <v>13200</v>
      </c>
      <c r="L207" s="10">
        <v>13200</v>
      </c>
      <c r="M207" s="10">
        <v>13200</v>
      </c>
      <c r="N207" s="10">
        <v>13200</v>
      </c>
      <c r="O207" s="10">
        <v>13200</v>
      </c>
    </row>
    <row r="208" spans="1:15">
      <c r="A208" s="9">
        <v>1700067</v>
      </c>
      <c r="B208" s="9" t="s">
        <v>332</v>
      </c>
      <c r="C208" s="13">
        <v>10720</v>
      </c>
      <c r="D208" s="10">
        <v>10720</v>
      </c>
      <c r="E208" s="10">
        <v>10720</v>
      </c>
      <c r="F208" s="10">
        <v>10720</v>
      </c>
      <c r="G208" s="10">
        <v>10720</v>
      </c>
      <c r="H208" s="10">
        <v>10720</v>
      </c>
      <c r="I208" s="10">
        <v>10720</v>
      </c>
      <c r="J208" s="10">
        <v>10720</v>
      </c>
      <c r="K208" s="10">
        <v>10720</v>
      </c>
      <c r="L208" s="10">
        <v>10720</v>
      </c>
      <c r="M208" s="10">
        <v>10720</v>
      </c>
      <c r="N208" s="10">
        <v>10720</v>
      </c>
      <c r="O208" s="10">
        <v>10720</v>
      </c>
    </row>
    <row r="209" spans="1:15">
      <c r="A209" s="9">
        <v>1700068</v>
      </c>
      <c r="B209" s="9" t="s">
        <v>333</v>
      </c>
      <c r="C209" s="13">
        <v>12720</v>
      </c>
      <c r="D209" s="10">
        <v>12720</v>
      </c>
      <c r="E209" s="10">
        <v>12720</v>
      </c>
      <c r="F209" s="10">
        <v>12720</v>
      </c>
      <c r="G209" s="10">
        <v>12720</v>
      </c>
      <c r="H209" s="10">
        <v>12720</v>
      </c>
      <c r="I209" s="10">
        <v>12720</v>
      </c>
      <c r="J209" s="10">
        <v>12720</v>
      </c>
      <c r="K209" s="10">
        <v>12720</v>
      </c>
      <c r="L209" s="10">
        <v>12720</v>
      </c>
      <c r="M209" s="10">
        <v>12720</v>
      </c>
      <c r="N209" s="10">
        <v>12720</v>
      </c>
      <c r="O209" s="10">
        <v>12720</v>
      </c>
    </row>
    <row r="210" spans="1:15">
      <c r="A210" s="9">
        <v>1700069</v>
      </c>
      <c r="B210" s="9" t="s">
        <v>334</v>
      </c>
      <c r="C210" s="13">
        <v>14000</v>
      </c>
      <c r="D210" s="10">
        <v>14000</v>
      </c>
      <c r="E210" s="10">
        <v>14000</v>
      </c>
      <c r="F210" s="10">
        <v>14000</v>
      </c>
      <c r="G210" s="10">
        <v>14000</v>
      </c>
      <c r="H210" s="10">
        <v>14000</v>
      </c>
      <c r="I210" s="10">
        <v>14000</v>
      </c>
      <c r="J210" s="10">
        <v>14000</v>
      </c>
      <c r="K210" s="10">
        <v>14000</v>
      </c>
      <c r="L210" s="10">
        <v>14000</v>
      </c>
      <c r="M210" s="10">
        <v>14000</v>
      </c>
      <c r="N210" s="10">
        <v>14000</v>
      </c>
      <c r="O210" s="10">
        <v>14000</v>
      </c>
    </row>
    <row r="211" spans="1:15">
      <c r="A211" s="9">
        <v>1700070</v>
      </c>
      <c r="B211" s="9" t="s">
        <v>335</v>
      </c>
      <c r="C211" s="13">
        <v>1618</v>
      </c>
      <c r="D211" s="10">
        <v>1618</v>
      </c>
      <c r="E211" s="10">
        <v>1618</v>
      </c>
      <c r="F211" s="10">
        <v>1618</v>
      </c>
      <c r="G211" s="10">
        <v>1618</v>
      </c>
      <c r="H211" s="10">
        <v>1618</v>
      </c>
      <c r="I211" s="10">
        <v>1618</v>
      </c>
      <c r="J211" s="10">
        <v>1618</v>
      </c>
      <c r="K211" s="10">
        <v>1618</v>
      </c>
      <c r="L211" s="10">
        <v>1618</v>
      </c>
      <c r="M211" s="10">
        <v>1618</v>
      </c>
      <c r="N211" s="10">
        <v>1618</v>
      </c>
      <c r="O211" s="10">
        <v>1618</v>
      </c>
    </row>
    <row r="212" spans="1:15">
      <c r="A212" s="9">
        <v>1700071</v>
      </c>
      <c r="B212" s="9" t="s">
        <v>336</v>
      </c>
      <c r="C212" s="13">
        <v>12190</v>
      </c>
      <c r="D212" s="10">
        <v>12190</v>
      </c>
      <c r="E212" s="10">
        <v>12190</v>
      </c>
      <c r="F212" s="10">
        <v>12190</v>
      </c>
      <c r="G212" s="10">
        <v>12190</v>
      </c>
      <c r="H212" s="10">
        <v>12190</v>
      </c>
      <c r="I212" s="10">
        <v>12190</v>
      </c>
      <c r="J212" s="10">
        <v>12190</v>
      </c>
      <c r="K212" s="10">
        <v>12190</v>
      </c>
      <c r="L212" s="10">
        <v>12190</v>
      </c>
      <c r="M212" s="10">
        <v>12190</v>
      </c>
      <c r="N212" s="10">
        <v>12190</v>
      </c>
      <c r="O212" s="10">
        <v>12190</v>
      </c>
    </row>
    <row r="213" spans="1:15">
      <c r="A213" s="9">
        <v>1700072</v>
      </c>
      <c r="B213" s="9" t="s">
        <v>337</v>
      </c>
      <c r="C213" s="13">
        <v>10180</v>
      </c>
      <c r="D213" s="10">
        <v>10180</v>
      </c>
      <c r="E213" s="10">
        <v>10180</v>
      </c>
      <c r="F213" s="10">
        <v>10180</v>
      </c>
      <c r="G213" s="10">
        <v>10180</v>
      </c>
      <c r="H213" s="10">
        <v>10180</v>
      </c>
      <c r="I213" s="10">
        <v>10180</v>
      </c>
      <c r="J213" s="10">
        <v>10180</v>
      </c>
      <c r="K213" s="10">
        <v>10180</v>
      </c>
      <c r="L213" s="10">
        <v>10180</v>
      </c>
      <c r="M213" s="10">
        <v>10180</v>
      </c>
      <c r="N213" s="10">
        <v>10180</v>
      </c>
      <c r="O213" s="10">
        <v>10180</v>
      </c>
    </row>
    <row r="214" spans="1:15">
      <c r="A214" s="9">
        <v>1700073</v>
      </c>
      <c r="B214" s="9" t="s">
        <v>338</v>
      </c>
      <c r="C214" s="13">
        <v>9020</v>
      </c>
      <c r="D214" s="10">
        <v>9020</v>
      </c>
      <c r="E214" s="10">
        <v>9020</v>
      </c>
      <c r="F214" s="10">
        <v>9020</v>
      </c>
      <c r="G214" s="10">
        <v>9020</v>
      </c>
      <c r="H214" s="10">
        <v>9020</v>
      </c>
      <c r="I214" s="10">
        <v>9020</v>
      </c>
      <c r="J214" s="10">
        <v>9020</v>
      </c>
      <c r="K214" s="10">
        <v>9020</v>
      </c>
      <c r="L214" s="10">
        <v>9020</v>
      </c>
      <c r="M214" s="10">
        <v>9020</v>
      </c>
      <c r="N214" s="10">
        <v>9020</v>
      </c>
      <c r="O214" s="10">
        <v>9020</v>
      </c>
    </row>
    <row r="215" spans="1:15">
      <c r="A215" s="9">
        <v>1700076</v>
      </c>
      <c r="B215" s="9" t="s">
        <v>339</v>
      </c>
      <c r="C215" s="13">
        <v>2907</v>
      </c>
      <c r="D215" s="10">
        <v>3480</v>
      </c>
      <c r="E215" s="10">
        <v>3480</v>
      </c>
      <c r="F215" s="10">
        <v>2451</v>
      </c>
      <c r="G215" s="10">
        <v>3735</v>
      </c>
      <c r="H215" s="10">
        <v>2451</v>
      </c>
      <c r="I215" s="10">
        <v>2451</v>
      </c>
      <c r="J215" s="10">
        <v>3520</v>
      </c>
      <c r="K215" s="10">
        <v>3187</v>
      </c>
      <c r="L215" s="10">
        <v>3187</v>
      </c>
      <c r="M215" s="10">
        <v>4108</v>
      </c>
      <c r="N215" s="10">
        <v>3279</v>
      </c>
      <c r="O215" s="10">
        <v>3279</v>
      </c>
    </row>
    <row r="216" spans="1:15">
      <c r="A216" s="9">
        <v>1700077</v>
      </c>
      <c r="B216" s="9" t="s">
        <v>340</v>
      </c>
      <c r="C216" s="13">
        <v>2708</v>
      </c>
      <c r="D216" s="10">
        <v>3265</v>
      </c>
      <c r="E216" s="10">
        <v>3265</v>
      </c>
      <c r="F216" s="10">
        <v>2353</v>
      </c>
      <c r="G216" s="10">
        <v>3490</v>
      </c>
      <c r="H216" s="10">
        <v>2353</v>
      </c>
      <c r="I216" s="10">
        <v>2353</v>
      </c>
      <c r="J216" s="10">
        <v>3520</v>
      </c>
      <c r="K216" s="10">
        <v>3015</v>
      </c>
      <c r="L216" s="10">
        <v>3015</v>
      </c>
      <c r="M216" s="10">
        <v>3843</v>
      </c>
      <c r="N216" s="10">
        <v>3098</v>
      </c>
      <c r="O216" s="10">
        <v>3098</v>
      </c>
    </row>
    <row r="217" spans="1:15">
      <c r="A217" s="9">
        <v>1700078</v>
      </c>
      <c r="B217" s="9" t="s">
        <v>341</v>
      </c>
      <c r="C217" s="13">
        <v>4735</v>
      </c>
      <c r="D217" s="10">
        <v>4078</v>
      </c>
      <c r="E217" s="10">
        <v>4078</v>
      </c>
      <c r="F217" s="10">
        <v>4284</v>
      </c>
      <c r="G217" s="10">
        <v>4284</v>
      </c>
      <c r="H217" s="10">
        <v>4284</v>
      </c>
      <c r="I217" s="10">
        <v>4284</v>
      </c>
      <c r="J217" s="10">
        <v>4520</v>
      </c>
      <c r="K217" s="10">
        <v>4716</v>
      </c>
      <c r="L217" s="10">
        <v>4716</v>
      </c>
      <c r="M217" s="10">
        <v>4716</v>
      </c>
      <c r="N217" s="10">
        <v>4716</v>
      </c>
      <c r="O217" s="10">
        <v>4716</v>
      </c>
    </row>
    <row r="218" spans="1:15">
      <c r="A218" s="9">
        <v>1700080</v>
      </c>
      <c r="B218" s="9" t="s">
        <v>342</v>
      </c>
      <c r="C218" s="13">
        <v>3529</v>
      </c>
      <c r="D218" s="10">
        <v>3529</v>
      </c>
      <c r="E218" s="10">
        <v>3529</v>
      </c>
      <c r="F218" s="10">
        <v>3529</v>
      </c>
      <c r="G218" s="10">
        <v>3529</v>
      </c>
      <c r="H218" s="10">
        <v>3529</v>
      </c>
      <c r="I218" s="10">
        <v>3529</v>
      </c>
      <c r="J218" s="10">
        <v>3529</v>
      </c>
      <c r="K218" s="10">
        <v>3529</v>
      </c>
      <c r="L218" s="10">
        <v>3529</v>
      </c>
      <c r="M218" s="10">
        <v>3529</v>
      </c>
      <c r="N218" s="10">
        <v>3529</v>
      </c>
      <c r="O218" s="10">
        <v>3529</v>
      </c>
    </row>
    <row r="219" spans="1:15">
      <c r="A219" s="9">
        <v>1700083</v>
      </c>
      <c r="B219" s="9" t="s">
        <v>343</v>
      </c>
      <c r="C219" s="13">
        <v>4435</v>
      </c>
      <c r="D219" s="10">
        <v>4435</v>
      </c>
      <c r="E219" s="10">
        <v>4435</v>
      </c>
      <c r="F219" s="10">
        <v>5738</v>
      </c>
      <c r="G219" s="10">
        <v>5738</v>
      </c>
      <c r="H219" s="10">
        <v>5738</v>
      </c>
      <c r="I219" s="10">
        <v>8333</v>
      </c>
      <c r="J219" s="10">
        <v>8333</v>
      </c>
      <c r="K219" s="10">
        <v>8333</v>
      </c>
      <c r="L219" s="10">
        <v>8333</v>
      </c>
      <c r="M219" s="10">
        <v>8333</v>
      </c>
      <c r="N219" s="10">
        <v>8333</v>
      </c>
      <c r="O219" s="10">
        <v>8333</v>
      </c>
    </row>
    <row r="220" spans="1:15">
      <c r="A220" s="9">
        <v>1700084</v>
      </c>
      <c r="B220" s="9" t="s">
        <v>344</v>
      </c>
      <c r="C220" s="13">
        <v>11092</v>
      </c>
      <c r="D220" s="10">
        <v>11092</v>
      </c>
      <c r="E220" s="10">
        <v>11092</v>
      </c>
      <c r="F220" s="10">
        <v>10882</v>
      </c>
      <c r="G220" s="10">
        <v>10882</v>
      </c>
      <c r="H220" s="10">
        <v>10882</v>
      </c>
      <c r="I220" s="10">
        <v>6282</v>
      </c>
      <c r="J220" s="10">
        <v>6282</v>
      </c>
      <c r="K220" s="10">
        <v>6282</v>
      </c>
      <c r="L220" s="10">
        <v>6282</v>
      </c>
      <c r="M220" s="10">
        <v>12010</v>
      </c>
      <c r="N220" s="10">
        <v>12010</v>
      </c>
      <c r="O220" s="10">
        <v>9241</v>
      </c>
    </row>
    <row r="221" spans="1:15">
      <c r="A221" s="9">
        <v>1700085</v>
      </c>
      <c r="B221" s="9" t="s">
        <v>345</v>
      </c>
      <c r="C221" s="13">
        <v>8460</v>
      </c>
      <c r="D221" s="10">
        <v>7720</v>
      </c>
      <c r="E221" s="10">
        <v>7720</v>
      </c>
      <c r="F221" s="10">
        <v>7720</v>
      </c>
      <c r="G221" s="10">
        <v>7860</v>
      </c>
      <c r="H221" s="10">
        <v>7860</v>
      </c>
      <c r="I221" s="10">
        <v>7860</v>
      </c>
      <c r="J221" s="10">
        <v>7860</v>
      </c>
      <c r="K221" s="10">
        <v>7860</v>
      </c>
      <c r="L221" s="10">
        <v>7860</v>
      </c>
      <c r="M221" s="10">
        <v>7860</v>
      </c>
      <c r="N221" s="10">
        <v>7860</v>
      </c>
      <c r="O221" s="10">
        <v>7860</v>
      </c>
    </row>
    <row r="222" spans="1:15">
      <c r="A222" s="9">
        <v>1700086</v>
      </c>
      <c r="B222" s="9" t="s">
        <v>346</v>
      </c>
      <c r="C222" s="13">
        <v>2657</v>
      </c>
      <c r="D222" s="10">
        <v>2657</v>
      </c>
      <c r="E222" s="10">
        <v>2657</v>
      </c>
      <c r="F222" s="10">
        <v>2657</v>
      </c>
      <c r="G222" s="10">
        <v>2657</v>
      </c>
      <c r="H222" s="10">
        <v>2657</v>
      </c>
      <c r="I222" s="10">
        <v>1814</v>
      </c>
      <c r="J222" s="10">
        <v>1814</v>
      </c>
      <c r="K222" s="10">
        <v>1814</v>
      </c>
      <c r="L222" s="10">
        <v>1814</v>
      </c>
      <c r="M222" s="10">
        <v>1814</v>
      </c>
      <c r="N222" s="10">
        <v>1814</v>
      </c>
      <c r="O222" s="10">
        <v>2647</v>
      </c>
    </row>
    <row r="223" spans="1:15">
      <c r="A223" s="9">
        <v>1700087</v>
      </c>
      <c r="B223" s="9" t="s">
        <v>347</v>
      </c>
      <c r="C223" s="13">
        <v>4660</v>
      </c>
      <c r="D223" s="10">
        <v>4660</v>
      </c>
      <c r="E223" s="10">
        <v>4660</v>
      </c>
      <c r="F223" s="10">
        <v>4660</v>
      </c>
      <c r="G223" s="10">
        <v>4660</v>
      </c>
      <c r="H223" s="10">
        <v>4660</v>
      </c>
      <c r="I223" s="10">
        <v>4660</v>
      </c>
      <c r="J223" s="10">
        <v>4890</v>
      </c>
      <c r="K223" s="10">
        <v>4890</v>
      </c>
      <c r="L223" s="10">
        <v>4890</v>
      </c>
      <c r="M223" s="10">
        <v>4890</v>
      </c>
      <c r="N223" s="10">
        <v>4890</v>
      </c>
      <c r="O223" s="10">
        <v>4890</v>
      </c>
    </row>
    <row r="224" spans="1:15">
      <c r="A224" s="9">
        <v>1700088</v>
      </c>
      <c r="B224" s="9" t="s">
        <v>348</v>
      </c>
      <c r="C224" s="13">
        <v>15500</v>
      </c>
      <c r="D224" s="10">
        <v>15500</v>
      </c>
      <c r="E224" s="10">
        <v>15500</v>
      </c>
      <c r="F224" s="10">
        <v>15500</v>
      </c>
      <c r="G224" s="10">
        <v>15500</v>
      </c>
      <c r="H224" s="10">
        <v>15500</v>
      </c>
      <c r="I224" s="10">
        <v>15500</v>
      </c>
      <c r="J224" s="10">
        <v>15500</v>
      </c>
      <c r="K224" s="10">
        <v>15500</v>
      </c>
      <c r="L224" s="10">
        <v>15500</v>
      </c>
      <c r="M224" s="10">
        <v>15500</v>
      </c>
      <c r="N224" s="10">
        <v>15500</v>
      </c>
      <c r="O224" s="10">
        <v>15500</v>
      </c>
    </row>
    <row r="225" spans="1:15">
      <c r="A225" s="9">
        <v>1700089</v>
      </c>
      <c r="B225" s="9" t="s">
        <v>349</v>
      </c>
      <c r="C225" s="13">
        <v>18500</v>
      </c>
      <c r="D225" s="10">
        <v>18500</v>
      </c>
      <c r="E225" s="10">
        <v>18500</v>
      </c>
      <c r="F225" s="10">
        <v>18500</v>
      </c>
      <c r="G225" s="10">
        <v>18500</v>
      </c>
      <c r="H225" s="10">
        <v>18500</v>
      </c>
      <c r="I225" s="10">
        <v>18500</v>
      </c>
      <c r="J225" s="10">
        <v>18500</v>
      </c>
      <c r="K225" s="10">
        <v>18500</v>
      </c>
      <c r="L225" s="10">
        <v>18500</v>
      </c>
      <c r="M225" s="10">
        <v>18500</v>
      </c>
      <c r="N225" s="10">
        <v>18500</v>
      </c>
      <c r="O225" s="10">
        <v>18500</v>
      </c>
    </row>
    <row r="226" spans="1:15">
      <c r="A226" s="9">
        <v>1700090</v>
      </c>
      <c r="B226" s="9" t="s">
        <v>350</v>
      </c>
      <c r="C226" s="13">
        <v>28088</v>
      </c>
      <c r="D226" s="10">
        <v>28088</v>
      </c>
      <c r="E226" s="10">
        <v>25961</v>
      </c>
      <c r="F226" s="10">
        <v>25686</v>
      </c>
      <c r="G226" s="10">
        <v>25490</v>
      </c>
      <c r="H226" s="10">
        <v>25490</v>
      </c>
      <c r="I226" s="10">
        <v>25490</v>
      </c>
      <c r="J226" s="10">
        <v>25490</v>
      </c>
      <c r="K226" s="10">
        <v>25490</v>
      </c>
      <c r="L226" s="10">
        <v>36706</v>
      </c>
      <c r="M226" s="10">
        <v>25490</v>
      </c>
      <c r="N226" s="10">
        <v>25490</v>
      </c>
      <c r="O226" s="10">
        <v>25490</v>
      </c>
    </row>
    <row r="227" spans="1:15">
      <c r="A227" s="9">
        <v>1700091</v>
      </c>
      <c r="B227" s="9" t="s">
        <v>351</v>
      </c>
      <c r="C227" s="13">
        <v>16745</v>
      </c>
      <c r="D227" s="10">
        <v>15716</v>
      </c>
      <c r="E227" s="10">
        <v>15716</v>
      </c>
      <c r="F227" s="10">
        <v>15716</v>
      </c>
      <c r="G227" s="10">
        <v>18000</v>
      </c>
      <c r="H227" s="10">
        <v>18000</v>
      </c>
      <c r="I227" s="10">
        <v>18000</v>
      </c>
      <c r="J227" s="10">
        <v>18353</v>
      </c>
      <c r="K227" s="10">
        <v>18353</v>
      </c>
      <c r="L227" s="10">
        <v>18353</v>
      </c>
      <c r="M227" s="10">
        <v>18353</v>
      </c>
      <c r="N227" s="10">
        <v>18353</v>
      </c>
      <c r="O227" s="10">
        <v>18353</v>
      </c>
    </row>
    <row r="228" spans="1:15">
      <c r="A228" s="9">
        <v>1700092</v>
      </c>
      <c r="B228" s="9" t="s">
        <v>352</v>
      </c>
      <c r="C228" s="13">
        <v>2343</v>
      </c>
      <c r="D228" s="10">
        <v>2343</v>
      </c>
      <c r="E228" s="10">
        <v>2196</v>
      </c>
      <c r="F228" s="10">
        <v>2814</v>
      </c>
      <c r="G228" s="10">
        <v>2961</v>
      </c>
      <c r="H228" s="10">
        <v>2961</v>
      </c>
      <c r="I228" s="10">
        <v>2284</v>
      </c>
      <c r="J228" s="10">
        <v>1863</v>
      </c>
      <c r="K228" s="10">
        <v>1922</v>
      </c>
      <c r="L228" s="10">
        <v>1951</v>
      </c>
      <c r="M228" s="10">
        <v>1784</v>
      </c>
      <c r="N228" s="10">
        <v>1784</v>
      </c>
      <c r="O228" s="10">
        <v>1255</v>
      </c>
    </row>
    <row r="229" spans="1:15">
      <c r="A229" s="9">
        <v>1700093</v>
      </c>
      <c r="B229" s="9" t="s">
        <v>353</v>
      </c>
      <c r="C229" s="13">
        <v>21470</v>
      </c>
      <c r="D229" s="10">
        <v>23760</v>
      </c>
      <c r="E229" s="10">
        <v>23760</v>
      </c>
      <c r="F229" s="10">
        <v>23760</v>
      </c>
      <c r="G229" s="10">
        <v>23760</v>
      </c>
      <c r="H229" s="10">
        <v>23760</v>
      </c>
      <c r="I229" s="10">
        <v>11180</v>
      </c>
      <c r="J229" s="10">
        <v>11180</v>
      </c>
      <c r="K229" s="10">
        <v>11180</v>
      </c>
      <c r="L229" s="10">
        <v>11180</v>
      </c>
      <c r="M229" s="10">
        <v>11180</v>
      </c>
      <c r="N229" s="10">
        <v>11180</v>
      </c>
      <c r="O229" s="10">
        <v>11180</v>
      </c>
    </row>
    <row r="230" spans="1:15">
      <c r="A230" s="9">
        <v>1700094</v>
      </c>
      <c r="B230" s="9" t="s">
        <v>354</v>
      </c>
      <c r="C230" s="13">
        <v>13529</v>
      </c>
      <c r="D230" s="10">
        <v>13529</v>
      </c>
      <c r="E230" s="10">
        <v>13529</v>
      </c>
      <c r="F230" s="10">
        <v>13529</v>
      </c>
      <c r="G230" s="10">
        <v>13529</v>
      </c>
      <c r="H230" s="10">
        <v>13529</v>
      </c>
      <c r="I230" s="10">
        <v>13529</v>
      </c>
      <c r="J230" s="10">
        <v>13529</v>
      </c>
      <c r="K230" s="10">
        <v>13529</v>
      </c>
      <c r="L230" s="10">
        <v>13529</v>
      </c>
      <c r="M230" s="10">
        <v>13529</v>
      </c>
      <c r="N230" s="10">
        <v>13529</v>
      </c>
      <c r="O230" s="10">
        <v>13529</v>
      </c>
    </row>
    <row r="231" spans="1:15">
      <c r="A231" s="9">
        <v>1700095</v>
      </c>
      <c r="B231" s="9" t="s">
        <v>355</v>
      </c>
      <c r="C231" s="13">
        <v>4500</v>
      </c>
      <c r="D231" s="10">
        <v>4500</v>
      </c>
      <c r="E231" s="10">
        <v>4500</v>
      </c>
      <c r="F231" s="10">
        <v>4500</v>
      </c>
      <c r="G231" s="10">
        <v>4500</v>
      </c>
      <c r="H231" s="10">
        <v>4500</v>
      </c>
      <c r="I231" s="10">
        <v>4500</v>
      </c>
      <c r="J231" s="10">
        <v>4500</v>
      </c>
      <c r="K231" s="10">
        <v>4500</v>
      </c>
      <c r="L231" s="10">
        <v>4500</v>
      </c>
      <c r="M231" s="10">
        <v>4500</v>
      </c>
      <c r="N231" s="10">
        <v>4500</v>
      </c>
      <c r="O231" s="10">
        <v>4500</v>
      </c>
    </row>
    <row r="232" spans="1:15">
      <c r="A232" s="9">
        <v>1700096</v>
      </c>
      <c r="B232" s="9" t="s">
        <v>356</v>
      </c>
      <c r="C232" s="13">
        <v>24510</v>
      </c>
      <c r="D232" s="10">
        <v>24510</v>
      </c>
      <c r="E232" s="10">
        <v>24510</v>
      </c>
      <c r="F232" s="10">
        <v>24510</v>
      </c>
      <c r="G232" s="10">
        <v>24510</v>
      </c>
      <c r="H232" s="10">
        <v>24510</v>
      </c>
      <c r="I232" s="10">
        <v>24510</v>
      </c>
      <c r="J232" s="10">
        <v>24510</v>
      </c>
      <c r="K232" s="10">
        <v>24510</v>
      </c>
      <c r="L232" s="10">
        <v>24510</v>
      </c>
      <c r="M232" s="10">
        <v>24510</v>
      </c>
      <c r="N232" s="10">
        <v>24510</v>
      </c>
      <c r="O232" s="10">
        <v>24510</v>
      </c>
    </row>
    <row r="233" spans="1:15">
      <c r="A233" s="9">
        <v>1700097</v>
      </c>
      <c r="B233" s="9" t="s">
        <v>357</v>
      </c>
      <c r="C233" s="13">
        <v>19608</v>
      </c>
      <c r="D233" s="10">
        <v>19608</v>
      </c>
      <c r="E233" s="10">
        <v>19608</v>
      </c>
      <c r="F233" s="10">
        <v>19608</v>
      </c>
      <c r="G233" s="10">
        <v>19608</v>
      </c>
      <c r="H233" s="10">
        <v>19608</v>
      </c>
      <c r="I233" s="10">
        <v>19608</v>
      </c>
      <c r="J233" s="10">
        <v>19608</v>
      </c>
      <c r="K233" s="10">
        <v>19608</v>
      </c>
      <c r="L233" s="10">
        <v>19608</v>
      </c>
      <c r="M233" s="10">
        <v>19608</v>
      </c>
      <c r="N233" s="10">
        <v>19608</v>
      </c>
      <c r="O233" s="10">
        <v>19608</v>
      </c>
    </row>
    <row r="234" spans="1:15">
      <c r="A234" s="9">
        <v>1700098</v>
      </c>
      <c r="B234" s="9" t="s">
        <v>358</v>
      </c>
      <c r="C234" s="13">
        <v>19608</v>
      </c>
      <c r="D234" s="10">
        <v>19608</v>
      </c>
      <c r="E234" s="10">
        <v>19608</v>
      </c>
      <c r="F234" s="10">
        <v>19608</v>
      </c>
      <c r="G234" s="10">
        <v>19608</v>
      </c>
      <c r="H234" s="10">
        <v>19608</v>
      </c>
      <c r="I234" s="10">
        <v>19608</v>
      </c>
      <c r="J234" s="10">
        <v>19608</v>
      </c>
      <c r="K234" s="10">
        <v>19608</v>
      </c>
      <c r="L234" s="10">
        <v>19608</v>
      </c>
      <c r="M234" s="10">
        <v>19608</v>
      </c>
      <c r="N234" s="10">
        <v>19608</v>
      </c>
      <c r="O234" s="10">
        <v>19608</v>
      </c>
    </row>
    <row r="235" spans="1:15">
      <c r="A235" s="9">
        <v>1700099</v>
      </c>
      <c r="B235" s="9" t="s">
        <v>359</v>
      </c>
      <c r="C235" s="13">
        <v>9000</v>
      </c>
      <c r="D235" s="10">
        <v>9000</v>
      </c>
      <c r="E235" s="10">
        <v>9000</v>
      </c>
      <c r="F235" s="10">
        <v>9000</v>
      </c>
      <c r="G235" s="10">
        <v>9000</v>
      </c>
      <c r="H235" s="10">
        <v>9000</v>
      </c>
      <c r="I235" s="10">
        <v>9000</v>
      </c>
      <c r="J235" s="10">
        <v>9000</v>
      </c>
      <c r="K235" s="10">
        <v>9000</v>
      </c>
      <c r="L235" s="10">
        <v>9000</v>
      </c>
      <c r="M235" s="10">
        <v>9000</v>
      </c>
      <c r="N235" s="10">
        <v>9000</v>
      </c>
      <c r="O235" s="10">
        <v>9000</v>
      </c>
    </row>
    <row r="236" spans="1:15">
      <c r="A236" s="9">
        <v>1700100</v>
      </c>
      <c r="B236" s="9" t="s">
        <v>360</v>
      </c>
      <c r="C236" s="13">
        <v>2280</v>
      </c>
      <c r="D236" s="10">
        <v>3030</v>
      </c>
      <c r="E236" s="10">
        <v>3029</v>
      </c>
      <c r="F236" s="10">
        <v>3029</v>
      </c>
      <c r="G236" s="10">
        <v>3030</v>
      </c>
      <c r="H236" s="10">
        <v>3030</v>
      </c>
      <c r="I236" s="10">
        <v>3029</v>
      </c>
      <c r="J236" s="10">
        <v>3030</v>
      </c>
      <c r="K236" s="10">
        <v>3333</v>
      </c>
      <c r="L236" s="10">
        <v>3333</v>
      </c>
      <c r="M236" s="10">
        <v>3333</v>
      </c>
      <c r="N236" s="10">
        <v>3333</v>
      </c>
      <c r="O236" s="10">
        <v>3333</v>
      </c>
    </row>
    <row r="237" spans="1:15">
      <c r="A237" s="9">
        <v>1700101</v>
      </c>
      <c r="B237" s="9" t="s">
        <v>361</v>
      </c>
      <c r="C237" s="13">
        <v>7451</v>
      </c>
      <c r="D237" s="10">
        <v>7451</v>
      </c>
      <c r="E237" s="10">
        <v>7451</v>
      </c>
      <c r="F237" s="10">
        <v>7451</v>
      </c>
      <c r="G237" s="10">
        <v>7451</v>
      </c>
      <c r="H237" s="10">
        <v>8647</v>
      </c>
      <c r="I237" s="10">
        <v>8647</v>
      </c>
      <c r="J237" s="10">
        <v>8647</v>
      </c>
      <c r="K237" s="10">
        <v>7647</v>
      </c>
      <c r="L237" s="10">
        <v>7647</v>
      </c>
      <c r="M237" s="10">
        <v>7647</v>
      </c>
      <c r="N237" s="10">
        <v>7647</v>
      </c>
      <c r="O237" s="10">
        <v>7647</v>
      </c>
    </row>
    <row r="238" spans="1:15">
      <c r="A238" s="9">
        <v>1700102</v>
      </c>
      <c r="B238" s="9" t="s">
        <v>362</v>
      </c>
      <c r="C238" s="13">
        <v>40197</v>
      </c>
      <c r="D238" s="10">
        <v>40197</v>
      </c>
      <c r="E238" s="10">
        <v>40197</v>
      </c>
      <c r="F238" s="10">
        <v>40197</v>
      </c>
      <c r="G238" s="10">
        <v>40197</v>
      </c>
      <c r="H238" s="10">
        <v>40196</v>
      </c>
      <c r="I238" s="10">
        <v>40196</v>
      </c>
      <c r="J238" s="10">
        <v>40196</v>
      </c>
      <c r="K238" s="10">
        <v>40196</v>
      </c>
      <c r="L238" s="10">
        <v>40196</v>
      </c>
      <c r="M238" s="10">
        <v>40197</v>
      </c>
      <c r="N238" s="10">
        <v>40197</v>
      </c>
      <c r="O238" s="10">
        <v>40196</v>
      </c>
    </row>
    <row r="239" spans="1:15">
      <c r="A239" s="9">
        <v>1700103</v>
      </c>
      <c r="B239" s="9" t="s">
        <v>363</v>
      </c>
      <c r="C239" s="13">
        <v>9000</v>
      </c>
      <c r="D239" s="10">
        <v>9000</v>
      </c>
      <c r="E239" s="10">
        <v>9000</v>
      </c>
      <c r="F239" s="10">
        <v>9000</v>
      </c>
      <c r="G239" s="10">
        <v>9000</v>
      </c>
      <c r="H239" s="10">
        <v>9000</v>
      </c>
      <c r="I239" s="10">
        <v>9000</v>
      </c>
      <c r="J239" s="10">
        <v>9000</v>
      </c>
      <c r="K239" s="10">
        <v>9000</v>
      </c>
      <c r="L239" s="10">
        <v>9000</v>
      </c>
      <c r="M239" s="10">
        <v>9000</v>
      </c>
      <c r="N239" s="10">
        <v>9000</v>
      </c>
      <c r="O239" s="10">
        <v>9000</v>
      </c>
    </row>
    <row r="240" spans="1:15">
      <c r="A240" s="9">
        <v>1700104</v>
      </c>
      <c r="B240" s="9" t="s">
        <v>364</v>
      </c>
      <c r="C240" s="13">
        <v>36380</v>
      </c>
      <c r="D240" s="10">
        <v>36380</v>
      </c>
      <c r="E240" s="10">
        <v>36380</v>
      </c>
      <c r="F240" s="10">
        <v>36380</v>
      </c>
      <c r="G240" s="10">
        <v>36380</v>
      </c>
      <c r="H240" s="10">
        <v>22620</v>
      </c>
      <c r="I240" s="10">
        <v>22620</v>
      </c>
      <c r="J240" s="10">
        <v>22620</v>
      </c>
      <c r="K240" s="10">
        <v>22620</v>
      </c>
      <c r="L240" s="10">
        <v>25000</v>
      </c>
      <c r="M240" s="10">
        <v>25000</v>
      </c>
      <c r="N240" s="10">
        <v>25000</v>
      </c>
      <c r="O240" s="10">
        <v>25000</v>
      </c>
    </row>
    <row r="241" spans="1:15">
      <c r="A241" s="9">
        <v>1700105</v>
      </c>
      <c r="B241" s="9" t="s">
        <v>365</v>
      </c>
      <c r="C241" s="13">
        <v>10588</v>
      </c>
      <c r="D241" s="10">
        <v>10588</v>
      </c>
      <c r="E241" s="10">
        <v>10588</v>
      </c>
      <c r="F241" s="10">
        <v>10588</v>
      </c>
      <c r="G241" s="10">
        <v>10588</v>
      </c>
      <c r="H241" s="10">
        <v>10588</v>
      </c>
      <c r="I241" s="10">
        <v>10588</v>
      </c>
      <c r="J241" s="10">
        <v>10588</v>
      </c>
      <c r="K241" s="10">
        <v>10588</v>
      </c>
      <c r="L241" s="10">
        <v>10588</v>
      </c>
      <c r="M241" s="10">
        <v>10588</v>
      </c>
      <c r="N241" s="10">
        <v>10588</v>
      </c>
      <c r="O241" s="10">
        <v>10588</v>
      </c>
    </row>
    <row r="242" spans="1:15">
      <c r="A242" s="9">
        <v>1700106</v>
      </c>
      <c r="B242" s="9" t="s">
        <v>366</v>
      </c>
      <c r="C242" s="13">
        <v>14020</v>
      </c>
      <c r="D242" s="10">
        <v>14020</v>
      </c>
      <c r="E242" s="10">
        <v>14020</v>
      </c>
      <c r="F242" s="10">
        <v>14020</v>
      </c>
      <c r="G242" s="10">
        <v>14020</v>
      </c>
      <c r="H242" s="10">
        <v>14020</v>
      </c>
      <c r="I242" s="10">
        <v>14020</v>
      </c>
      <c r="J242" s="10">
        <v>14020</v>
      </c>
      <c r="K242" s="10">
        <v>14020</v>
      </c>
      <c r="L242" s="10">
        <v>14020</v>
      </c>
      <c r="M242" s="10">
        <v>14020</v>
      </c>
      <c r="N242" s="10">
        <v>14020</v>
      </c>
      <c r="O242" s="10">
        <v>14020</v>
      </c>
    </row>
    <row r="243" spans="1:15">
      <c r="A243" s="9">
        <v>1700107</v>
      </c>
      <c r="B243" s="9" t="s">
        <v>367</v>
      </c>
      <c r="C243" s="13">
        <v>9020</v>
      </c>
      <c r="D243" s="10">
        <v>9020</v>
      </c>
      <c r="E243" s="10">
        <v>9020</v>
      </c>
      <c r="F243" s="10">
        <v>9020</v>
      </c>
      <c r="G243" s="10">
        <v>9020</v>
      </c>
      <c r="H243" s="10">
        <v>9020</v>
      </c>
      <c r="I243" s="10">
        <v>9020</v>
      </c>
      <c r="J243" s="10">
        <v>9020</v>
      </c>
      <c r="K243" s="10">
        <v>9020</v>
      </c>
      <c r="L243" s="10">
        <v>9020</v>
      </c>
      <c r="M243" s="10">
        <v>9020</v>
      </c>
      <c r="N243" s="10">
        <v>9020</v>
      </c>
      <c r="O243" s="10">
        <v>9020</v>
      </c>
    </row>
    <row r="244" spans="1:15">
      <c r="A244" s="9">
        <v>1800002</v>
      </c>
      <c r="B244" s="9" t="s">
        <v>368</v>
      </c>
      <c r="C244" s="13">
        <v>9520</v>
      </c>
      <c r="D244" s="10">
        <v>9520</v>
      </c>
      <c r="E244" s="10">
        <v>9520</v>
      </c>
      <c r="F244" s="10">
        <v>9520</v>
      </c>
      <c r="G244" s="10">
        <v>9520</v>
      </c>
      <c r="H244" s="10">
        <v>9520</v>
      </c>
      <c r="I244" s="10">
        <v>9520</v>
      </c>
      <c r="J244" s="10">
        <v>9520</v>
      </c>
      <c r="K244" s="10">
        <v>9520</v>
      </c>
      <c r="L244" s="10">
        <v>9520</v>
      </c>
      <c r="M244" s="10">
        <v>9520</v>
      </c>
      <c r="N244" s="10">
        <v>9520</v>
      </c>
      <c r="O244" s="10">
        <v>9520</v>
      </c>
    </row>
    <row r="245" spans="1:15">
      <c r="A245" s="9">
        <v>1800004</v>
      </c>
      <c r="B245" s="9" t="s">
        <v>369</v>
      </c>
      <c r="C245" s="13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</row>
    <row r="246" spans="1:15">
      <c r="A246" s="9">
        <v>1800005</v>
      </c>
      <c r="B246" s="9" t="s">
        <v>370</v>
      </c>
      <c r="C246" s="13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</row>
    <row r="247" spans="1:15">
      <c r="A247" s="9">
        <v>1800006</v>
      </c>
      <c r="B247" s="9" t="s">
        <v>371</v>
      </c>
      <c r="C247" s="13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</row>
    <row r="248" spans="1:15">
      <c r="A248" s="9">
        <v>1800007</v>
      </c>
      <c r="B248" s="9" t="s">
        <v>372</v>
      </c>
      <c r="C248" s="13">
        <v>10000</v>
      </c>
      <c r="D248" s="10">
        <v>10000</v>
      </c>
      <c r="E248" s="10">
        <v>10000</v>
      </c>
      <c r="F248" s="10">
        <v>10000</v>
      </c>
      <c r="G248" s="10">
        <v>10000</v>
      </c>
      <c r="H248" s="10">
        <v>10000</v>
      </c>
      <c r="I248" s="10">
        <v>10000</v>
      </c>
      <c r="J248" s="10">
        <v>10000</v>
      </c>
      <c r="K248" s="10">
        <v>10000</v>
      </c>
      <c r="L248" s="10">
        <v>10000</v>
      </c>
      <c r="M248" s="10">
        <v>10000</v>
      </c>
      <c r="N248" s="10">
        <v>10000</v>
      </c>
      <c r="O248" s="10">
        <v>10000</v>
      </c>
    </row>
    <row r="249" spans="1:15">
      <c r="A249" s="9">
        <v>1800008</v>
      </c>
      <c r="B249" s="9" t="s">
        <v>373</v>
      </c>
      <c r="C249" s="13">
        <v>10110</v>
      </c>
      <c r="D249" s="10">
        <v>10110</v>
      </c>
      <c r="E249" s="10">
        <v>10110</v>
      </c>
      <c r="F249" s="10">
        <v>10110</v>
      </c>
      <c r="G249" s="10">
        <v>10110</v>
      </c>
      <c r="H249" s="10">
        <v>10110</v>
      </c>
      <c r="I249" s="10">
        <v>10110</v>
      </c>
      <c r="J249" s="10">
        <v>10110</v>
      </c>
      <c r="K249" s="10">
        <v>10110</v>
      </c>
      <c r="L249" s="10">
        <v>10110</v>
      </c>
      <c r="M249" s="10">
        <v>10110</v>
      </c>
      <c r="N249" s="10">
        <v>10230</v>
      </c>
      <c r="O249" s="10">
        <v>10230</v>
      </c>
    </row>
    <row r="250" spans="1:15">
      <c r="A250" s="9">
        <v>1800009</v>
      </c>
      <c r="B250" s="9" t="s">
        <v>374</v>
      </c>
      <c r="C250" s="13">
        <v>11800</v>
      </c>
      <c r="D250" s="10">
        <v>11800</v>
      </c>
      <c r="E250" s="10">
        <v>11800</v>
      </c>
      <c r="F250" s="10">
        <v>11800</v>
      </c>
      <c r="G250" s="10">
        <v>11800</v>
      </c>
      <c r="H250" s="10">
        <v>11800</v>
      </c>
      <c r="I250" s="10">
        <v>11800</v>
      </c>
      <c r="J250" s="10">
        <v>11800</v>
      </c>
      <c r="K250" s="10">
        <v>11800</v>
      </c>
      <c r="L250" s="10">
        <v>11800</v>
      </c>
      <c r="M250" s="10">
        <v>11800</v>
      </c>
      <c r="N250" s="10">
        <v>11800</v>
      </c>
      <c r="O250" s="10">
        <v>11800</v>
      </c>
    </row>
    <row r="251" spans="1:15">
      <c r="A251" s="9">
        <v>1800010</v>
      </c>
      <c r="B251" s="9" t="s">
        <v>375</v>
      </c>
      <c r="C251" s="13">
        <v>5784</v>
      </c>
      <c r="D251" s="10">
        <v>5784</v>
      </c>
      <c r="E251" s="10">
        <v>5784</v>
      </c>
      <c r="F251" s="10">
        <v>5784</v>
      </c>
      <c r="G251" s="10">
        <v>5784</v>
      </c>
      <c r="H251" s="10">
        <v>5784</v>
      </c>
      <c r="I251" s="10">
        <v>5784</v>
      </c>
      <c r="J251" s="10">
        <v>5784</v>
      </c>
      <c r="K251" s="10">
        <v>5784</v>
      </c>
      <c r="L251" s="10">
        <v>5784</v>
      </c>
      <c r="M251" s="10">
        <v>6863</v>
      </c>
      <c r="N251" s="10">
        <v>6863</v>
      </c>
      <c r="O251" s="10">
        <v>6863</v>
      </c>
    </row>
    <row r="252" spans="1:15">
      <c r="A252" s="9">
        <v>1800011</v>
      </c>
      <c r="B252" s="9" t="s">
        <v>376</v>
      </c>
      <c r="C252" s="13">
        <v>9363</v>
      </c>
      <c r="D252" s="10">
        <v>9363</v>
      </c>
      <c r="E252" s="10">
        <v>9363</v>
      </c>
      <c r="F252" s="10">
        <v>9363</v>
      </c>
      <c r="G252" s="10">
        <v>9363</v>
      </c>
      <c r="H252" s="10">
        <v>9363</v>
      </c>
      <c r="I252" s="10">
        <v>9363</v>
      </c>
      <c r="J252" s="10">
        <v>9363</v>
      </c>
      <c r="K252" s="10">
        <v>9363</v>
      </c>
      <c r="L252" s="10">
        <v>9363</v>
      </c>
      <c r="M252" s="10">
        <v>13235</v>
      </c>
      <c r="N252" s="10">
        <v>13235</v>
      </c>
      <c r="O252" s="10">
        <v>13235</v>
      </c>
    </row>
    <row r="253" spans="1:15">
      <c r="A253" s="9">
        <v>1800012</v>
      </c>
      <c r="B253" s="9" t="s">
        <v>377</v>
      </c>
      <c r="C253" s="13">
        <v>5725</v>
      </c>
      <c r="D253" s="10">
        <v>5725</v>
      </c>
      <c r="E253" s="10">
        <v>5725</v>
      </c>
      <c r="F253" s="10">
        <v>5725</v>
      </c>
      <c r="G253" s="10">
        <v>5725</v>
      </c>
      <c r="H253" s="10">
        <v>5725</v>
      </c>
      <c r="I253" s="10">
        <v>5725</v>
      </c>
      <c r="J253" s="10">
        <v>5725</v>
      </c>
      <c r="K253" s="10">
        <v>5725</v>
      </c>
      <c r="L253" s="10">
        <v>5725</v>
      </c>
      <c r="M253" s="10">
        <v>8235</v>
      </c>
      <c r="N253" s="10">
        <v>8235</v>
      </c>
      <c r="O253" s="10">
        <v>8235</v>
      </c>
    </row>
    <row r="254" spans="1:15">
      <c r="A254" s="9">
        <v>1800013</v>
      </c>
      <c r="B254" s="9" t="s">
        <v>378</v>
      </c>
      <c r="C254" s="13">
        <v>49100</v>
      </c>
      <c r="D254" s="10">
        <v>49100</v>
      </c>
      <c r="E254" s="10">
        <v>49100</v>
      </c>
      <c r="F254" s="10">
        <v>49100</v>
      </c>
      <c r="G254" s="10">
        <v>49100</v>
      </c>
      <c r="H254" s="10">
        <v>49100</v>
      </c>
      <c r="I254" s="10">
        <v>49100</v>
      </c>
      <c r="J254" s="10">
        <v>49100</v>
      </c>
      <c r="K254" s="10">
        <v>49100</v>
      </c>
      <c r="L254" s="10">
        <v>49100</v>
      </c>
      <c r="M254" s="10">
        <v>49100</v>
      </c>
      <c r="N254" s="10">
        <v>49100</v>
      </c>
      <c r="O254" s="10">
        <v>49100</v>
      </c>
    </row>
    <row r="255" spans="1:15">
      <c r="A255" s="9">
        <v>1800014</v>
      </c>
      <c r="B255" s="9" t="s">
        <v>379</v>
      </c>
      <c r="C255" s="13">
        <v>70000</v>
      </c>
      <c r="D255" s="10">
        <v>70000</v>
      </c>
      <c r="E255" s="10">
        <v>70000</v>
      </c>
      <c r="F255" s="10">
        <v>70000</v>
      </c>
      <c r="G255" s="10">
        <v>70000</v>
      </c>
      <c r="H255" s="10">
        <v>70000</v>
      </c>
      <c r="I255" s="10">
        <v>70000</v>
      </c>
      <c r="J255" s="10">
        <v>70000</v>
      </c>
      <c r="K255" s="10">
        <v>70000</v>
      </c>
      <c r="L255" s="10">
        <v>70000</v>
      </c>
      <c r="M255" s="10">
        <v>70000</v>
      </c>
      <c r="N255" s="10">
        <v>70000</v>
      </c>
      <c r="O255" s="10">
        <v>70000</v>
      </c>
    </row>
    <row r="256" spans="1:15">
      <c r="A256" s="9">
        <v>1800015</v>
      </c>
      <c r="B256" s="9" t="s">
        <v>380</v>
      </c>
      <c r="C256" s="13">
        <v>66700</v>
      </c>
      <c r="D256" s="10">
        <v>66700</v>
      </c>
      <c r="E256" s="10">
        <v>66700</v>
      </c>
      <c r="F256" s="10">
        <v>66700</v>
      </c>
      <c r="G256" s="10">
        <v>66700</v>
      </c>
      <c r="H256" s="10">
        <v>66700</v>
      </c>
      <c r="I256" s="10">
        <v>66700</v>
      </c>
      <c r="J256" s="10">
        <v>66700</v>
      </c>
      <c r="K256" s="10">
        <v>66700</v>
      </c>
      <c r="L256" s="10">
        <v>66700</v>
      </c>
      <c r="M256" s="10">
        <v>66700</v>
      </c>
      <c r="N256" s="10">
        <v>66700</v>
      </c>
      <c r="O256" s="10">
        <v>66700</v>
      </c>
    </row>
    <row r="257" spans="1:15">
      <c r="A257" s="9">
        <v>1900013</v>
      </c>
      <c r="B257" s="9" t="s">
        <v>381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0</v>
      </c>
      <c r="N257" s="10">
        <v>0</v>
      </c>
      <c r="O257" s="10">
        <v>0</v>
      </c>
    </row>
    <row r="258" spans="1:15">
      <c r="A258" s="9">
        <v>1900018</v>
      </c>
      <c r="B258" s="9" t="s">
        <v>382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</row>
  </sheetData>
  <phoneticPr fontId="5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단가사용_입력</vt:lpstr>
      <vt:lpstr>원료마스터_참고</vt:lpstr>
      <vt:lpstr>작성법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2026-07-06T04:47:10Z</dcterms:created>
  <dcterms:modified xsi:type="dcterms:W3CDTF">2026-08-03T02:44:23Z</dcterms:modified>
</cp:coreProperties>
</file>